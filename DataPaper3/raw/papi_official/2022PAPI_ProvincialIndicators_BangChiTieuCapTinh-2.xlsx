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do.thi.thanh.huyen.UNDPCO\Dropbox\PAPI2022\17_tables\"/>
    </mc:Choice>
  </mc:AlternateContent>
  <xr:revisionPtr revIDLastSave="0" documentId="13_ncr:1_{383E852E-0CA5-4FA5-AC98-65902F03849C}" xr6:coauthVersionLast="47" xr6:coauthVersionMax="47" xr10:uidLastSave="{00000000-0000-0000-0000-000000000000}"/>
  <bookViews>
    <workbookView xWindow="-110" yWindow="-110" windowWidth="19420" windowHeight="10420" xr2:uid="{37BACA76-42BD-4E40-B6D4-DECB62DDE897}"/>
  </bookViews>
  <sheets>
    <sheet name="2022_VIE_ENG" sheetId="10" r:id="rId1"/>
    <sheet name="2022_PAPI_Indicators" sheetId="11" r:id="rId2"/>
    <sheet name="2021_VIE_ENG" sheetId="9" r:id="rId3"/>
    <sheet name="2020_VIE_ENG" sheetId="1" r:id="rId4"/>
    <sheet name="2019_VI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10" l="1"/>
  <c r="D159" i="10"/>
  <c r="D15" i="10"/>
  <c r="D14" i="10"/>
  <c r="D16" i="10"/>
  <c r="D17" i="10"/>
  <c r="D18" i="10"/>
  <c r="D19" i="10"/>
  <c r="D20" i="10"/>
  <c r="D21" i="10"/>
  <c r="D23" i="10"/>
  <c r="D24" i="10"/>
  <c r="D25" i="10"/>
  <c r="D26" i="10"/>
  <c r="D27" i="10"/>
  <c r="D28"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8" i="10"/>
  <c r="D99" i="10"/>
  <c r="D103"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60" i="10"/>
  <c r="D161" i="10"/>
  <c r="D162" i="10"/>
  <c r="D13" i="10"/>
  <c r="D8" i="10"/>
  <c r="D9" i="10"/>
  <c r="D10" i="10"/>
  <c r="E7" i="10"/>
  <c r="L9"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8" i="10"/>
  <c r="R99"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9" i="10"/>
  <c r="R10" i="10"/>
  <c r="R11" i="10"/>
  <c r="R12" i="10"/>
  <c r="R13" i="10"/>
  <c r="R14" i="10"/>
  <c r="R15" i="10"/>
  <c r="R16" i="10"/>
  <c r="R17" i="10"/>
  <c r="R18" i="10"/>
  <c r="R19" i="10"/>
  <c r="R20" i="10"/>
  <c r="R21" i="10"/>
  <c r="R23" i="10"/>
  <c r="R24" i="10"/>
  <c r="R25" i="10"/>
  <c r="R26" i="10"/>
  <c r="R27" i="10"/>
  <c r="R28"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8" i="10"/>
  <c r="BN9" i="10"/>
  <c r="BN10" i="10"/>
  <c r="BN11" i="10"/>
  <c r="BN12" i="10"/>
  <c r="BN14" i="10"/>
  <c r="BN15" i="10"/>
  <c r="BN16" i="10"/>
  <c r="BN17" i="10"/>
  <c r="BN18" i="10"/>
  <c r="BN19" i="10"/>
  <c r="BN20" i="10"/>
  <c r="BN21" i="10"/>
  <c r="BN23" i="10"/>
  <c r="BN24" i="10"/>
  <c r="BN25" i="10"/>
  <c r="BN26" i="10"/>
  <c r="BN27" i="10"/>
  <c r="BN28"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8" i="10"/>
  <c r="BN99" i="10"/>
  <c r="BN103"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8" i="10"/>
  <c r="BM9" i="10"/>
  <c r="BM10" i="10"/>
  <c r="BM11" i="10"/>
  <c r="BM12" i="10"/>
  <c r="BM14" i="10"/>
  <c r="BM15" i="10"/>
  <c r="BM16" i="10"/>
  <c r="BM17" i="10"/>
  <c r="BM18" i="10"/>
  <c r="BM19" i="10"/>
  <c r="BM20" i="10"/>
  <c r="BM21" i="10"/>
  <c r="BM23" i="10"/>
  <c r="BM24" i="10"/>
  <c r="BM25" i="10"/>
  <c r="BM26" i="10"/>
  <c r="BM27" i="10"/>
  <c r="BM28"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8" i="10"/>
  <c r="BM99" i="10"/>
  <c r="BM103"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8" i="10"/>
  <c r="BL9" i="10"/>
  <c r="BL10" i="10"/>
  <c r="BL11" i="10"/>
  <c r="BL12" i="10"/>
  <c r="BL14" i="10"/>
  <c r="BL15" i="10"/>
  <c r="BL16" i="10"/>
  <c r="BL17" i="10"/>
  <c r="BL18" i="10"/>
  <c r="BL19" i="10"/>
  <c r="BL20" i="10"/>
  <c r="BL21" i="10"/>
  <c r="BL23" i="10"/>
  <c r="BL24" i="10"/>
  <c r="BL25" i="10"/>
  <c r="BL26" i="10"/>
  <c r="BL27" i="10"/>
  <c r="BL28"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8" i="10"/>
  <c r="BL99" i="10"/>
  <c r="BL103"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8" i="10"/>
  <c r="BK9" i="10"/>
  <c r="BK10" i="10"/>
  <c r="BK11" i="10"/>
  <c r="BK12" i="10"/>
  <c r="BK14" i="10"/>
  <c r="BK15" i="10"/>
  <c r="BK16" i="10"/>
  <c r="BK17" i="10"/>
  <c r="BK18" i="10"/>
  <c r="BK19" i="10"/>
  <c r="BK20" i="10"/>
  <c r="BK21" i="10"/>
  <c r="BK23" i="10"/>
  <c r="BK24" i="10"/>
  <c r="BK25" i="10"/>
  <c r="BK26" i="10"/>
  <c r="BK27" i="10"/>
  <c r="BK28"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8" i="10"/>
  <c r="BK99" i="10"/>
  <c r="BK103"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8" i="10"/>
  <c r="BJ9" i="10"/>
  <c r="BJ10" i="10"/>
  <c r="BJ11" i="10"/>
  <c r="BJ12" i="10"/>
  <c r="BJ14" i="10"/>
  <c r="BJ15" i="10"/>
  <c r="BJ16" i="10"/>
  <c r="BJ17" i="10"/>
  <c r="BJ18" i="10"/>
  <c r="BJ19" i="10"/>
  <c r="BJ20" i="10"/>
  <c r="BJ21" i="10"/>
  <c r="BJ23" i="10"/>
  <c r="BJ24" i="10"/>
  <c r="BJ25" i="10"/>
  <c r="BJ26" i="10"/>
  <c r="BJ27" i="10"/>
  <c r="BJ28"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8" i="10"/>
  <c r="BJ99" i="10"/>
  <c r="BJ103"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8" i="10"/>
  <c r="BI8" i="10"/>
  <c r="BI9" i="10"/>
  <c r="BI10" i="10"/>
  <c r="BI11" i="10"/>
  <c r="BI12" i="10"/>
  <c r="BI14" i="10"/>
  <c r="BI15" i="10"/>
  <c r="BI16" i="10"/>
  <c r="BI17" i="10"/>
  <c r="BI18" i="10"/>
  <c r="BI19" i="10"/>
  <c r="BI20" i="10"/>
  <c r="BI21" i="10"/>
  <c r="BI23" i="10"/>
  <c r="BI24" i="10"/>
  <c r="BI25" i="10"/>
  <c r="BI26" i="10"/>
  <c r="BI27" i="10"/>
  <c r="BI28"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8" i="10"/>
  <c r="BI99" i="10"/>
  <c r="BI103"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H9" i="10"/>
  <c r="BH10" i="10"/>
  <c r="BH11" i="10"/>
  <c r="BH12" i="10"/>
  <c r="BH14" i="10"/>
  <c r="BH15" i="10"/>
  <c r="BH16" i="10"/>
  <c r="BH17" i="10"/>
  <c r="BH18" i="10"/>
  <c r="BH19" i="10"/>
  <c r="BH20" i="10"/>
  <c r="BH21" i="10"/>
  <c r="BH23" i="10"/>
  <c r="BH24" i="10"/>
  <c r="BH25" i="10"/>
  <c r="BH26" i="10"/>
  <c r="BH27" i="10"/>
  <c r="BH28"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8" i="10"/>
  <c r="BH99" i="10"/>
  <c r="BH103"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8" i="10"/>
  <c r="BG8" i="10"/>
  <c r="BG9" i="10"/>
  <c r="BG10" i="10"/>
  <c r="BG11" i="10"/>
  <c r="BG12" i="10"/>
  <c r="BG14" i="10"/>
  <c r="BG15" i="10"/>
  <c r="BG16" i="10"/>
  <c r="BG17" i="10"/>
  <c r="BG18" i="10"/>
  <c r="BG19" i="10"/>
  <c r="BG20" i="10"/>
  <c r="BG21" i="10"/>
  <c r="BG23" i="10"/>
  <c r="BG24" i="10"/>
  <c r="BG25" i="10"/>
  <c r="BG26" i="10"/>
  <c r="BG27" i="10"/>
  <c r="BG28"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8" i="10"/>
  <c r="BG99" i="10"/>
  <c r="BG103"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F9" i="10"/>
  <c r="BF10" i="10"/>
  <c r="BF11" i="10"/>
  <c r="BF12" i="10"/>
  <c r="BF14" i="10"/>
  <c r="BF15" i="10"/>
  <c r="BF16" i="10"/>
  <c r="BF17" i="10"/>
  <c r="BF18" i="10"/>
  <c r="BF19" i="10"/>
  <c r="BF20" i="10"/>
  <c r="BF21" i="10"/>
  <c r="BF23" i="10"/>
  <c r="BF24" i="10"/>
  <c r="BF25" i="10"/>
  <c r="BF26" i="10"/>
  <c r="BF27" i="10"/>
  <c r="BF28"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8" i="10"/>
  <c r="BF99" i="10"/>
  <c r="BF103"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8" i="10"/>
  <c r="BE9" i="10"/>
  <c r="BE10" i="10"/>
  <c r="BE11" i="10"/>
  <c r="BE12" i="10"/>
  <c r="BE14" i="10"/>
  <c r="BE15" i="10"/>
  <c r="BE16" i="10"/>
  <c r="BE17" i="10"/>
  <c r="BE18" i="10"/>
  <c r="BE19" i="10"/>
  <c r="BE20" i="10"/>
  <c r="BE21" i="10"/>
  <c r="BE23" i="10"/>
  <c r="BE24" i="10"/>
  <c r="BE25" i="10"/>
  <c r="BE26" i="10"/>
  <c r="BE27" i="10"/>
  <c r="BE28"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8" i="10"/>
  <c r="BE99" i="10"/>
  <c r="BE103"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8" i="10"/>
  <c r="BD9" i="10"/>
  <c r="BD10" i="10"/>
  <c r="BD11" i="10"/>
  <c r="BD12" i="10"/>
  <c r="BD14" i="10"/>
  <c r="BD15" i="10"/>
  <c r="BD16" i="10"/>
  <c r="BD17" i="10"/>
  <c r="BD18" i="10"/>
  <c r="BD19" i="10"/>
  <c r="BD20" i="10"/>
  <c r="BD21" i="10"/>
  <c r="BD23" i="10"/>
  <c r="BD24" i="10"/>
  <c r="BD25" i="10"/>
  <c r="BD26" i="10"/>
  <c r="BD27" i="10"/>
  <c r="BD28"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8" i="10"/>
  <c r="BD99" i="10"/>
  <c r="BD103"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8" i="10"/>
  <c r="BC9" i="10"/>
  <c r="BC10" i="10"/>
  <c r="BC11" i="10"/>
  <c r="BC12" i="10"/>
  <c r="BC14" i="10"/>
  <c r="BC15" i="10"/>
  <c r="BC16" i="10"/>
  <c r="BC17" i="10"/>
  <c r="BC18" i="10"/>
  <c r="BC19" i="10"/>
  <c r="BC20" i="10"/>
  <c r="BC21" i="10"/>
  <c r="BC23" i="10"/>
  <c r="BC24" i="10"/>
  <c r="BC25" i="10"/>
  <c r="BC26" i="10"/>
  <c r="BC27" i="10"/>
  <c r="BC28"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8" i="10"/>
  <c r="BC99" i="10"/>
  <c r="BC103"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8" i="10"/>
  <c r="BB9" i="10"/>
  <c r="BB10" i="10"/>
  <c r="BB11" i="10"/>
  <c r="BB12" i="10"/>
  <c r="BB14" i="10"/>
  <c r="BB15" i="10"/>
  <c r="BB16" i="10"/>
  <c r="BB17" i="10"/>
  <c r="BB18" i="10"/>
  <c r="BB19" i="10"/>
  <c r="BB20" i="10"/>
  <c r="BB21" i="10"/>
  <c r="BB23" i="10"/>
  <c r="BB24" i="10"/>
  <c r="BB25" i="10"/>
  <c r="BB26" i="10"/>
  <c r="BB27" i="10"/>
  <c r="BB28"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8" i="10"/>
  <c r="BB99" i="10"/>
  <c r="BB103"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8" i="10"/>
  <c r="BA9" i="10"/>
  <c r="BA10" i="10"/>
  <c r="BA11" i="10"/>
  <c r="BA12" i="10"/>
  <c r="BA14" i="10"/>
  <c r="BA15" i="10"/>
  <c r="BA16" i="10"/>
  <c r="BA17" i="10"/>
  <c r="BA18" i="10"/>
  <c r="BA19" i="10"/>
  <c r="BA20" i="10"/>
  <c r="BA21" i="10"/>
  <c r="BA23" i="10"/>
  <c r="BA24" i="10"/>
  <c r="BA25" i="10"/>
  <c r="BA26" i="10"/>
  <c r="BA27" i="10"/>
  <c r="BA28" i="10"/>
  <c r="BA30" i="10"/>
  <c r="BA31" i="10"/>
  <c r="BA32" i="10"/>
  <c r="BA33" i="10"/>
  <c r="BA34" i="10"/>
  <c r="BA35" i="10"/>
  <c r="BA36" i="10"/>
  <c r="BA37" i="10"/>
  <c r="BA38" i="10"/>
  <c r="BA39" i="10"/>
  <c r="BA40" i="10"/>
  <c r="BA41" i="10"/>
  <c r="BA42" i="10"/>
  <c r="BA43" i="10"/>
  <c r="BA44" i="10"/>
  <c r="BA45" i="10"/>
  <c r="BA46" i="10"/>
  <c r="BA47" i="10"/>
  <c r="BA48" i="10"/>
  <c r="BA49" i="10"/>
  <c r="BA50" i="10"/>
  <c r="BA51" i="10"/>
  <c r="BA52" i="10"/>
  <c r="BA53" i="10"/>
  <c r="BA54" i="10"/>
  <c r="BA55" i="10"/>
  <c r="BA56" i="10"/>
  <c r="BA57" i="10"/>
  <c r="BA58" i="10"/>
  <c r="BA59" i="10"/>
  <c r="BA60" i="10"/>
  <c r="BA61" i="10"/>
  <c r="BA62" i="10"/>
  <c r="BA63" i="10"/>
  <c r="BA64" i="10"/>
  <c r="BA65" i="10"/>
  <c r="BA67" i="10"/>
  <c r="BA68" i="10"/>
  <c r="BA69" i="10"/>
  <c r="BA70" i="10"/>
  <c r="BA71" i="10"/>
  <c r="BA72" i="10"/>
  <c r="BA73" i="10"/>
  <c r="BA74" i="10"/>
  <c r="BA75" i="10"/>
  <c r="BA76" i="10"/>
  <c r="BA77" i="10"/>
  <c r="BA78" i="10"/>
  <c r="BA79" i="10"/>
  <c r="BA80" i="10"/>
  <c r="BA81" i="10"/>
  <c r="BA82" i="10"/>
  <c r="BA83" i="10"/>
  <c r="BA84" i="10"/>
  <c r="BA85" i="10"/>
  <c r="BA86" i="10"/>
  <c r="BA87" i="10"/>
  <c r="BA88" i="10"/>
  <c r="BA89" i="10"/>
  <c r="BA90" i="10"/>
  <c r="BA91" i="10"/>
  <c r="BA92" i="10"/>
  <c r="BA93" i="10"/>
  <c r="BA94" i="10"/>
  <c r="BA98" i="10"/>
  <c r="BA99" i="10"/>
  <c r="BA103" i="10"/>
  <c r="BA109" i="10"/>
  <c r="BA110" i="10"/>
  <c r="BA111" i="10"/>
  <c r="BA112" i="10"/>
  <c r="BA113" i="10"/>
  <c r="BA114" i="10"/>
  <c r="BA115" i="10"/>
  <c r="BA116" i="10"/>
  <c r="BA117" i="10"/>
  <c r="BA118" i="10"/>
  <c r="BA119" i="10"/>
  <c r="BA120" i="10"/>
  <c r="BA121" i="10"/>
  <c r="BA122" i="10"/>
  <c r="BA123" i="10"/>
  <c r="BA124" i="10"/>
  <c r="BA125" i="10"/>
  <c r="BA126" i="10"/>
  <c r="BA127" i="10"/>
  <c r="BA128" i="10"/>
  <c r="BA129" i="10"/>
  <c r="BA130" i="10"/>
  <c r="BA131" i="10"/>
  <c r="BA132" i="10"/>
  <c r="BA133" i="10"/>
  <c r="BA134" i="10"/>
  <c r="BA135" i="10"/>
  <c r="BA136" i="10"/>
  <c r="BA137" i="10"/>
  <c r="BA138" i="10"/>
  <c r="BA139" i="10"/>
  <c r="BA140" i="10"/>
  <c r="BA141" i="10"/>
  <c r="BA142" i="10"/>
  <c r="BA143" i="10"/>
  <c r="BA144" i="10"/>
  <c r="BA145" i="10"/>
  <c r="BA146" i="10"/>
  <c r="BA147" i="10"/>
  <c r="BA148" i="10"/>
  <c r="BA149" i="10"/>
  <c r="BA150" i="10"/>
  <c r="BA151" i="10"/>
  <c r="BA152" i="10"/>
  <c r="BA153" i="10"/>
  <c r="BA154" i="10"/>
  <c r="BA155" i="10"/>
  <c r="BA156" i="10"/>
  <c r="BA157" i="10"/>
  <c r="BA158" i="10"/>
  <c r="BA159" i="10"/>
  <c r="BA160" i="10"/>
  <c r="BA161" i="10"/>
  <c r="BA162" i="10"/>
  <c r="BA8" i="10"/>
  <c r="AZ9" i="10"/>
  <c r="AZ10" i="10"/>
  <c r="AZ11" i="10"/>
  <c r="AZ12" i="10"/>
  <c r="AZ14" i="10"/>
  <c r="AZ15" i="10"/>
  <c r="AZ16" i="10"/>
  <c r="AZ17" i="10"/>
  <c r="AZ18" i="10"/>
  <c r="AZ19" i="10"/>
  <c r="AZ20" i="10"/>
  <c r="AZ21" i="10"/>
  <c r="AZ23" i="10"/>
  <c r="AZ24" i="10"/>
  <c r="AZ25" i="10"/>
  <c r="AZ26" i="10"/>
  <c r="AZ27" i="10"/>
  <c r="AZ28"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8" i="10"/>
  <c r="AZ99" i="10"/>
  <c r="AZ103"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8" i="10"/>
  <c r="AY9" i="10"/>
  <c r="AY10" i="10"/>
  <c r="AY11" i="10"/>
  <c r="AY12" i="10"/>
  <c r="AY14" i="10"/>
  <c r="AY15" i="10"/>
  <c r="AY16" i="10"/>
  <c r="AY17" i="10"/>
  <c r="AY18" i="10"/>
  <c r="AY19" i="10"/>
  <c r="AY20" i="10"/>
  <c r="AY21" i="10"/>
  <c r="AY23" i="10"/>
  <c r="AY24" i="10"/>
  <c r="AY25" i="10"/>
  <c r="AY26" i="10"/>
  <c r="AY27" i="10"/>
  <c r="AY28"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8" i="10"/>
  <c r="AY99" i="10"/>
  <c r="AY103"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8" i="10"/>
  <c r="AX9" i="10"/>
  <c r="AX10" i="10"/>
  <c r="AX11" i="10"/>
  <c r="AX12" i="10"/>
  <c r="AX14" i="10"/>
  <c r="AX15" i="10"/>
  <c r="AX16" i="10"/>
  <c r="AX17" i="10"/>
  <c r="AX18" i="10"/>
  <c r="AX19" i="10"/>
  <c r="AX20" i="10"/>
  <c r="AX21" i="10"/>
  <c r="AX23" i="10"/>
  <c r="AX24" i="10"/>
  <c r="AX25" i="10"/>
  <c r="AX26" i="10"/>
  <c r="AX27" i="10"/>
  <c r="AX28"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8" i="10"/>
  <c r="AX99" i="10"/>
  <c r="AX103"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8" i="10"/>
  <c r="AW9" i="10"/>
  <c r="AW10" i="10"/>
  <c r="AW11" i="10"/>
  <c r="AW12" i="10"/>
  <c r="AW14" i="10"/>
  <c r="AW15" i="10"/>
  <c r="AW16" i="10"/>
  <c r="AW17" i="10"/>
  <c r="AW18" i="10"/>
  <c r="AW19" i="10"/>
  <c r="AW20" i="10"/>
  <c r="AW21" i="10"/>
  <c r="AW23" i="10"/>
  <c r="AW24" i="10"/>
  <c r="AW25" i="10"/>
  <c r="AW26" i="10"/>
  <c r="AW27" i="10"/>
  <c r="AW28"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7" i="10"/>
  <c r="AW68" i="10"/>
  <c r="AW69" i="10"/>
  <c r="AW70" i="10"/>
  <c r="AW71" i="10"/>
  <c r="AW72" i="10"/>
  <c r="AW73" i="10"/>
  <c r="AW74" i="10"/>
  <c r="AW75" i="10"/>
  <c r="AW76" i="10"/>
  <c r="AW77" i="10"/>
  <c r="AW78" i="10"/>
  <c r="AW79" i="10"/>
  <c r="AW80" i="10"/>
  <c r="AW81" i="10"/>
  <c r="AW82" i="10"/>
  <c r="AW83" i="10"/>
  <c r="AW84" i="10"/>
  <c r="AW85" i="10"/>
  <c r="AW86" i="10"/>
  <c r="AW87" i="10"/>
  <c r="AW88" i="10"/>
  <c r="AW89" i="10"/>
  <c r="AW90" i="10"/>
  <c r="AW91" i="10"/>
  <c r="AW92" i="10"/>
  <c r="AW93" i="10"/>
  <c r="AW94" i="10"/>
  <c r="AW98" i="10"/>
  <c r="AW99" i="10"/>
  <c r="AW103" i="10"/>
  <c r="AW109" i="10"/>
  <c r="AW110" i="10"/>
  <c r="AW111" i="10"/>
  <c r="AW112" i="10"/>
  <c r="AW113" i="10"/>
  <c r="AW114" i="10"/>
  <c r="AW115" i="10"/>
  <c r="AW116" i="10"/>
  <c r="AW117" i="10"/>
  <c r="AW118" i="10"/>
  <c r="AW119" i="10"/>
  <c r="AW120" i="10"/>
  <c r="AW121" i="10"/>
  <c r="AW122" i="10"/>
  <c r="AW123" i="10"/>
  <c r="AW124" i="10"/>
  <c r="AW125" i="10"/>
  <c r="AW126" i="10"/>
  <c r="AW127" i="10"/>
  <c r="AW128" i="10"/>
  <c r="AW129" i="10"/>
  <c r="AW130" i="10"/>
  <c r="AW131" i="10"/>
  <c r="AW132" i="10"/>
  <c r="AW133" i="10"/>
  <c r="AW134" i="10"/>
  <c r="AW135" i="10"/>
  <c r="AW136" i="10"/>
  <c r="AW137" i="10"/>
  <c r="AW138" i="10"/>
  <c r="AW139" i="10"/>
  <c r="AW140" i="10"/>
  <c r="AW141" i="10"/>
  <c r="AW142" i="10"/>
  <c r="AW143" i="10"/>
  <c r="AW144" i="10"/>
  <c r="AW145" i="10"/>
  <c r="AW146" i="10"/>
  <c r="AW147" i="10"/>
  <c r="AW148" i="10"/>
  <c r="AW149" i="10"/>
  <c r="AW150" i="10"/>
  <c r="AW151" i="10"/>
  <c r="AW152" i="10"/>
  <c r="AW153" i="10"/>
  <c r="AW154" i="10"/>
  <c r="AW155" i="10"/>
  <c r="AW156" i="10"/>
  <c r="AW157" i="10"/>
  <c r="AW158" i="10"/>
  <c r="AW159" i="10"/>
  <c r="AW160" i="10"/>
  <c r="AW161" i="10"/>
  <c r="AW162" i="10"/>
  <c r="AW8" i="10"/>
  <c r="AV9" i="10"/>
  <c r="AV10" i="10"/>
  <c r="AV11" i="10"/>
  <c r="AV12" i="10"/>
  <c r="AV14" i="10"/>
  <c r="AV15" i="10"/>
  <c r="AV16" i="10"/>
  <c r="AV17" i="10"/>
  <c r="AV18" i="10"/>
  <c r="AV19" i="10"/>
  <c r="AV20" i="10"/>
  <c r="AV21" i="10"/>
  <c r="AV23" i="10"/>
  <c r="AV24" i="10"/>
  <c r="AV25" i="10"/>
  <c r="AV26" i="10"/>
  <c r="AV27" i="10"/>
  <c r="AV28"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8" i="10"/>
  <c r="AV99" i="10"/>
  <c r="AV103" i="10"/>
  <c r="AV109" i="10"/>
  <c r="AV110" i="10"/>
  <c r="AV111" i="10"/>
  <c r="AV112" i="10"/>
  <c r="AV113" i="10"/>
  <c r="AV114" i="10"/>
  <c r="AV115" i="10"/>
  <c r="AV116" i="10"/>
  <c r="AV117" i="10"/>
  <c r="AV118" i="10"/>
  <c r="AV119" i="10"/>
  <c r="AV120" i="10"/>
  <c r="AV121" i="10"/>
  <c r="AV122" i="10"/>
  <c r="AV123" i="10"/>
  <c r="AV124" i="10"/>
  <c r="AV125" i="10"/>
  <c r="AV126" i="10"/>
  <c r="AV127" i="10"/>
  <c r="AV128" i="10"/>
  <c r="AV129" i="10"/>
  <c r="AV130" i="10"/>
  <c r="AV131" i="10"/>
  <c r="AV132" i="10"/>
  <c r="AV133" i="10"/>
  <c r="AV134" i="10"/>
  <c r="AV135" i="10"/>
  <c r="AV136" i="10"/>
  <c r="AV137" i="10"/>
  <c r="AV138" i="10"/>
  <c r="AV139" i="10"/>
  <c r="AV140" i="10"/>
  <c r="AV141" i="10"/>
  <c r="AV142" i="10"/>
  <c r="AV143" i="10"/>
  <c r="AV144" i="10"/>
  <c r="AV145" i="10"/>
  <c r="AV146" i="10"/>
  <c r="AV147" i="10"/>
  <c r="AV148" i="10"/>
  <c r="AV149" i="10"/>
  <c r="AV150" i="10"/>
  <c r="AV151" i="10"/>
  <c r="AV152" i="10"/>
  <c r="AV153" i="10"/>
  <c r="AV154" i="10"/>
  <c r="AV155" i="10"/>
  <c r="AV156" i="10"/>
  <c r="AV157" i="10"/>
  <c r="AV158" i="10"/>
  <c r="AV159" i="10"/>
  <c r="AV160" i="10"/>
  <c r="AV161" i="10"/>
  <c r="AV162" i="10"/>
  <c r="AV8" i="10"/>
  <c r="AU9" i="10"/>
  <c r="AU10" i="10"/>
  <c r="AU11" i="10"/>
  <c r="AU12" i="10"/>
  <c r="AU14" i="10"/>
  <c r="AU15" i="10"/>
  <c r="AU16" i="10"/>
  <c r="AU17" i="10"/>
  <c r="AU18" i="10"/>
  <c r="AU19" i="10"/>
  <c r="AU20" i="10"/>
  <c r="AU21" i="10"/>
  <c r="AU23" i="10"/>
  <c r="AU24" i="10"/>
  <c r="AU25" i="10"/>
  <c r="AU26" i="10"/>
  <c r="AU27" i="10"/>
  <c r="AU28"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8" i="10"/>
  <c r="AU99" i="10"/>
  <c r="AU103"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8" i="10"/>
  <c r="AT9" i="10"/>
  <c r="AT10" i="10"/>
  <c r="AT11" i="10"/>
  <c r="AT12" i="10"/>
  <c r="AT14" i="10"/>
  <c r="AT15" i="10"/>
  <c r="AT16" i="10"/>
  <c r="AT17" i="10"/>
  <c r="AT18" i="10"/>
  <c r="AT19" i="10"/>
  <c r="AT20" i="10"/>
  <c r="AT21" i="10"/>
  <c r="AT23" i="10"/>
  <c r="AT24" i="10"/>
  <c r="AT25" i="10"/>
  <c r="AT26" i="10"/>
  <c r="AT27" i="10"/>
  <c r="AT28"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8" i="10"/>
  <c r="AT99" i="10"/>
  <c r="AT103"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8" i="10"/>
  <c r="AS9" i="10"/>
  <c r="AS10" i="10"/>
  <c r="AS11" i="10"/>
  <c r="AS12" i="10"/>
  <c r="AS14" i="10"/>
  <c r="AS15" i="10"/>
  <c r="AS16" i="10"/>
  <c r="AS17" i="10"/>
  <c r="AS18" i="10"/>
  <c r="AS19" i="10"/>
  <c r="AS20" i="10"/>
  <c r="AS21" i="10"/>
  <c r="AS23" i="10"/>
  <c r="AS24" i="10"/>
  <c r="AS25" i="10"/>
  <c r="AS26" i="10"/>
  <c r="AS27" i="10"/>
  <c r="AS28"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8" i="10"/>
  <c r="AS99" i="10"/>
  <c r="AS103"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8" i="10"/>
  <c r="AR9" i="10"/>
  <c r="AR10" i="10"/>
  <c r="AR11" i="10"/>
  <c r="AR12" i="10"/>
  <c r="AR14" i="10"/>
  <c r="AR15" i="10"/>
  <c r="AR16" i="10"/>
  <c r="AR17" i="10"/>
  <c r="AR18" i="10"/>
  <c r="AR19" i="10"/>
  <c r="AR20" i="10"/>
  <c r="AR21" i="10"/>
  <c r="AR23" i="10"/>
  <c r="AR24" i="10"/>
  <c r="AR25" i="10"/>
  <c r="AR26" i="10"/>
  <c r="AR27" i="10"/>
  <c r="AR28"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8" i="10"/>
  <c r="AR99" i="10"/>
  <c r="AR103"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8" i="10"/>
  <c r="AQ9" i="10"/>
  <c r="AQ10" i="10"/>
  <c r="AQ11" i="10"/>
  <c r="AQ12" i="10"/>
  <c r="AQ14" i="10"/>
  <c r="AQ15" i="10"/>
  <c r="AQ16" i="10"/>
  <c r="AQ17" i="10"/>
  <c r="AQ18" i="10"/>
  <c r="AQ19" i="10"/>
  <c r="AQ20" i="10"/>
  <c r="AQ21" i="10"/>
  <c r="AQ23" i="10"/>
  <c r="AQ24" i="10"/>
  <c r="AQ25" i="10"/>
  <c r="AQ26" i="10"/>
  <c r="AQ27" i="10"/>
  <c r="AQ28"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8" i="10"/>
  <c r="AQ99" i="10"/>
  <c r="AQ103"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8" i="10"/>
  <c r="AP9" i="10"/>
  <c r="AP10" i="10"/>
  <c r="AP11" i="10"/>
  <c r="AP12" i="10"/>
  <c r="AP14" i="10"/>
  <c r="AP15" i="10"/>
  <c r="AP16" i="10"/>
  <c r="AP17" i="10"/>
  <c r="AP18" i="10"/>
  <c r="AP19" i="10"/>
  <c r="AP20" i="10"/>
  <c r="AP21" i="10"/>
  <c r="AP23" i="10"/>
  <c r="AP24" i="10"/>
  <c r="AP25" i="10"/>
  <c r="AP26" i="10"/>
  <c r="AP27" i="10"/>
  <c r="AP28"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8" i="10"/>
  <c r="AP99" i="10"/>
  <c r="AP103"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8" i="10"/>
  <c r="AO9" i="10"/>
  <c r="AO10" i="10"/>
  <c r="AO11" i="10"/>
  <c r="AO12" i="10"/>
  <c r="AO14" i="10"/>
  <c r="AO15" i="10"/>
  <c r="AO16" i="10"/>
  <c r="AO17" i="10"/>
  <c r="AO18" i="10"/>
  <c r="AO19" i="10"/>
  <c r="AO20" i="10"/>
  <c r="AO21" i="10"/>
  <c r="AO23" i="10"/>
  <c r="AO24" i="10"/>
  <c r="AO25" i="10"/>
  <c r="AO26" i="10"/>
  <c r="AO27" i="10"/>
  <c r="AO28"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8" i="10"/>
  <c r="AO99" i="10"/>
  <c r="AO103"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8" i="10"/>
  <c r="AN9" i="10"/>
  <c r="AN10" i="10"/>
  <c r="AN11" i="10"/>
  <c r="AN12" i="10"/>
  <c r="AN14" i="10"/>
  <c r="AN15" i="10"/>
  <c r="AN16" i="10"/>
  <c r="AN17" i="10"/>
  <c r="AN18" i="10"/>
  <c r="AN19" i="10"/>
  <c r="AN20" i="10"/>
  <c r="AN21" i="10"/>
  <c r="AN23" i="10"/>
  <c r="AN24" i="10"/>
  <c r="AN25" i="10"/>
  <c r="AN26" i="10"/>
  <c r="AN27" i="10"/>
  <c r="AN28"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8" i="10"/>
  <c r="AN99" i="10"/>
  <c r="AN103"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8" i="10"/>
  <c r="AM9" i="10"/>
  <c r="AM10" i="10"/>
  <c r="AM11" i="10"/>
  <c r="AM12" i="10"/>
  <c r="AM14" i="10"/>
  <c r="AM15" i="10"/>
  <c r="AM16" i="10"/>
  <c r="AM17" i="10"/>
  <c r="AM18" i="10"/>
  <c r="AM19" i="10"/>
  <c r="AM20" i="10"/>
  <c r="AM21" i="10"/>
  <c r="AM23" i="10"/>
  <c r="AM24" i="10"/>
  <c r="AM25" i="10"/>
  <c r="AM26" i="10"/>
  <c r="AM27" i="10"/>
  <c r="AM28"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8" i="10"/>
  <c r="AM99" i="10"/>
  <c r="AM103"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8" i="10"/>
  <c r="AL9" i="10"/>
  <c r="AL10" i="10"/>
  <c r="AL11" i="10"/>
  <c r="AL12" i="10"/>
  <c r="AL14" i="10"/>
  <c r="AL15" i="10"/>
  <c r="AL16" i="10"/>
  <c r="AL17" i="10"/>
  <c r="AL18" i="10"/>
  <c r="AL19" i="10"/>
  <c r="AL20" i="10"/>
  <c r="AL21" i="10"/>
  <c r="AL23" i="10"/>
  <c r="AL24" i="10"/>
  <c r="AL25" i="10"/>
  <c r="AL26" i="10"/>
  <c r="AL27" i="10"/>
  <c r="AL28"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8" i="10"/>
  <c r="AL99" i="10"/>
  <c r="AL103"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8" i="10"/>
  <c r="AK9" i="10"/>
  <c r="AK10" i="10"/>
  <c r="AK11" i="10"/>
  <c r="AK12" i="10"/>
  <c r="AK14" i="10"/>
  <c r="AK15" i="10"/>
  <c r="AK16" i="10"/>
  <c r="AK17" i="10"/>
  <c r="AK18" i="10"/>
  <c r="AK19" i="10"/>
  <c r="AK20" i="10"/>
  <c r="AK21" i="10"/>
  <c r="AK23" i="10"/>
  <c r="AK24" i="10"/>
  <c r="AK25" i="10"/>
  <c r="AK26" i="10"/>
  <c r="AK27" i="10"/>
  <c r="AK28"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8" i="10"/>
  <c r="AK99" i="10"/>
  <c r="AK103"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8" i="10"/>
  <c r="AJ9" i="10"/>
  <c r="AJ10" i="10"/>
  <c r="AJ11" i="10"/>
  <c r="AJ12" i="10"/>
  <c r="AJ14" i="10"/>
  <c r="AJ15" i="10"/>
  <c r="AJ16" i="10"/>
  <c r="AJ17" i="10"/>
  <c r="AJ18" i="10"/>
  <c r="AJ19" i="10"/>
  <c r="AJ20" i="10"/>
  <c r="AJ21" i="10"/>
  <c r="AJ23" i="10"/>
  <c r="AJ24" i="10"/>
  <c r="AJ25" i="10"/>
  <c r="AJ26" i="10"/>
  <c r="AJ27" i="10"/>
  <c r="AJ28"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8" i="10"/>
  <c r="AJ99" i="10"/>
  <c r="AJ103"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8" i="10"/>
  <c r="AI9" i="10"/>
  <c r="AI10" i="10"/>
  <c r="AI11" i="10"/>
  <c r="AI12" i="10"/>
  <c r="AI14" i="10"/>
  <c r="AI15" i="10"/>
  <c r="AI16" i="10"/>
  <c r="AI17" i="10"/>
  <c r="AI18" i="10"/>
  <c r="AI19" i="10"/>
  <c r="AI20" i="10"/>
  <c r="AI21" i="10"/>
  <c r="AI23" i="10"/>
  <c r="AI24" i="10"/>
  <c r="AI25" i="10"/>
  <c r="AI26" i="10"/>
  <c r="AI27" i="10"/>
  <c r="AI28"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8" i="10"/>
  <c r="AI99" i="10"/>
  <c r="AI103"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8" i="10"/>
  <c r="AH9" i="10"/>
  <c r="AH10" i="10"/>
  <c r="AH11" i="10"/>
  <c r="AH12" i="10"/>
  <c r="AH14" i="10"/>
  <c r="AH15" i="10"/>
  <c r="AH16" i="10"/>
  <c r="AH17" i="10"/>
  <c r="AH18" i="10"/>
  <c r="AH19" i="10"/>
  <c r="AH20" i="10"/>
  <c r="AH21" i="10"/>
  <c r="AH23" i="10"/>
  <c r="AH24" i="10"/>
  <c r="AH25" i="10"/>
  <c r="AH26" i="10"/>
  <c r="AH27" i="10"/>
  <c r="AH28"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8" i="10"/>
  <c r="AH99" i="10"/>
  <c r="AH103"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8" i="10"/>
  <c r="AG9" i="10"/>
  <c r="AG10" i="10"/>
  <c r="AG11" i="10"/>
  <c r="AG12" i="10"/>
  <c r="AG14" i="10"/>
  <c r="AG15" i="10"/>
  <c r="AG16" i="10"/>
  <c r="AG17" i="10"/>
  <c r="AG18" i="10"/>
  <c r="AG19" i="10"/>
  <c r="AG20" i="10"/>
  <c r="AG21" i="10"/>
  <c r="AG23" i="10"/>
  <c r="AG24" i="10"/>
  <c r="AG25" i="10"/>
  <c r="AG26" i="10"/>
  <c r="AG27" i="10"/>
  <c r="AG28"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8" i="10"/>
  <c r="AG99" i="10"/>
  <c r="AG103"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8" i="10"/>
  <c r="AF9" i="10"/>
  <c r="AF10" i="10"/>
  <c r="AF11" i="10"/>
  <c r="AF12" i="10"/>
  <c r="AF14" i="10"/>
  <c r="AF15" i="10"/>
  <c r="AF16" i="10"/>
  <c r="AF17" i="10"/>
  <c r="AF18" i="10"/>
  <c r="AF19" i="10"/>
  <c r="AF20" i="10"/>
  <c r="AF21" i="10"/>
  <c r="AF23" i="10"/>
  <c r="AF24" i="10"/>
  <c r="AF25" i="10"/>
  <c r="AF26" i="10"/>
  <c r="AF27" i="10"/>
  <c r="AF28"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8" i="10"/>
  <c r="AF99" i="10"/>
  <c r="AF103"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8" i="10"/>
  <c r="AE9" i="10"/>
  <c r="AE10" i="10"/>
  <c r="AE11" i="10"/>
  <c r="AE12" i="10"/>
  <c r="AE14" i="10"/>
  <c r="AE15" i="10"/>
  <c r="AE16" i="10"/>
  <c r="AE17" i="10"/>
  <c r="AE18" i="10"/>
  <c r="AE19" i="10"/>
  <c r="AE20" i="10"/>
  <c r="AE21" i="10"/>
  <c r="AE23" i="10"/>
  <c r="AE24" i="10"/>
  <c r="AE25" i="10"/>
  <c r="AE26" i="10"/>
  <c r="AE27" i="10"/>
  <c r="AE28"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8" i="10"/>
  <c r="AE99" i="10"/>
  <c r="AE103"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8" i="10"/>
  <c r="AD9" i="10"/>
  <c r="AD10" i="10"/>
  <c r="AD11" i="10"/>
  <c r="AD12" i="10"/>
  <c r="AD14" i="10"/>
  <c r="AD15" i="10"/>
  <c r="AD16" i="10"/>
  <c r="AD17" i="10"/>
  <c r="AD18" i="10"/>
  <c r="AD19" i="10"/>
  <c r="AD20" i="10"/>
  <c r="AD21" i="10"/>
  <c r="AD23" i="10"/>
  <c r="AD24" i="10"/>
  <c r="AD25" i="10"/>
  <c r="AD26" i="10"/>
  <c r="AD27" i="10"/>
  <c r="AD28"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8" i="10"/>
  <c r="AD99" i="10"/>
  <c r="AD103"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8" i="10"/>
  <c r="AC8" i="10"/>
  <c r="AC9" i="10"/>
  <c r="AC10" i="10"/>
  <c r="AC11" i="10"/>
  <c r="AC12" i="10"/>
  <c r="AC14" i="10"/>
  <c r="AC15" i="10"/>
  <c r="AC16" i="10"/>
  <c r="AC17" i="10"/>
  <c r="AC18" i="10"/>
  <c r="AC19" i="10"/>
  <c r="AC20" i="10"/>
  <c r="AC21" i="10"/>
  <c r="AC23" i="10"/>
  <c r="AC24" i="10"/>
  <c r="AC25" i="10"/>
  <c r="AC26" i="10"/>
  <c r="AC27" i="10"/>
  <c r="AC28"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8" i="10"/>
  <c r="AC99" i="10"/>
  <c r="AC103"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B8" i="10"/>
  <c r="AB9" i="10"/>
  <c r="AB10" i="10"/>
  <c r="AB11" i="10"/>
  <c r="AB12" i="10"/>
  <c r="AB14" i="10"/>
  <c r="AB15" i="10"/>
  <c r="AB16" i="10"/>
  <c r="AB17" i="10"/>
  <c r="AB18" i="10"/>
  <c r="AB19" i="10"/>
  <c r="AB20" i="10"/>
  <c r="AB21" i="10"/>
  <c r="AB23" i="10"/>
  <c r="AB24" i="10"/>
  <c r="AB25" i="10"/>
  <c r="AB26" i="10"/>
  <c r="AB27" i="10"/>
  <c r="AB28"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8" i="10"/>
  <c r="AB99" i="10"/>
  <c r="AB103"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A9" i="10"/>
  <c r="AA10" i="10"/>
  <c r="AA11" i="10"/>
  <c r="AA12" i="10"/>
  <c r="AA14" i="10"/>
  <c r="AA15" i="10"/>
  <c r="AA16" i="10"/>
  <c r="AA17" i="10"/>
  <c r="AA18" i="10"/>
  <c r="AA19" i="10"/>
  <c r="AA20" i="10"/>
  <c r="AA21" i="10"/>
  <c r="AA23" i="10"/>
  <c r="AA24" i="10"/>
  <c r="AA25" i="10"/>
  <c r="AA26" i="10"/>
  <c r="AA27" i="10"/>
  <c r="AA28"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8" i="10"/>
  <c r="AA99" i="10"/>
  <c r="AA103"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8" i="10"/>
  <c r="Z9" i="10"/>
  <c r="Z10" i="10"/>
  <c r="Z11" i="10"/>
  <c r="Z12" i="10"/>
  <c r="Z14" i="10"/>
  <c r="Z15" i="10"/>
  <c r="Z16" i="10"/>
  <c r="Z17" i="10"/>
  <c r="Z18" i="10"/>
  <c r="Z19" i="10"/>
  <c r="Z20" i="10"/>
  <c r="Z21" i="10"/>
  <c r="Z23" i="10"/>
  <c r="Z24" i="10"/>
  <c r="Z25" i="10"/>
  <c r="Z26" i="10"/>
  <c r="Z27" i="10"/>
  <c r="Z28"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8" i="10"/>
  <c r="Z99" i="10"/>
  <c r="Z103"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8" i="10"/>
  <c r="Y9" i="10"/>
  <c r="Y10" i="10"/>
  <c r="Y11" i="10"/>
  <c r="Y12" i="10"/>
  <c r="Y14" i="10"/>
  <c r="Y15" i="10"/>
  <c r="Y16" i="10"/>
  <c r="Y17" i="10"/>
  <c r="Y18" i="10"/>
  <c r="Y19" i="10"/>
  <c r="Y20" i="10"/>
  <c r="Y21" i="10"/>
  <c r="Y23" i="10"/>
  <c r="Y24" i="10"/>
  <c r="Y25" i="10"/>
  <c r="Y26" i="10"/>
  <c r="Y27" i="10"/>
  <c r="Y28"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8" i="10"/>
  <c r="Y99" i="10"/>
  <c r="Y103"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8" i="10"/>
  <c r="X9" i="10"/>
  <c r="X10" i="10"/>
  <c r="X11" i="10"/>
  <c r="X12" i="10"/>
  <c r="X14" i="10"/>
  <c r="X15" i="10"/>
  <c r="X16" i="10"/>
  <c r="X17" i="10"/>
  <c r="X18" i="10"/>
  <c r="X19" i="10"/>
  <c r="X20" i="10"/>
  <c r="X21" i="10"/>
  <c r="X23" i="10"/>
  <c r="X24" i="10"/>
  <c r="X25" i="10"/>
  <c r="X26" i="10"/>
  <c r="X27" i="10"/>
  <c r="X28"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8" i="10"/>
  <c r="X99" i="10"/>
  <c r="X103"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8" i="10"/>
  <c r="W9" i="10"/>
  <c r="W10" i="10"/>
  <c r="W11" i="10"/>
  <c r="W12" i="10"/>
  <c r="W14" i="10"/>
  <c r="W15" i="10"/>
  <c r="W16" i="10"/>
  <c r="W17" i="10"/>
  <c r="W18" i="10"/>
  <c r="W19" i="10"/>
  <c r="W20" i="10"/>
  <c r="W21" i="10"/>
  <c r="W23" i="10"/>
  <c r="W24" i="10"/>
  <c r="W25" i="10"/>
  <c r="W26" i="10"/>
  <c r="W27" i="10"/>
  <c r="W28"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8" i="10"/>
  <c r="W99" i="10"/>
  <c r="W103"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8" i="10"/>
  <c r="V9" i="10"/>
  <c r="V10" i="10"/>
  <c r="V11" i="10"/>
  <c r="V12" i="10"/>
  <c r="V14" i="10"/>
  <c r="V15" i="10"/>
  <c r="V16" i="10"/>
  <c r="V17" i="10"/>
  <c r="V18" i="10"/>
  <c r="V19" i="10"/>
  <c r="V20" i="10"/>
  <c r="V21" i="10"/>
  <c r="V23" i="10"/>
  <c r="V24" i="10"/>
  <c r="V25" i="10"/>
  <c r="V26" i="10"/>
  <c r="V27" i="10"/>
  <c r="V28"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8" i="10"/>
  <c r="V99" i="10"/>
  <c r="V103"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8" i="10"/>
  <c r="U9" i="10"/>
  <c r="U10" i="10"/>
  <c r="U11" i="10"/>
  <c r="U12" i="10"/>
  <c r="U14" i="10"/>
  <c r="U15" i="10"/>
  <c r="U16" i="10"/>
  <c r="U17" i="10"/>
  <c r="U18" i="10"/>
  <c r="U19" i="10"/>
  <c r="U20" i="10"/>
  <c r="U21" i="10"/>
  <c r="U23" i="10"/>
  <c r="U24" i="10"/>
  <c r="U25" i="10"/>
  <c r="U26" i="10"/>
  <c r="U27" i="10"/>
  <c r="U28"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8" i="10"/>
  <c r="U99" i="10"/>
  <c r="U103"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8" i="10"/>
  <c r="T9" i="10"/>
  <c r="T10" i="10"/>
  <c r="T11" i="10"/>
  <c r="T12" i="10"/>
  <c r="T14" i="10"/>
  <c r="T15" i="10"/>
  <c r="T16" i="10"/>
  <c r="T17" i="10"/>
  <c r="T18" i="10"/>
  <c r="T19" i="10"/>
  <c r="T20" i="10"/>
  <c r="T21" i="10"/>
  <c r="T23" i="10"/>
  <c r="T24" i="10"/>
  <c r="T25" i="10"/>
  <c r="T26" i="10"/>
  <c r="T27" i="10"/>
  <c r="T28"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8" i="10"/>
  <c r="T99" i="10"/>
  <c r="T103"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8" i="10"/>
  <c r="S9" i="10"/>
  <c r="S10" i="10"/>
  <c r="S11" i="10"/>
  <c r="S12" i="10"/>
  <c r="S14" i="10"/>
  <c r="S15" i="10"/>
  <c r="S16" i="10"/>
  <c r="S17" i="10"/>
  <c r="S18" i="10"/>
  <c r="S19" i="10"/>
  <c r="S20" i="10"/>
  <c r="S21" i="10"/>
  <c r="S23" i="10"/>
  <c r="S24" i="10"/>
  <c r="S25" i="10"/>
  <c r="S26" i="10"/>
  <c r="S27" i="10"/>
  <c r="S28"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8" i="10"/>
  <c r="S99" i="10"/>
  <c r="S103"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8" i="10"/>
  <c r="Q9" i="10"/>
  <c r="Q10" i="10"/>
  <c r="Q11" i="10"/>
  <c r="Q12" i="10"/>
  <c r="Q14" i="10"/>
  <c r="Q15" i="10"/>
  <c r="Q16" i="10"/>
  <c r="Q17" i="10"/>
  <c r="Q18" i="10"/>
  <c r="Q19" i="10"/>
  <c r="Q20" i="10"/>
  <c r="Q21" i="10"/>
  <c r="Q23" i="10"/>
  <c r="Q24" i="10"/>
  <c r="Q25" i="10"/>
  <c r="Q26" i="10"/>
  <c r="Q27" i="10"/>
  <c r="Q28"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8" i="10"/>
  <c r="Q99" i="10"/>
  <c r="Q103"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8" i="10"/>
  <c r="P9" i="10"/>
  <c r="P10" i="10"/>
  <c r="P11" i="10"/>
  <c r="P12" i="10"/>
  <c r="P14" i="10"/>
  <c r="P15" i="10"/>
  <c r="P16" i="10"/>
  <c r="P17" i="10"/>
  <c r="P18" i="10"/>
  <c r="P19" i="10"/>
  <c r="P20" i="10"/>
  <c r="P21" i="10"/>
  <c r="P23" i="10"/>
  <c r="P24" i="10"/>
  <c r="P25" i="10"/>
  <c r="P26" i="10"/>
  <c r="P27" i="10"/>
  <c r="P28"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8" i="10"/>
  <c r="P99" i="10"/>
  <c r="P103"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8" i="10"/>
  <c r="O9" i="10"/>
  <c r="O10" i="10"/>
  <c r="O11" i="10"/>
  <c r="O12" i="10"/>
  <c r="O14" i="10"/>
  <c r="O15" i="10"/>
  <c r="O16" i="10"/>
  <c r="O17" i="10"/>
  <c r="O18" i="10"/>
  <c r="O19" i="10"/>
  <c r="O20" i="10"/>
  <c r="O21" i="10"/>
  <c r="O23" i="10"/>
  <c r="O24" i="10"/>
  <c r="O25" i="10"/>
  <c r="O26" i="10"/>
  <c r="O27" i="10"/>
  <c r="O28"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8" i="10"/>
  <c r="O99" i="10"/>
  <c r="O103"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8" i="10"/>
  <c r="N9" i="10"/>
  <c r="N10" i="10"/>
  <c r="N11" i="10"/>
  <c r="N12" i="10"/>
  <c r="N14" i="10"/>
  <c r="N15" i="10"/>
  <c r="N16" i="10"/>
  <c r="N17" i="10"/>
  <c r="N18" i="10"/>
  <c r="N19" i="10"/>
  <c r="N20" i="10"/>
  <c r="N21" i="10"/>
  <c r="N23" i="10"/>
  <c r="N24" i="10"/>
  <c r="N25" i="10"/>
  <c r="N26" i="10"/>
  <c r="N27" i="10"/>
  <c r="N28"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8" i="10"/>
  <c r="N99" i="10"/>
  <c r="N103"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8" i="10"/>
  <c r="M9" i="10"/>
  <c r="M10" i="10"/>
  <c r="M11" i="10"/>
  <c r="M12" i="10"/>
  <c r="M14" i="10"/>
  <c r="M15" i="10"/>
  <c r="M16" i="10"/>
  <c r="M17" i="10"/>
  <c r="M18" i="10"/>
  <c r="M19" i="10"/>
  <c r="M20" i="10"/>
  <c r="M21" i="10"/>
  <c r="M23" i="10"/>
  <c r="M24" i="10"/>
  <c r="M25" i="10"/>
  <c r="M26" i="10"/>
  <c r="M27" i="10"/>
  <c r="M28"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8" i="10"/>
  <c r="M99" i="10"/>
  <c r="M103"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8" i="10"/>
  <c r="L10" i="10"/>
  <c r="L11" i="10"/>
  <c r="L12" i="10"/>
  <c r="L14" i="10"/>
  <c r="L15" i="10"/>
  <c r="L16" i="10"/>
  <c r="L17" i="10"/>
  <c r="L18" i="10"/>
  <c r="L19" i="10"/>
  <c r="L20" i="10"/>
  <c r="L21" i="10"/>
  <c r="L23" i="10"/>
  <c r="L24" i="10"/>
  <c r="L25" i="10"/>
  <c r="L26" i="10"/>
  <c r="L27" i="10"/>
  <c r="L28"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8" i="10"/>
  <c r="L99" i="10"/>
  <c r="L103"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8" i="10"/>
  <c r="K9" i="10"/>
  <c r="K10" i="10"/>
  <c r="K11" i="10"/>
  <c r="K12" i="10"/>
  <c r="K14" i="10"/>
  <c r="K15" i="10"/>
  <c r="K16" i="10"/>
  <c r="K17" i="10"/>
  <c r="K18" i="10"/>
  <c r="K19" i="10"/>
  <c r="K20" i="10"/>
  <c r="K21" i="10"/>
  <c r="K23" i="10"/>
  <c r="K24" i="10"/>
  <c r="K25" i="10"/>
  <c r="K26" i="10"/>
  <c r="K27" i="10"/>
  <c r="K28"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8" i="10"/>
  <c r="K99" i="10"/>
  <c r="K103"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8" i="10"/>
  <c r="J9" i="10"/>
  <c r="J10" i="10"/>
  <c r="J11" i="10"/>
  <c r="J12" i="10"/>
  <c r="J14" i="10"/>
  <c r="J15" i="10"/>
  <c r="J16" i="10"/>
  <c r="J17" i="10"/>
  <c r="J18" i="10"/>
  <c r="J19" i="10"/>
  <c r="J20" i="10"/>
  <c r="J21" i="10"/>
  <c r="J23" i="10"/>
  <c r="J24" i="10"/>
  <c r="J25" i="10"/>
  <c r="J26" i="10"/>
  <c r="J27" i="10"/>
  <c r="J28"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8" i="10"/>
  <c r="J99" i="10"/>
  <c r="J103"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8" i="10"/>
  <c r="I9" i="10"/>
  <c r="I10" i="10"/>
  <c r="I11" i="10"/>
  <c r="I12"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8" i="10"/>
  <c r="I99" i="10"/>
  <c r="I103"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8" i="10"/>
  <c r="H8" i="10"/>
  <c r="H9" i="10"/>
  <c r="H10" i="10"/>
  <c r="H11" i="10"/>
  <c r="H12" i="10"/>
  <c r="H14" i="10"/>
  <c r="H15" i="10"/>
  <c r="H16" i="10"/>
  <c r="H17" i="10"/>
  <c r="H18" i="10"/>
  <c r="H19" i="10"/>
  <c r="H20" i="10"/>
  <c r="H21" i="10"/>
  <c r="H23" i="10"/>
  <c r="H24" i="10"/>
  <c r="H25" i="10"/>
  <c r="H26" i="10"/>
  <c r="H27" i="10"/>
  <c r="H28"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8" i="10"/>
  <c r="H99" i="10"/>
  <c r="H103"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G9" i="10"/>
  <c r="G10" i="10"/>
  <c r="G11" i="10"/>
  <c r="G12" i="10"/>
  <c r="G14" i="10"/>
  <c r="G15" i="10"/>
  <c r="G16" i="10"/>
  <c r="G17" i="10"/>
  <c r="G18" i="10"/>
  <c r="G19" i="10"/>
  <c r="G20" i="10"/>
  <c r="G21" i="10"/>
  <c r="G23" i="10"/>
  <c r="G24" i="10"/>
  <c r="G25" i="10"/>
  <c r="G26" i="10"/>
  <c r="G27" i="10"/>
  <c r="G28"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8" i="10"/>
  <c r="G99" i="10"/>
  <c r="G103"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8" i="10"/>
  <c r="F9" i="10"/>
  <c r="F10" i="10"/>
  <c r="F11" i="10"/>
  <c r="F12" i="10"/>
  <c r="F14" i="10"/>
  <c r="F15" i="10"/>
  <c r="F16" i="10"/>
  <c r="F17" i="10"/>
  <c r="F18" i="10"/>
  <c r="F19" i="10"/>
  <c r="F20" i="10"/>
  <c r="F21" i="10"/>
  <c r="F23" i="10"/>
  <c r="F24" i="10"/>
  <c r="F25" i="10"/>
  <c r="F26" i="10"/>
  <c r="F27" i="10"/>
  <c r="F28"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8" i="10"/>
  <c r="F99" i="10"/>
  <c r="F103"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8" i="10"/>
  <c r="E9" i="10"/>
  <c r="E10" i="10"/>
  <c r="E11" i="10"/>
  <c r="E12" i="10"/>
  <c r="E14" i="10"/>
  <c r="E15" i="10"/>
  <c r="E16" i="10"/>
  <c r="E17" i="10"/>
  <c r="E18" i="10"/>
  <c r="E19" i="10"/>
  <c r="E20" i="10"/>
  <c r="E21" i="10"/>
  <c r="E23" i="10"/>
  <c r="E24" i="10"/>
  <c r="E25" i="10"/>
  <c r="E26" i="10"/>
  <c r="E27" i="10"/>
  <c r="E28"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8" i="10"/>
  <c r="E99" i="10"/>
  <c r="E103"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8" i="10"/>
  <c r="D11" i="10"/>
  <c r="D12" i="10"/>
</calcChain>
</file>

<file path=xl/sharedStrings.xml><?xml version="1.0" encoding="utf-8"?>
<sst xmlns="http://schemas.openxmlformats.org/spreadsheetml/2006/main" count="2333" uniqueCount="554">
  <si>
    <t>Mã tỉnh</t>
  </si>
  <si>
    <t>Thang điểm</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</si>
  <si>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</si>
  <si>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</si>
  <si>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</si>
  <si>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</si>
  <si>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</si>
  <si>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</si>
  <si>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</si>
  <si>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</si>
  <si>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</si>
  <si>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</si>
  <si>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</si>
  <si>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</si>
  <si>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</si>
  <si>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</si>
  <si>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</si>
  <si>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</si>
  <si>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</si>
  <si>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</si>
  <si>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</si>
  <si>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</si>
  <si>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</si>
  <si>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</si>
  <si>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</si>
  <si>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</si>
  <si>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</si>
  <si>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</si>
  <si>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</si>
  <si>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</si>
  <si>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</si>
  <si>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</si>
  <si>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</si>
  <si>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</si>
  <si>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</si>
  <si>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</si>
  <si>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</si>
  <si>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</si>
  <si>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</si>
  <si>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</si>
  <si>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</si>
  <si>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</si>
  <si>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</si>
  <si>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</si>
  <si>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</si>
  <si>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</si>
  <si>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</si>
  <si>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</si>
  <si>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</si>
  <si>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</si>
  <si>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</si>
  <si>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</si>
  <si>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</si>
  <si>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</si>
  <si>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</si>
  <si>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</si>
  <si>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</si>
  <si>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</si>
  <si>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</si>
  <si>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</si>
  <si>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</si>
  <si>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</si>
  <si>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</si>
  <si>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</si>
  <si>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</si>
  <si>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</si>
  <si>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Weighted PAPI Score</t>
  </si>
  <si>
    <t>Chỉ số PAPI tổng hợp (có trọng số)</t>
  </si>
  <si>
    <t>10-80 điểm</t>
  </si>
  <si>
    <t>PAPI 95% CI Low</t>
  </si>
  <si>
    <t>Chỉ số PAPI tổng hợp (có trọng số) - điểm tối thiểu trong khoảng tin cậy 95%</t>
  </si>
  <si>
    <t>PAPI 95% CI High</t>
  </si>
  <si>
    <t>Chỉ số PAPI tổng hợp (có trọng số) - điểm tối đa trong khoảng tin cậy 95%</t>
  </si>
  <si>
    <t>PAPI Standard Error</t>
  </si>
  <si>
    <t xml:space="preserve">Chỉ số PAPI tổng hợp (có trọng số) - sai số </t>
  </si>
  <si>
    <t>Unweighted PAPI Score</t>
  </si>
  <si>
    <t>Chỉ số PAPI tổng hợp (không có trọng số)</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</si>
  <si>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</si>
  <si>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</si>
  <si>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</si>
  <si>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</si>
  <si>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</si>
  <si>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</si>
  <si>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</si>
  <si>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</si>
  <si>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t>
  </si>
  <si>
    <t>Civic Knowledge</t>
  </si>
  <si>
    <t>1.1: Tri thức công dân</t>
  </si>
  <si>
    <t>0.25-2.5 điểm</t>
  </si>
  <si>
    <t>Hiểu biết về chính sách hiện hành (%)*</t>
  </si>
  <si>
    <t>0%-100%</t>
  </si>
  <si>
    <t>Knowledge of Leaders</t>
  </si>
  <si>
    <t>Hiểu biết về vị trí lãnh đạo (%)*</t>
  </si>
  <si>
    <t>Opportunties for Participation in Elections</t>
  </si>
  <si>
    <t>1.2: Cơ hội tham gia</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</si>
  <si>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</si>
  <si>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</si>
  <si>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</si>
  <si>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</si>
  <si>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</si>
  <si>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t>Tỷ lệ người trả lời đã tham gia bầu cử đại biểu Hội đồng Nhân dân lần gần đây nhất (%)</t>
  </si>
  <si>
    <t>Voted in Last National Assembly Election</t>
  </si>
  <si>
    <t>Tỷ lệ người trả lời đã tham gia bầu cử đại biểu Quốc hội lần gần đây nhất (%)</t>
  </si>
  <si>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</si>
  <si>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</si>
  <si>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</si>
  <si>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</si>
  <si>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</si>
  <si>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</si>
  <si>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</si>
  <si>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</si>
  <si>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</si>
  <si>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</si>
  <si>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</si>
  <si>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</si>
  <si>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</si>
  <si>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</si>
  <si>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</si>
  <si>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</si>
  <si>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</si>
  <si>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</si>
  <si>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</si>
  <si>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</si>
  <si>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</si>
  <si>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</si>
  <si>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</si>
  <si>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</si>
  <si>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</si>
  <si>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</si>
  <si>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</si>
  <si>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</si>
  <si>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</si>
  <si>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</si>
  <si>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</si>
  <si>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</si>
  <si>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</si>
  <si>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</si>
  <si>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</si>
  <si>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</si>
  <si>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</si>
  <si>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</si>
  <si>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</si>
  <si>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</si>
  <si>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</si>
  <si>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</si>
  <si>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</si>
  <si>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</si>
  <si>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</si>
  <si>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</si>
  <si>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</si>
  <si>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</si>
  <si>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</si>
  <si>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</si>
  <si>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</si>
  <si>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</si>
  <si>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</si>
  <si>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</si>
  <si>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</si>
  <si>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</si>
  <si>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</si>
  <si>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</si>
  <si>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</si>
  <si>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</si>
  <si>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</si>
  <si>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</si>
  <si>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</si>
  <si>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</si>
  <si>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</si>
  <si>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</si>
  <si>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</si>
  <si>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</si>
  <si>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</si>
  <si>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</si>
  <si>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</si>
  <si>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</si>
  <si>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</si>
  <si>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</si>
  <si>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</si>
  <si>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</si>
  <si>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</si>
  <si>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</si>
  <si>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</si>
  <si>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</si>
  <si>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</si>
  <si>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</si>
  <si>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</si>
  <si>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</si>
  <si>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</si>
  <si>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Interactions With Local Authorities</t>
  </si>
  <si>
    <t>3.1: Mức độ và hiệu quả trong tiếp xúc với chính quyền</t>
  </si>
  <si>
    <t>0.33-3.33 điểm</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</si>
  <si>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</si>
  <si>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</si>
  <si>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</si>
  <si>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</si>
  <si>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</si>
  <si>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</si>
  <si>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</si>
  <si>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</si>
  <si>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</si>
  <si>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</si>
  <si>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</si>
  <si>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</si>
  <si>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</si>
  <si>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</si>
  <si>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</si>
  <si>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</si>
  <si>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</si>
  <si>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</si>
  <si>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</si>
  <si>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</si>
  <si>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</si>
  <si>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</si>
  <si>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</si>
  <si>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</si>
  <si>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</si>
  <si>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</si>
  <si>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</si>
  <si>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</si>
  <si>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</si>
  <si>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</si>
  <si>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</si>
  <si>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</si>
  <si>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</si>
  <si>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</si>
  <si>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</si>
  <si>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</si>
  <si>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</si>
  <si>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</si>
  <si>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</si>
  <si>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khi làm thủ tục hành chính ở Ủy ban Nhân dân cấp xã (%)</t>
  </si>
  <si>
    <t>Bribes to Get Certification are NOT Common</t>
  </si>
  <si>
    <t>Tỷ lệ người trả lời cho biết người dân KHÔNG phải chi thêm tiền cho cán bộ khi làm chứng thực, xác nhận (%)</t>
  </si>
  <si>
    <t>Bribes for Personal Administrative Procedures Done NOT Common</t>
  </si>
  <si>
    <t>Limits on Corruption in Service Delivery</t>
  </si>
  <si>
    <t>4.2: Kiểm soát tham nhũng trong cung ứng dịch vụ công</t>
  </si>
  <si>
    <t>No Bribes at Public Hospitals</t>
  </si>
  <si>
    <t>Tỷ lệ người trả lời cho biết người dân KHÔNG phải chi thêm tiền để nhận được giấy phép xây dựng (%)</t>
  </si>
  <si>
    <t>No Bribes for Teachers' Favoritism</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</si>
  <si>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</si>
  <si>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</si>
  <si>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</si>
  <si>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</si>
  <si>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</si>
  <si>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</si>
  <si>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</si>
  <si>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</si>
  <si>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</si>
  <si>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</si>
  <si>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</si>
  <si>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</si>
  <si>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</si>
  <si>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</si>
  <si>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</si>
  <si>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</si>
  <si>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</si>
  <si>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</si>
  <si>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</si>
  <si>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</si>
  <si>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</si>
  <si>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</si>
  <si>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</si>
  <si>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</si>
  <si>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</si>
  <si>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</si>
  <si>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</si>
  <si>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</si>
  <si>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</si>
  <si>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</si>
  <si>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</si>
  <si>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</si>
  <si>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</si>
  <si>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</si>
  <si>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</si>
  <si>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</si>
  <si>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</si>
  <si>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</si>
  <si>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</si>
  <si>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</si>
  <si>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</si>
  <si>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</si>
  <si>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</si>
  <si>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</si>
  <si>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</si>
  <si>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</si>
  <si>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</si>
  <si>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</si>
  <si>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</si>
  <si>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</si>
  <si>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</si>
  <si>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</si>
  <si>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</si>
  <si>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</si>
  <si>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</si>
  <si>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</si>
  <si>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</si>
  <si>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</si>
  <si>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</si>
  <si>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</si>
  <si>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</si>
  <si>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</si>
  <si>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</si>
  <si>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</si>
  <si>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</si>
  <si>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</si>
  <si>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</si>
  <si>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</si>
  <si>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</si>
  <si>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</si>
  <si>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</si>
  <si>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</si>
  <si>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</si>
  <si>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</si>
  <si>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</si>
  <si>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</si>
  <si>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</si>
  <si>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</si>
  <si>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</si>
  <si>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</si>
  <si>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</si>
  <si>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</si>
  <si>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</si>
  <si>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</si>
  <si>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</si>
  <si>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</si>
  <si>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</si>
  <si>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</si>
  <si>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</si>
  <si>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</si>
  <si>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</si>
  <si>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</si>
  <si>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</si>
  <si>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</si>
  <si>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</si>
  <si>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</si>
  <si>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</si>
  <si>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</si>
  <si>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</si>
  <si>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</si>
  <si>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</si>
  <si>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</si>
  <si>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</si>
  <si>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</si>
  <si>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</si>
  <si>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</si>
  <si>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</si>
  <si>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</si>
  <si>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</si>
  <si>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</si>
  <si>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</si>
  <si>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</si>
  <si>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</si>
  <si>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</si>
  <si>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</si>
  <si>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</si>
  <si>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</si>
  <si>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</si>
  <si>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</si>
  <si>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</si>
  <si>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</si>
  <si>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</si>
  <si>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</si>
  <si>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</si>
  <si>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</si>
  <si>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</si>
  <si>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</si>
  <si>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</si>
  <si>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</si>
  <si>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</si>
  <si>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</si>
  <si>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</si>
  <si>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</si>
  <si>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</si>
  <si>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</si>
  <si>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</si>
  <si>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</si>
  <si>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</si>
  <si>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</si>
  <si>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</si>
  <si>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</si>
  <si>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</si>
  <si>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</si>
  <si>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</si>
  <si>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</si>
  <si>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</si>
  <si>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</si>
  <si>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</si>
  <si>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</si>
  <si>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</si>
  <si>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</si>
  <si>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</si>
  <si>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</si>
  <si>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</si>
  <si>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</si>
  <si>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</si>
  <si>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</si>
  <si>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</si>
  <si>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</si>
  <si>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</si>
  <si>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</si>
  <si>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</si>
  <si>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</si>
  <si>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</si>
  <si>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</si>
  <si>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</si>
  <si>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</si>
  <si>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</si>
  <si>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</si>
  <si>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</si>
  <si>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</si>
  <si>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</si>
  <si>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</si>
  <si>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</si>
  <si>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 New indicators from 2020</t>
  </si>
  <si>
    <t>* Các chỉ tiêu mới từ năm 2020</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</si>
  <si>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</si>
  <si>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</si>
  <si>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Hiểu biết về chính sách hiện hành (%)</t>
  </si>
  <si>
    <t>Hiểu biết về vị trí lãnh đạo (%)</t>
  </si>
  <si>
    <t>2.1: Tiếp cận thông tin</t>
  </si>
  <si>
    <t>3.3: Tiếp cận dịch vụ tư pháp</t>
  </si>
  <si>
    <t>3.2: Giải đáp khiếu nại, tố cáo, khúc mắc của người dân</t>
  </si>
  <si>
    <t>4.4: Quyết tâm chống tham nhũng của chính quyền địa phương</t>
  </si>
  <si>
    <t>Tỷ lệ người trả lời cho biết người dân KHÔNG phải chi thêm tiền để được quan tâm hơn khi đi khám chữa bệnh (%)</t>
  </si>
  <si>
    <t>Tỷ lệ người trả lời cho biết phụ huynh học sinh tiểu học KHÔNG phải chi thêm tiền để con em được quan tâm hơn (%)</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</si>
  <si>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</si>
  <si>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</si>
  <si>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</si>
  <si>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</si>
  <si>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</si>
  <si>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8.3: Phúc đáp của chính quyền qua cổng thông tin điện tử</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</si>
  <si>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</si>
  <si>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</si>
  <si>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Copyright @CECODES, VFF-CRT, RTA and UNDP (2021). WWW.PAPI.ORG.VN</t>
  </si>
  <si>
    <t>Bản quyền @CECODES, VFF-CRT, RTA and UNDP (2021). WWW.PAPI.ORG.VN</t>
  </si>
  <si>
    <t>* Các chỉ tiêu mới từ năm 2018</t>
  </si>
  <si>
    <t>Bản quyền @CECODES, VFF-CRT, RTA and UNDP (2020). WWW.PAPI.ORG.VN</t>
  </si>
  <si>
    <t>* New indicators from 2018</t>
  </si>
  <si>
    <t>Copyright @CECODES, VFF-CRT, RTA and UNDP (2020). WWW.PAPI.ORG.VN</t>
  </si>
  <si>
    <t>E-Reponsiveness of Provincial Authorities</t>
  </si>
  <si>
    <t>Access to E-Government Portals*</t>
  </si>
  <si>
    <t>* Changed in 2021</t>
  </si>
  <si>
    <t>* Những nội dung có thay đổi năm 2021</t>
  </si>
  <si>
    <t>Bản quyền @CECODES, VFF-CRT, RTA and UNDP (2022). WWW.PAPI.ORG.VN</t>
  </si>
  <si>
    <t>Copyright @CECODES, VFF-CRT, RTA and UNDP (2022). WWW.PAPI.ORG.VN</t>
  </si>
  <si>
    <t>Thang điểm/Scale</t>
  </si>
  <si>
    <t>10-80 điểm/points</t>
  </si>
  <si>
    <t>1-10 điểm/points</t>
  </si>
  <si>
    <t>0.25-2.5 điểm/points</t>
  </si>
  <si>
    <t>0.33-3.33 điểm/points</t>
  </si>
  <si>
    <t>Chỉ số nội dung 5: Thủ tục hành chính công*</t>
  </si>
  <si>
    <t>8.1: Sử dụng cổng thông tin điện tử của chính quyền địa phương*</t>
  </si>
  <si>
    <t>Tham gia vào các tổ chức chính trị, chính trị-xã hội, đoàn thể (%)</t>
  </si>
  <si>
    <t>Tham gia vào các tổ chức xã hội, hội, nhóm, câu lạc bộ tự lập (%)</t>
  </si>
  <si>
    <t>tinh2</t>
  </si>
  <si>
    <t>Province’s name</t>
  </si>
  <si>
    <t>Ha Noi</t>
  </si>
  <si>
    <t>Ha Giang</t>
  </si>
  <si>
    <t>Cao Bang</t>
  </si>
  <si>
    <t>Bac Kan</t>
  </si>
  <si>
    <t>Tuyen Quang</t>
  </si>
  <si>
    <t>Lao Cai</t>
  </si>
  <si>
    <t>Dien Bien</t>
  </si>
  <si>
    <t>Lai Chau</t>
  </si>
  <si>
    <t>Son La</t>
  </si>
  <si>
    <t>Yen Bai</t>
  </si>
  <si>
    <t>Hoa Binh</t>
  </si>
  <si>
    <t>Thai Nguyen</t>
  </si>
  <si>
    <t>Lang Son</t>
  </si>
  <si>
    <t>Quang Ninh</t>
  </si>
  <si>
    <t>Bac Giang</t>
  </si>
  <si>
    <t>Phu Tho</t>
  </si>
  <si>
    <t>Vinh Phuc</t>
  </si>
  <si>
    <t>Bac Ninh</t>
  </si>
  <si>
    <t>Hai Duong</t>
  </si>
  <si>
    <t>Hai Phong</t>
  </si>
  <si>
    <t>Hung Yen</t>
  </si>
  <si>
    <t>Thai Binh</t>
  </si>
  <si>
    <t>Ha Nam</t>
  </si>
  <si>
    <t>Nam Dinh</t>
  </si>
  <si>
    <t>Ninh Binh</t>
  </si>
  <si>
    <t>Thanh Hoa</t>
  </si>
  <si>
    <t>Nghe An</t>
  </si>
  <si>
    <t>Ha Tinh</t>
  </si>
  <si>
    <t>Quang Binh</t>
  </si>
  <si>
    <t>Quang Tri</t>
  </si>
  <si>
    <t>TT-Hue</t>
  </si>
  <si>
    <t>Da Nang</t>
  </si>
  <si>
    <t>Quang Nam</t>
  </si>
  <si>
    <t>Quang Ngai</t>
  </si>
  <si>
    <t>Binh Dinh</t>
  </si>
  <si>
    <t>Phu Yen</t>
  </si>
  <si>
    <t>Khanh Hoa</t>
  </si>
  <si>
    <t>Ninh Thuan</t>
  </si>
  <si>
    <t>Binh Thuan</t>
  </si>
  <si>
    <t>Dak Lak</t>
  </si>
  <si>
    <t>Dak Nong</t>
  </si>
  <si>
    <t>Lam Dong</t>
  </si>
  <si>
    <t>Binh Phuoc</t>
  </si>
  <si>
    <t>Tay Ninh</t>
  </si>
  <si>
    <t>Binh Duong</t>
  </si>
  <si>
    <t>Dong Nai</t>
  </si>
  <si>
    <t>BRVT</t>
  </si>
  <si>
    <t>HCMC</t>
  </si>
  <si>
    <t>Tien Giang</t>
  </si>
  <si>
    <t>Ben Tre</t>
  </si>
  <si>
    <t>Tra Vinh</t>
  </si>
  <si>
    <t>Vinh Long</t>
  </si>
  <si>
    <t>Dong Thap</t>
  </si>
  <si>
    <t>Kien Giang</t>
  </si>
  <si>
    <t>Can Tho</t>
  </si>
  <si>
    <t>Hau Giang</t>
  </si>
  <si>
    <t>Soc Trang</t>
  </si>
  <si>
    <t>Bac Lieu</t>
  </si>
  <si>
    <t>Ca Mau</t>
  </si>
  <si>
    <t>Variance (Dimension 1)</t>
  </si>
  <si>
    <t>Observations (Dimension 1)</t>
  </si>
  <si>
    <t>(mean) a001</t>
  </si>
  <si>
    <t>(mean) a002</t>
  </si>
  <si>
    <t>(mean) a007a</t>
  </si>
  <si>
    <t>Variance (Dimension 2)</t>
  </si>
  <si>
    <t>Observations (Dimension 2)</t>
  </si>
  <si>
    <t>Variance (Dimension 3)</t>
  </si>
  <si>
    <t>Observations (Dimension 3)</t>
  </si>
  <si>
    <t>Contact with Commune Successful</t>
  </si>
  <si>
    <t>Variance (Dimension 4)</t>
  </si>
  <si>
    <t>Observations (Dimension 4)</t>
  </si>
  <si>
    <t>Victim Did not Denunciate Bribe Request</t>
  </si>
  <si>
    <t>Land Bribe Frequency</t>
  </si>
  <si>
    <t>Hospital Bribe Frequency</t>
  </si>
  <si>
    <t>Variance (Dimension 5)</t>
  </si>
  <si>
    <t>Observations (Dimension 5)</t>
  </si>
  <si>
    <t>Applied for certificate (%)</t>
  </si>
  <si>
    <t>Total quality of certification procedures</t>
  </si>
  <si>
    <t>Took part in land title procedures</t>
  </si>
  <si>
    <t>Did not use many windows for land title</t>
  </si>
  <si>
    <t>Received land title</t>
  </si>
  <si>
    <t>Total quality of land title procedures</t>
  </si>
  <si>
    <t>Satisfaction with certification procedures</t>
  </si>
  <si>
    <t>Satisfaction with land title procedures</t>
  </si>
  <si>
    <t>Variance (Dimension 6)</t>
  </si>
  <si>
    <t>Observations (Dimension 6)</t>
  </si>
  <si>
    <t>Variance (Dimension 7)</t>
  </si>
  <si>
    <t>Observations (Dimension 7)</t>
  </si>
  <si>
    <t>Variance (Dimension 8)</t>
  </si>
  <si>
    <t>Observations (Dimension 8)</t>
  </si>
  <si>
    <t>Proportion of Respondents that Knows Provincial Website and Thinks It is User-Fr</t>
  </si>
  <si>
    <t>Proportion of Respondents Aware that Province Posted Draft Regulation for Commen</t>
  </si>
  <si>
    <t>Proportion with Civic Knowledge</t>
  </si>
  <si>
    <t>respondents/người trả lời</t>
  </si>
  <si>
    <t>Observations</t>
  </si>
  <si>
    <t>Số quan sát</t>
  </si>
  <si>
    <t>Copyright @CECODES, VFF-CRT, RTA and UNDP (2023). WWW.PAPI.ORG.VN</t>
  </si>
  <si>
    <t>Bản quyền @CECODES, VFF-CRT, RTA and UNDP (2023). WWW.PAPI.ORG.VN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</si>
</sst>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16"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
      <sz val="10"/>
      <name val="Calibri"/>
      <family val="2"/>
    </font>
    <font>
      <b/>
      <sz val="10"/>
      <name val="Arial"/>
      <family val="2"/>
    </font>
    <font>
      <b/>
      <i/>
      <sz val="10"/>
      <name val="Calibri"/>
      <family val="2"/>
    </font>
    <font>
      <b/>
      <sz val="10"/>
      <name val="Calibri"/>
      <family val="2"/>
    </font>
    <font>
      <b/>
      <sz val="10"/>
      <color theme="3"/>
      <name val="Calibri"/>
      <family val="2"/>
      <scheme val="minor"/>
    </font>
    <font>
      <b/>
      <sz val="10"/>
      <color theme="3"/>
      <name val="Arial"/>
      <family val="2"/>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5">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Alignment="1">
      <alignment vertical="top"/>
    </xf>
    <xf numFmtId="0" fontId="2" fillId="2" borderId="0" xfId="0" applyFont="1" applyFill="1" applyAlignment="1">
      <alignment vertical="top"/>
    </xf>
    <xf numFmtId="2" fontId="2" fillId="2" borderId="0" xfId="0" applyNumberFormat="1" applyFont="1" applyFill="1" applyAlignment="1">
      <alignment vertical="top"/>
    </xf>
    <xf numFmtId="165" fontId="2" fillId="8" borderId="0" xfId="0" applyNumberFormat="1" applyFont="1" applyFill="1" applyAlignment="1">
      <alignment vertical="top"/>
    </xf>
    <xf numFmtId="0" fontId="5" fillId="2" borderId="0" xfId="0" applyFont="1" applyFill="1" applyAlignment="1">
      <alignment vertical="top"/>
    </xf>
    <xf numFmtId="0" fontId="5" fillId="0" borderId="0" xfId="0" applyFont="1" applyAlignment="1">
      <alignment vertical="top"/>
    </xf>
    <xf numFmtId="2" fontId="5" fillId="0" borderId="0" xfId="0" applyNumberFormat="1" applyFont="1" applyAlignment="1">
      <alignment vertical="top"/>
    </xf>
    <xf numFmtId="2" fontId="5" fillId="8" borderId="0" xfId="0" applyNumberFormat="1" applyFont="1" applyFill="1" applyAlignment="1">
      <alignment vertical="top"/>
    </xf>
    <xf numFmtId="0" fontId="2" fillId="3" borderId="0" xfId="0" applyFont="1" applyFill="1" applyAlignment="1">
      <alignment vertical="top"/>
    </xf>
    <xf numFmtId="2" fontId="2" fillId="3" borderId="0" xfId="0" applyNumberFormat="1" applyFont="1" applyFill="1" applyAlignment="1">
      <alignment vertical="top"/>
    </xf>
    <xf numFmtId="0" fontId="2" fillId="4" borderId="0" xfId="0" applyFont="1" applyFill="1" applyAlignment="1">
      <alignment vertical="top"/>
    </xf>
    <xf numFmtId="2" fontId="2" fillId="4" borderId="0" xfId="0" applyNumberFormat="1" applyFont="1" applyFill="1" applyAlignment="1">
      <alignment vertical="top"/>
    </xf>
    <xf numFmtId="0" fontId="7" fillId="5" borderId="0" xfId="0" applyFont="1" applyFill="1" applyAlignment="1">
      <alignment vertical="top"/>
    </xf>
    <xf numFmtId="2" fontId="7" fillId="5" borderId="0" xfId="0" applyNumberFormat="1" applyFont="1" applyFill="1" applyAlignment="1">
      <alignment vertical="top"/>
    </xf>
    <xf numFmtId="10" fontId="5" fillId="0" borderId="0" xfId="2" applyNumberFormat="1" applyFont="1" applyBorder="1" applyAlignment="1">
      <alignment vertical="top"/>
    </xf>
    <xf numFmtId="0" fontId="9" fillId="5" borderId="0" xfId="0" applyFont="1" applyFill="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Alignment="1">
      <alignment vertical="top"/>
    </xf>
    <xf numFmtId="2" fontId="5" fillId="0" borderId="0" xfId="2" applyNumberFormat="1" applyFont="1" applyFill="1" applyBorder="1" applyAlignment="1">
      <alignment vertical="top"/>
    </xf>
    <xf numFmtId="0" fontId="5" fillId="8" borderId="0" xfId="0" applyFont="1" applyFill="1" applyAlignment="1">
      <alignment vertical="top"/>
    </xf>
    <xf numFmtId="10" fontId="5" fillId="8" borderId="0" xfId="2" applyNumberFormat="1" applyFont="1" applyFill="1" applyBorder="1" applyAlignment="1">
      <alignment vertical="top"/>
    </xf>
    <xf numFmtId="0" fontId="3" fillId="0" borderId="0" xfId="0" applyFont="1" applyAlignment="1">
      <alignment horizontal="center" vertical="top"/>
    </xf>
    <xf numFmtId="0" fontId="3" fillId="2" borderId="0" xfId="0" applyFont="1" applyFill="1" applyAlignment="1">
      <alignment horizontal="center" vertical="top"/>
    </xf>
    <xf numFmtId="0" fontId="6" fillId="0" borderId="0" xfId="0" applyFont="1" applyAlignment="1">
      <alignment horizontal="center" vertical="top"/>
    </xf>
    <xf numFmtId="0" fontId="3" fillId="3" borderId="0" xfId="0" applyFont="1" applyFill="1" applyAlignment="1">
      <alignment horizontal="center" vertical="top"/>
    </xf>
    <xf numFmtId="2" fontId="3" fillId="4" borderId="0" xfId="0" applyNumberFormat="1" applyFont="1" applyFill="1" applyAlignment="1">
      <alignment horizontal="center" vertical="top"/>
    </xf>
    <xf numFmtId="0" fontId="8" fillId="5" borderId="0" xfId="0" applyFont="1" applyFill="1" applyAlignment="1">
      <alignment horizontal="center" vertical="top"/>
    </xf>
    <xf numFmtId="0" fontId="6" fillId="8" borderId="0" xfId="0" applyFont="1" applyFill="1" applyAlignment="1">
      <alignment horizontal="center" vertical="top"/>
    </xf>
    <xf numFmtId="0" fontId="6" fillId="0" borderId="4" xfId="0" applyFont="1" applyBorder="1" applyAlignment="1">
      <alignment horizontal="center" vertical="top"/>
    </xf>
    <xf numFmtId="0" fontId="5" fillId="2" borderId="0" xfId="0" applyFont="1" applyFill="1" applyAlignment="1">
      <alignment horizontal="center" vertical="top"/>
    </xf>
    <xf numFmtId="0" fontId="5" fillId="0" borderId="0" xfId="0" applyFont="1" applyAlignment="1">
      <alignment horizontal="center" vertical="top"/>
    </xf>
    <xf numFmtId="0" fontId="2" fillId="8" borderId="0" xfId="0" applyFont="1" applyFill="1" applyAlignment="1">
      <alignment vertical="top"/>
    </xf>
    <xf numFmtId="0" fontId="4" fillId="8" borderId="0" xfId="0" applyFont="1" applyFill="1" applyAlignment="1">
      <alignment vertical="top"/>
    </xf>
    <xf numFmtId="2" fontId="2" fillId="8" borderId="0" xfId="0" applyNumberFormat="1" applyFont="1" applyFill="1" applyAlignment="1">
      <alignment vertical="top"/>
    </xf>
    <xf numFmtId="2" fontId="7" fillId="8" borderId="0" xfId="0" applyNumberFormat="1" applyFont="1" applyFill="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0" fillId="9" borderId="0" xfId="0" applyFill="1"/>
    <xf numFmtId="1" fontId="0" fillId="9" borderId="0" xfId="0" applyNumberFormat="1" applyFill="1"/>
    <xf numFmtId="1" fontId="0" fillId="2" borderId="0" xfId="0" applyNumberFormat="1" applyFill="1"/>
    <xf numFmtId="0" fontId="0" fillId="2" borderId="0" xfId="0" applyFill="1"/>
    <xf numFmtId="2" fontId="0" fillId="0" borderId="0" xfId="0" applyNumberFormat="1"/>
    <xf numFmtId="2" fontId="0" fillId="2" borderId="0" xfId="0" applyNumberFormat="1" applyFill="1"/>
    <xf numFmtId="2" fontId="0" fillId="9" borderId="0" xfId="0" applyNumberFormat="1" applyFill="1"/>
    <xf numFmtId="1" fontId="0" fillId="0" borderId="0" xfId="0" applyNumberFormat="1"/>
    <xf numFmtId="0" fontId="5" fillId="5" borderId="0" xfId="0" applyFont="1" applyFill="1" applyAlignment="1">
      <alignment vertical="top"/>
    </xf>
    <xf numFmtId="0" fontId="11" fillId="9" borderId="0" xfId="0" applyFont="1" applyFill="1"/>
    <xf numFmtId="2" fontId="11" fillId="9" borderId="0" xfId="0" applyNumberFormat="1" applyFont="1" applyFill="1"/>
    <xf numFmtId="2" fontId="11" fillId="2" borderId="0" xfId="0" applyNumberFormat="1" applyFont="1" applyFill="1"/>
    <xf numFmtId="0" fontId="11" fillId="0" borderId="0" xfId="0" applyFont="1"/>
    <xf numFmtId="0" fontId="2" fillId="0" borderId="0" xfId="0" applyFont="1" applyAlignment="1">
      <alignment horizontal="center" vertical="top"/>
    </xf>
    <xf numFmtId="0" fontId="4" fillId="0" borderId="0" xfId="0" applyFont="1" applyAlignment="1">
      <alignment horizontal="center" vertical="top"/>
    </xf>
    <xf numFmtId="0" fontId="4" fillId="8" borderId="0" xfId="0" applyFont="1" applyFill="1" applyAlignment="1">
      <alignment horizontal="center" vertical="top"/>
    </xf>
    <xf numFmtId="0" fontId="2" fillId="8" borderId="0" xfId="0" applyFont="1" applyFill="1" applyAlignment="1">
      <alignment horizontal="center" vertical="top"/>
    </xf>
    <xf numFmtId="0" fontId="2" fillId="0" borderId="0" xfId="0" applyFont="1" applyFill="1" applyAlignment="1">
      <alignment horizontal="center" vertical="top"/>
    </xf>
    <xf numFmtId="2" fontId="2" fillId="2" borderId="0" xfId="0" applyNumberFormat="1" applyFont="1" applyFill="1" applyAlignment="1">
      <alignment horizontal="center" vertical="top"/>
    </xf>
    <xf numFmtId="165" fontId="2" fillId="8" borderId="0" xfId="0" applyNumberFormat="1" applyFont="1" applyFill="1" applyAlignment="1">
      <alignment horizontal="center" vertical="top"/>
    </xf>
    <xf numFmtId="2" fontId="5" fillId="0" borderId="0" xfId="0" applyNumberFormat="1" applyFont="1" applyAlignment="1">
      <alignment horizontal="center" vertical="top"/>
    </xf>
    <xf numFmtId="2" fontId="5" fillId="8" borderId="0" xfId="0" applyNumberFormat="1" applyFont="1" applyFill="1" applyAlignment="1">
      <alignment horizontal="center" vertical="top"/>
    </xf>
    <xf numFmtId="2" fontId="13" fillId="3" borderId="0" xfId="0" applyNumberFormat="1" applyFont="1" applyFill="1" applyAlignment="1">
      <alignment horizontal="center"/>
    </xf>
    <xf numFmtId="2" fontId="2" fillId="3" borderId="0" xfId="0" applyNumberFormat="1" applyFont="1" applyFill="1" applyAlignment="1">
      <alignment horizontal="center"/>
    </xf>
    <xf numFmtId="2" fontId="13" fillId="8" borderId="0" xfId="0" applyNumberFormat="1" applyFont="1" applyFill="1" applyAlignment="1">
      <alignment horizontal="center"/>
    </xf>
    <xf numFmtId="2" fontId="2" fillId="4" borderId="0" xfId="0" applyNumberFormat="1" applyFont="1" applyFill="1" applyAlignment="1">
      <alignment horizontal="center" vertical="top"/>
    </xf>
    <xf numFmtId="2" fontId="2" fillId="8" borderId="0" xfId="0" applyNumberFormat="1" applyFont="1" applyFill="1" applyAlignment="1">
      <alignment horizontal="center" vertical="top"/>
    </xf>
    <xf numFmtId="2" fontId="7" fillId="5" borderId="0" xfId="0" applyNumberFormat="1" applyFont="1" applyFill="1" applyAlignment="1">
      <alignment horizontal="center" vertical="top"/>
    </xf>
    <xf numFmtId="2" fontId="7" fillId="8" borderId="0" xfId="0" applyNumberFormat="1" applyFont="1" applyFill="1" applyAlignment="1">
      <alignment horizontal="center" vertical="top"/>
    </xf>
    <xf numFmtId="10" fontId="5" fillId="0" borderId="0" xfId="2" applyNumberFormat="1" applyFont="1" applyAlignment="1">
      <alignment horizontal="center" vertical="top"/>
    </xf>
    <xf numFmtId="10" fontId="10" fillId="0" borderId="0" xfId="2" applyNumberFormat="1" applyFont="1" applyAlignment="1">
      <alignment horizontal="center"/>
    </xf>
    <xf numFmtId="10" fontId="5" fillId="8" borderId="0" xfId="2" applyNumberFormat="1" applyFont="1" applyFill="1" applyAlignment="1">
      <alignment horizontal="center" vertical="top"/>
    </xf>
    <xf numFmtId="10" fontId="10" fillId="8" borderId="0" xfId="2" applyNumberFormat="1" applyFont="1" applyFill="1" applyAlignment="1">
      <alignment horizontal="center"/>
    </xf>
    <xf numFmtId="2" fontId="2" fillId="5" borderId="0" xfId="0" applyNumberFormat="1" applyFont="1" applyFill="1" applyAlignment="1">
      <alignment horizontal="center" vertical="top"/>
    </xf>
    <xf numFmtId="2" fontId="12" fillId="5" borderId="0" xfId="0" applyNumberFormat="1" applyFont="1" applyFill="1" applyAlignment="1">
      <alignment horizontal="center"/>
    </xf>
    <xf numFmtId="2" fontId="12" fillId="8" borderId="0" xfId="0" applyNumberFormat="1" applyFont="1" applyFill="1" applyAlignment="1">
      <alignment horizontal="center"/>
    </xf>
    <xf numFmtId="164" fontId="5" fillId="0" borderId="0" xfId="1" applyNumberFormat="1" applyFont="1" applyAlignment="1">
      <alignment horizontal="center" vertical="top"/>
    </xf>
    <xf numFmtId="164" fontId="5" fillId="8" borderId="0" xfId="1" applyNumberFormat="1" applyFont="1" applyFill="1" applyAlignment="1">
      <alignment horizontal="center" vertical="top"/>
    </xf>
    <xf numFmtId="2" fontId="10" fillId="0" borderId="0" xfId="0" applyNumberFormat="1" applyFont="1" applyAlignment="1">
      <alignment horizontal="center"/>
    </xf>
    <xf numFmtId="2" fontId="10" fillId="8" borderId="0" xfId="0" applyNumberFormat="1" applyFont="1" applyFill="1" applyAlignment="1">
      <alignment horizontal="center"/>
    </xf>
    <xf numFmtId="2" fontId="7" fillId="4" borderId="0" xfId="0" applyNumberFormat="1" applyFont="1" applyFill="1" applyAlignment="1">
      <alignment horizontal="center" vertical="top"/>
    </xf>
    <xf numFmtId="10" fontId="5" fillId="0" borderId="0" xfId="2" applyNumberFormat="1" applyFont="1" applyFill="1" applyAlignment="1">
      <alignment horizontal="center" vertical="top"/>
    </xf>
    <xf numFmtId="10" fontId="5" fillId="0" borderId="4" xfId="2" applyNumberFormat="1" applyFont="1" applyBorder="1" applyAlignment="1">
      <alignment horizontal="center" vertical="top"/>
    </xf>
    <xf numFmtId="10" fontId="10" fillId="0" borderId="4" xfId="2" applyNumberFormat="1" applyFont="1" applyBorder="1" applyAlignment="1">
      <alignment horizontal="center"/>
    </xf>
    <xf numFmtId="10" fontId="10" fillId="8" borderId="4" xfId="2" applyNumberFormat="1" applyFont="1" applyFill="1" applyBorder="1" applyAlignment="1">
      <alignment horizontal="center"/>
    </xf>
    <xf numFmtId="0" fontId="5" fillId="0" borderId="0" xfId="0" applyFont="1" applyFill="1" applyAlignment="1">
      <alignment horizontal="center" vertical="top"/>
    </xf>
    <xf numFmtId="0" fontId="5" fillId="8" borderId="0" xfId="0" applyFont="1" applyFill="1" applyAlignment="1">
      <alignment horizontal="center" vertical="top"/>
    </xf>
    <xf numFmtId="0" fontId="4" fillId="0" borderId="0" xfId="0" applyFont="1" applyFill="1" applyAlignment="1">
      <alignment horizontal="center" vertical="top"/>
    </xf>
    <xf numFmtId="0" fontId="14" fillId="10" borderId="0" xfId="0" applyFont="1" applyFill="1" applyAlignment="1">
      <alignment vertical="top"/>
    </xf>
    <xf numFmtId="0" fontId="14" fillId="10" borderId="0" xfId="0" applyFont="1" applyFill="1" applyAlignment="1">
      <alignment horizontal="center" vertical="top"/>
    </xf>
    <xf numFmtId="1" fontId="15" fillId="10" borderId="0" xfId="0" applyNumberFormat="1"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6FA-56F7-473F-9887-9495B91F8A29}">
  <dimension ref="A1:BN1170"/>
  <sheetViews>
    <sheetView tabSelected="1" workbookViewId="0">
      <selection activeCell="A17" sqref="A17"/>
    </sheetView>
  </sheetViews>
  <sheetFormatPr defaultColWidth="8.85546875" defaultRowHeight="12.75" x14ac:dyDescent="0.2"/>
  <cols>
    <col min="1" max="1" width="58" style="70" customWidth="1"/>
    <col min="2" max="2" width="108.140625" style="70" customWidth="1"/>
    <col min="3" max="3" width="19.7109375" style="96" customWidth="1"/>
    <col min="4" max="7" width="15.140625" style="96" customWidth="1"/>
    <col min="8" max="8" width="17" style="96" customWidth="1"/>
    <col min="9" max="14" width="15.140625" style="96" customWidth="1"/>
    <col min="15" max="15" width="15.85546875" style="96" customWidth="1"/>
    <col min="16" max="16" width="15.140625" style="96" customWidth="1"/>
    <col min="17" max="18" width="15.140625" style="150" customWidth="1"/>
    <col min="19" max="20" width="15.140625" style="96" customWidth="1"/>
    <col min="21" max="21" width="15.140625" style="150" customWidth="1"/>
    <col min="22" max="33" width="15.140625" style="96" customWidth="1"/>
    <col min="34" max="34" width="19.42578125" style="96" customWidth="1"/>
    <col min="35" max="51" width="15.140625" style="96" customWidth="1"/>
    <col min="52" max="52" width="20.42578125" style="96" customWidth="1"/>
    <col min="53" max="53" width="19.42578125" style="96" customWidth="1"/>
    <col min="54" max="56" width="15.140625" style="96" customWidth="1"/>
    <col min="57" max="66" width="15.140625" style="96" bestFit="1" customWidth="1"/>
    <col min="67" max="257" width="8.85546875" style="70"/>
    <col min="258" max="258" width="112.28515625" style="70" customWidth="1"/>
    <col min="259" max="259" width="19.7109375" style="70" customWidth="1"/>
    <col min="260" max="284" width="8.85546875" style="70"/>
    <col min="285" max="289" width="15.140625" style="70" bestFit="1" customWidth="1"/>
    <col min="290" max="290" width="19.42578125" style="70" bestFit="1" customWidth="1"/>
    <col min="291" max="307" width="15.140625" style="70" bestFit="1" customWidth="1"/>
    <col min="308" max="308" width="20.42578125" style="70" bestFit="1" customWidth="1"/>
    <col min="309" max="309" width="19.42578125" style="70" bestFit="1" customWidth="1"/>
    <col min="310" max="322" width="15.140625" style="70" bestFit="1" customWidth="1"/>
    <col min="323" max="513" width="8.85546875" style="70"/>
    <col min="514" max="514" width="112.28515625" style="70" customWidth="1"/>
    <col min="515" max="515" width="19.7109375" style="70" customWidth="1"/>
    <col min="516" max="540" width="8.85546875" style="70"/>
    <col min="541" max="545" width="15.140625" style="70" bestFit="1" customWidth="1"/>
    <col min="546" max="546" width="19.42578125" style="70" bestFit="1" customWidth="1"/>
    <col min="547" max="563" width="15.140625" style="70" bestFit="1" customWidth="1"/>
    <col min="564" max="564" width="20.42578125" style="70" bestFit="1" customWidth="1"/>
    <col min="565" max="565" width="19.42578125" style="70" bestFit="1" customWidth="1"/>
    <col min="566" max="578" width="15.140625" style="70" bestFit="1" customWidth="1"/>
    <col min="579" max="769" width="8.85546875" style="70"/>
    <col min="770" max="770" width="112.28515625" style="70" customWidth="1"/>
    <col min="771" max="771" width="19.7109375" style="70" customWidth="1"/>
    <col min="772" max="796" width="8.85546875" style="70"/>
    <col min="797" max="801" width="15.140625" style="70" bestFit="1" customWidth="1"/>
    <col min="802" max="802" width="19.42578125" style="70" bestFit="1" customWidth="1"/>
    <col min="803" max="819" width="15.140625" style="70" bestFit="1" customWidth="1"/>
    <col min="820" max="820" width="20.42578125" style="70" bestFit="1" customWidth="1"/>
    <col min="821" max="821" width="19.42578125" style="70" bestFit="1" customWidth="1"/>
    <col min="822" max="834" width="15.140625" style="70" bestFit="1" customWidth="1"/>
    <col min="835" max="1025" width="8.85546875" style="70"/>
    <col min="1026" max="1026" width="112.28515625" style="70" customWidth="1"/>
    <col min="1027" max="1027" width="19.7109375" style="70" customWidth="1"/>
    <col min="1028" max="1052" width="8.85546875" style="70"/>
    <col min="1053" max="1057" width="15.140625" style="70" bestFit="1" customWidth="1"/>
    <col min="1058" max="1058" width="19.42578125" style="70" bestFit="1" customWidth="1"/>
    <col min="1059" max="1075" width="15.140625" style="70" bestFit="1" customWidth="1"/>
    <col min="1076" max="1076" width="20.42578125" style="70" bestFit="1" customWidth="1"/>
    <col min="1077" max="1077" width="19.42578125" style="70" bestFit="1" customWidth="1"/>
    <col min="1078" max="1090" width="15.140625" style="70" bestFit="1" customWidth="1"/>
    <col min="1091" max="1281" width="8.85546875" style="70"/>
    <col min="1282" max="1282" width="112.28515625" style="70" customWidth="1"/>
    <col min="1283" max="1283" width="19.7109375" style="70" customWidth="1"/>
    <col min="1284" max="1308" width="8.85546875" style="70"/>
    <col min="1309" max="1313" width="15.140625" style="70" bestFit="1" customWidth="1"/>
    <col min="1314" max="1314" width="19.42578125" style="70" bestFit="1" customWidth="1"/>
    <col min="1315" max="1331" width="15.140625" style="70" bestFit="1" customWidth="1"/>
    <col min="1332" max="1332" width="20.42578125" style="70" bestFit="1" customWidth="1"/>
    <col min="1333" max="1333" width="19.42578125" style="70" bestFit="1" customWidth="1"/>
    <col min="1334" max="1346" width="15.140625" style="70" bestFit="1" customWidth="1"/>
    <col min="1347" max="1537" width="8.85546875" style="70"/>
    <col min="1538" max="1538" width="112.28515625" style="70" customWidth="1"/>
    <col min="1539" max="1539" width="19.7109375" style="70" customWidth="1"/>
    <col min="1540" max="1564" width="8.85546875" style="70"/>
    <col min="1565" max="1569" width="15.140625" style="70" bestFit="1" customWidth="1"/>
    <col min="1570" max="1570" width="19.42578125" style="70" bestFit="1" customWidth="1"/>
    <col min="1571" max="1587" width="15.140625" style="70" bestFit="1" customWidth="1"/>
    <col min="1588" max="1588" width="20.42578125" style="70" bestFit="1" customWidth="1"/>
    <col min="1589" max="1589" width="19.42578125" style="70" bestFit="1" customWidth="1"/>
    <col min="1590" max="1602" width="15.140625" style="70" bestFit="1" customWidth="1"/>
    <col min="1603" max="1793" width="8.85546875" style="70"/>
    <col min="1794" max="1794" width="112.28515625" style="70" customWidth="1"/>
    <col min="1795" max="1795" width="19.7109375" style="70" customWidth="1"/>
    <col min="1796" max="1820" width="8.85546875" style="70"/>
    <col min="1821" max="1825" width="15.140625" style="70" bestFit="1" customWidth="1"/>
    <col min="1826" max="1826" width="19.42578125" style="70" bestFit="1" customWidth="1"/>
    <col min="1827" max="1843" width="15.140625" style="70" bestFit="1" customWidth="1"/>
    <col min="1844" max="1844" width="20.42578125" style="70" bestFit="1" customWidth="1"/>
    <col min="1845" max="1845" width="19.42578125" style="70" bestFit="1" customWidth="1"/>
    <col min="1846" max="1858" width="15.140625" style="70" bestFit="1" customWidth="1"/>
    <col min="1859" max="2049" width="8.85546875" style="70"/>
    <col min="2050" max="2050" width="112.28515625" style="70" customWidth="1"/>
    <col min="2051" max="2051" width="19.7109375" style="70" customWidth="1"/>
    <col min="2052" max="2076" width="8.85546875" style="70"/>
    <col min="2077" max="2081" width="15.140625" style="70" bestFit="1" customWidth="1"/>
    <col min="2082" max="2082" width="19.42578125" style="70" bestFit="1" customWidth="1"/>
    <col min="2083" max="2099" width="15.140625" style="70" bestFit="1" customWidth="1"/>
    <col min="2100" max="2100" width="20.42578125" style="70" bestFit="1" customWidth="1"/>
    <col min="2101" max="2101" width="19.42578125" style="70" bestFit="1" customWidth="1"/>
    <col min="2102" max="2114" width="15.140625" style="70" bestFit="1" customWidth="1"/>
    <col min="2115" max="2305" width="8.85546875" style="70"/>
    <col min="2306" max="2306" width="112.28515625" style="70" customWidth="1"/>
    <col min="2307" max="2307" width="19.7109375" style="70" customWidth="1"/>
    <col min="2308" max="2332" width="8.85546875" style="70"/>
    <col min="2333" max="2337" width="15.140625" style="70" bestFit="1" customWidth="1"/>
    <col min="2338" max="2338" width="19.42578125" style="70" bestFit="1" customWidth="1"/>
    <col min="2339" max="2355" width="15.140625" style="70" bestFit="1" customWidth="1"/>
    <col min="2356" max="2356" width="20.42578125" style="70" bestFit="1" customWidth="1"/>
    <col min="2357" max="2357" width="19.42578125" style="70" bestFit="1" customWidth="1"/>
    <col min="2358" max="2370" width="15.140625" style="70" bestFit="1" customWidth="1"/>
    <col min="2371" max="2561" width="8.85546875" style="70"/>
    <col min="2562" max="2562" width="112.28515625" style="70" customWidth="1"/>
    <col min="2563" max="2563" width="19.7109375" style="70" customWidth="1"/>
    <col min="2564" max="2588" width="8.85546875" style="70"/>
    <col min="2589" max="2593" width="15.140625" style="70" bestFit="1" customWidth="1"/>
    <col min="2594" max="2594" width="19.42578125" style="70" bestFit="1" customWidth="1"/>
    <col min="2595" max="2611" width="15.140625" style="70" bestFit="1" customWidth="1"/>
    <col min="2612" max="2612" width="20.42578125" style="70" bestFit="1" customWidth="1"/>
    <col min="2613" max="2613" width="19.42578125" style="70" bestFit="1" customWidth="1"/>
    <col min="2614" max="2626" width="15.140625" style="70" bestFit="1" customWidth="1"/>
    <col min="2627" max="2817" width="8.85546875" style="70"/>
    <col min="2818" max="2818" width="112.28515625" style="70" customWidth="1"/>
    <col min="2819" max="2819" width="19.7109375" style="70" customWidth="1"/>
    <col min="2820" max="2844" width="8.85546875" style="70"/>
    <col min="2845" max="2849" width="15.140625" style="70" bestFit="1" customWidth="1"/>
    <col min="2850" max="2850" width="19.42578125" style="70" bestFit="1" customWidth="1"/>
    <col min="2851" max="2867" width="15.140625" style="70" bestFit="1" customWidth="1"/>
    <col min="2868" max="2868" width="20.42578125" style="70" bestFit="1" customWidth="1"/>
    <col min="2869" max="2869" width="19.42578125" style="70" bestFit="1" customWidth="1"/>
    <col min="2870" max="2882" width="15.140625" style="70" bestFit="1" customWidth="1"/>
    <col min="2883" max="3073" width="8.85546875" style="70"/>
    <col min="3074" max="3074" width="112.28515625" style="70" customWidth="1"/>
    <col min="3075" max="3075" width="19.7109375" style="70" customWidth="1"/>
    <col min="3076" max="3100" width="8.85546875" style="70"/>
    <col min="3101" max="3105" width="15.140625" style="70" bestFit="1" customWidth="1"/>
    <col min="3106" max="3106" width="19.42578125" style="70" bestFit="1" customWidth="1"/>
    <col min="3107" max="3123" width="15.140625" style="70" bestFit="1" customWidth="1"/>
    <col min="3124" max="3124" width="20.42578125" style="70" bestFit="1" customWidth="1"/>
    <col min="3125" max="3125" width="19.42578125" style="70" bestFit="1" customWidth="1"/>
    <col min="3126" max="3138" width="15.140625" style="70" bestFit="1" customWidth="1"/>
    <col min="3139" max="3329" width="8.85546875" style="70"/>
    <col min="3330" max="3330" width="112.28515625" style="70" customWidth="1"/>
    <col min="3331" max="3331" width="19.7109375" style="70" customWidth="1"/>
    <col min="3332" max="3356" width="8.85546875" style="70"/>
    <col min="3357" max="3361" width="15.140625" style="70" bestFit="1" customWidth="1"/>
    <col min="3362" max="3362" width="19.42578125" style="70" bestFit="1" customWidth="1"/>
    <col min="3363" max="3379" width="15.140625" style="70" bestFit="1" customWidth="1"/>
    <col min="3380" max="3380" width="20.42578125" style="70" bestFit="1" customWidth="1"/>
    <col min="3381" max="3381" width="19.42578125" style="70" bestFit="1" customWidth="1"/>
    <col min="3382" max="3394" width="15.140625" style="70" bestFit="1" customWidth="1"/>
    <col min="3395" max="3585" width="8.85546875" style="70"/>
    <col min="3586" max="3586" width="112.28515625" style="70" customWidth="1"/>
    <col min="3587" max="3587" width="19.7109375" style="70" customWidth="1"/>
    <col min="3588" max="3612" width="8.85546875" style="70"/>
    <col min="3613" max="3617" width="15.140625" style="70" bestFit="1" customWidth="1"/>
    <col min="3618" max="3618" width="19.42578125" style="70" bestFit="1" customWidth="1"/>
    <col min="3619" max="3635" width="15.140625" style="70" bestFit="1" customWidth="1"/>
    <col min="3636" max="3636" width="20.42578125" style="70" bestFit="1" customWidth="1"/>
    <col min="3637" max="3637" width="19.42578125" style="70" bestFit="1" customWidth="1"/>
    <col min="3638" max="3650" width="15.140625" style="70" bestFit="1" customWidth="1"/>
    <col min="3651" max="3841" width="8.85546875" style="70"/>
    <col min="3842" max="3842" width="112.28515625" style="70" customWidth="1"/>
    <col min="3843" max="3843" width="19.7109375" style="70" customWidth="1"/>
    <col min="3844" max="3868" width="8.85546875" style="70"/>
    <col min="3869" max="3873" width="15.140625" style="70" bestFit="1" customWidth="1"/>
    <col min="3874" max="3874" width="19.42578125" style="70" bestFit="1" customWidth="1"/>
    <col min="3875" max="3891" width="15.140625" style="70" bestFit="1" customWidth="1"/>
    <col min="3892" max="3892" width="20.42578125" style="70" bestFit="1" customWidth="1"/>
    <col min="3893" max="3893" width="19.42578125" style="70" bestFit="1" customWidth="1"/>
    <col min="3894" max="3906" width="15.140625" style="70" bestFit="1" customWidth="1"/>
    <col min="3907" max="4097" width="8.85546875" style="70"/>
    <col min="4098" max="4098" width="112.28515625" style="70" customWidth="1"/>
    <col min="4099" max="4099" width="19.7109375" style="70" customWidth="1"/>
    <col min="4100" max="4124" width="8.85546875" style="70"/>
    <col min="4125" max="4129" width="15.140625" style="70" bestFit="1" customWidth="1"/>
    <col min="4130" max="4130" width="19.42578125" style="70" bestFit="1" customWidth="1"/>
    <col min="4131" max="4147" width="15.140625" style="70" bestFit="1" customWidth="1"/>
    <col min="4148" max="4148" width="20.42578125" style="70" bestFit="1" customWidth="1"/>
    <col min="4149" max="4149" width="19.42578125" style="70" bestFit="1" customWidth="1"/>
    <col min="4150" max="4162" width="15.140625" style="70" bestFit="1" customWidth="1"/>
    <col min="4163" max="4353" width="8.85546875" style="70"/>
    <col min="4354" max="4354" width="112.28515625" style="70" customWidth="1"/>
    <col min="4355" max="4355" width="19.7109375" style="70" customWidth="1"/>
    <col min="4356" max="4380" width="8.85546875" style="70"/>
    <col min="4381" max="4385" width="15.140625" style="70" bestFit="1" customWidth="1"/>
    <col min="4386" max="4386" width="19.42578125" style="70" bestFit="1" customWidth="1"/>
    <col min="4387" max="4403" width="15.140625" style="70" bestFit="1" customWidth="1"/>
    <col min="4404" max="4404" width="20.42578125" style="70" bestFit="1" customWidth="1"/>
    <col min="4405" max="4405" width="19.42578125" style="70" bestFit="1" customWidth="1"/>
    <col min="4406" max="4418" width="15.140625" style="70" bestFit="1" customWidth="1"/>
    <col min="4419" max="4609" width="8.85546875" style="70"/>
    <col min="4610" max="4610" width="112.28515625" style="70" customWidth="1"/>
    <col min="4611" max="4611" width="19.7109375" style="70" customWidth="1"/>
    <col min="4612" max="4636" width="8.85546875" style="70"/>
    <col min="4637" max="4641" width="15.140625" style="70" bestFit="1" customWidth="1"/>
    <col min="4642" max="4642" width="19.42578125" style="70" bestFit="1" customWidth="1"/>
    <col min="4643" max="4659" width="15.140625" style="70" bestFit="1" customWidth="1"/>
    <col min="4660" max="4660" width="20.42578125" style="70" bestFit="1" customWidth="1"/>
    <col min="4661" max="4661" width="19.42578125" style="70" bestFit="1" customWidth="1"/>
    <col min="4662" max="4674" width="15.140625" style="70" bestFit="1" customWidth="1"/>
    <col min="4675" max="4865" width="8.85546875" style="70"/>
    <col min="4866" max="4866" width="112.28515625" style="70" customWidth="1"/>
    <col min="4867" max="4867" width="19.7109375" style="70" customWidth="1"/>
    <col min="4868" max="4892" width="8.85546875" style="70"/>
    <col min="4893" max="4897" width="15.140625" style="70" bestFit="1" customWidth="1"/>
    <col min="4898" max="4898" width="19.42578125" style="70" bestFit="1" customWidth="1"/>
    <col min="4899" max="4915" width="15.140625" style="70" bestFit="1" customWidth="1"/>
    <col min="4916" max="4916" width="20.42578125" style="70" bestFit="1" customWidth="1"/>
    <col min="4917" max="4917" width="19.42578125" style="70" bestFit="1" customWidth="1"/>
    <col min="4918" max="4930" width="15.140625" style="70" bestFit="1" customWidth="1"/>
    <col min="4931" max="5121" width="8.85546875" style="70"/>
    <col min="5122" max="5122" width="112.28515625" style="70" customWidth="1"/>
    <col min="5123" max="5123" width="19.7109375" style="70" customWidth="1"/>
    <col min="5124" max="5148" width="8.85546875" style="70"/>
    <col min="5149" max="5153" width="15.140625" style="70" bestFit="1" customWidth="1"/>
    <col min="5154" max="5154" width="19.42578125" style="70" bestFit="1" customWidth="1"/>
    <col min="5155" max="5171" width="15.140625" style="70" bestFit="1" customWidth="1"/>
    <col min="5172" max="5172" width="20.42578125" style="70" bestFit="1" customWidth="1"/>
    <col min="5173" max="5173" width="19.42578125" style="70" bestFit="1" customWidth="1"/>
    <col min="5174" max="5186" width="15.140625" style="70" bestFit="1" customWidth="1"/>
    <col min="5187" max="5377" width="8.85546875" style="70"/>
    <col min="5378" max="5378" width="112.28515625" style="70" customWidth="1"/>
    <col min="5379" max="5379" width="19.7109375" style="70" customWidth="1"/>
    <col min="5380" max="5404" width="8.85546875" style="70"/>
    <col min="5405" max="5409" width="15.140625" style="70" bestFit="1" customWidth="1"/>
    <col min="5410" max="5410" width="19.42578125" style="70" bestFit="1" customWidth="1"/>
    <col min="5411" max="5427" width="15.140625" style="70" bestFit="1" customWidth="1"/>
    <col min="5428" max="5428" width="20.42578125" style="70" bestFit="1" customWidth="1"/>
    <col min="5429" max="5429" width="19.42578125" style="70" bestFit="1" customWidth="1"/>
    <col min="5430" max="5442" width="15.140625" style="70" bestFit="1" customWidth="1"/>
    <col min="5443" max="5633" width="8.85546875" style="70"/>
    <col min="5634" max="5634" width="112.28515625" style="70" customWidth="1"/>
    <col min="5635" max="5635" width="19.7109375" style="70" customWidth="1"/>
    <col min="5636" max="5660" width="8.85546875" style="70"/>
    <col min="5661" max="5665" width="15.140625" style="70" bestFit="1" customWidth="1"/>
    <col min="5666" max="5666" width="19.42578125" style="70" bestFit="1" customWidth="1"/>
    <col min="5667" max="5683" width="15.140625" style="70" bestFit="1" customWidth="1"/>
    <col min="5684" max="5684" width="20.42578125" style="70" bestFit="1" customWidth="1"/>
    <col min="5685" max="5685" width="19.42578125" style="70" bestFit="1" customWidth="1"/>
    <col min="5686" max="5698" width="15.140625" style="70" bestFit="1" customWidth="1"/>
    <col min="5699" max="5889" width="8.85546875" style="70"/>
    <col min="5890" max="5890" width="112.28515625" style="70" customWidth="1"/>
    <col min="5891" max="5891" width="19.7109375" style="70" customWidth="1"/>
    <col min="5892" max="5916" width="8.85546875" style="70"/>
    <col min="5917" max="5921" width="15.140625" style="70" bestFit="1" customWidth="1"/>
    <col min="5922" max="5922" width="19.42578125" style="70" bestFit="1" customWidth="1"/>
    <col min="5923" max="5939" width="15.140625" style="70" bestFit="1" customWidth="1"/>
    <col min="5940" max="5940" width="20.42578125" style="70" bestFit="1" customWidth="1"/>
    <col min="5941" max="5941" width="19.42578125" style="70" bestFit="1" customWidth="1"/>
    <col min="5942" max="5954" width="15.140625" style="70" bestFit="1" customWidth="1"/>
    <col min="5955" max="6145" width="8.85546875" style="70"/>
    <col min="6146" max="6146" width="112.28515625" style="70" customWidth="1"/>
    <col min="6147" max="6147" width="19.7109375" style="70" customWidth="1"/>
    <col min="6148" max="6172" width="8.85546875" style="70"/>
    <col min="6173" max="6177" width="15.140625" style="70" bestFit="1" customWidth="1"/>
    <col min="6178" max="6178" width="19.42578125" style="70" bestFit="1" customWidth="1"/>
    <col min="6179" max="6195" width="15.140625" style="70" bestFit="1" customWidth="1"/>
    <col min="6196" max="6196" width="20.42578125" style="70" bestFit="1" customWidth="1"/>
    <col min="6197" max="6197" width="19.42578125" style="70" bestFit="1" customWidth="1"/>
    <col min="6198" max="6210" width="15.140625" style="70" bestFit="1" customWidth="1"/>
    <col min="6211" max="6401" width="8.85546875" style="70"/>
    <col min="6402" max="6402" width="112.28515625" style="70" customWidth="1"/>
    <col min="6403" max="6403" width="19.7109375" style="70" customWidth="1"/>
    <col min="6404" max="6428" width="8.85546875" style="70"/>
    <col min="6429" max="6433" width="15.140625" style="70" bestFit="1" customWidth="1"/>
    <col min="6434" max="6434" width="19.42578125" style="70" bestFit="1" customWidth="1"/>
    <col min="6435" max="6451" width="15.140625" style="70" bestFit="1" customWidth="1"/>
    <col min="6452" max="6452" width="20.42578125" style="70" bestFit="1" customWidth="1"/>
    <col min="6453" max="6453" width="19.42578125" style="70" bestFit="1" customWidth="1"/>
    <col min="6454" max="6466" width="15.140625" style="70" bestFit="1" customWidth="1"/>
    <col min="6467" max="6657" width="8.85546875" style="70"/>
    <col min="6658" max="6658" width="112.28515625" style="70" customWidth="1"/>
    <col min="6659" max="6659" width="19.7109375" style="70" customWidth="1"/>
    <col min="6660" max="6684" width="8.85546875" style="70"/>
    <col min="6685" max="6689" width="15.140625" style="70" bestFit="1" customWidth="1"/>
    <col min="6690" max="6690" width="19.42578125" style="70" bestFit="1" customWidth="1"/>
    <col min="6691" max="6707" width="15.140625" style="70" bestFit="1" customWidth="1"/>
    <col min="6708" max="6708" width="20.42578125" style="70" bestFit="1" customWidth="1"/>
    <col min="6709" max="6709" width="19.42578125" style="70" bestFit="1" customWidth="1"/>
    <col min="6710" max="6722" width="15.140625" style="70" bestFit="1" customWidth="1"/>
    <col min="6723" max="6913" width="8.85546875" style="70"/>
    <col min="6914" max="6914" width="112.28515625" style="70" customWidth="1"/>
    <col min="6915" max="6915" width="19.7109375" style="70" customWidth="1"/>
    <col min="6916" max="6940" width="8.85546875" style="70"/>
    <col min="6941" max="6945" width="15.140625" style="70" bestFit="1" customWidth="1"/>
    <col min="6946" max="6946" width="19.42578125" style="70" bestFit="1" customWidth="1"/>
    <col min="6947" max="6963" width="15.140625" style="70" bestFit="1" customWidth="1"/>
    <col min="6964" max="6964" width="20.42578125" style="70" bestFit="1" customWidth="1"/>
    <col min="6965" max="6965" width="19.42578125" style="70" bestFit="1" customWidth="1"/>
    <col min="6966" max="6978" width="15.140625" style="70" bestFit="1" customWidth="1"/>
    <col min="6979" max="7169" width="8.85546875" style="70"/>
    <col min="7170" max="7170" width="112.28515625" style="70" customWidth="1"/>
    <col min="7171" max="7171" width="19.7109375" style="70" customWidth="1"/>
    <col min="7172" max="7196" width="8.85546875" style="70"/>
    <col min="7197" max="7201" width="15.140625" style="70" bestFit="1" customWidth="1"/>
    <col min="7202" max="7202" width="19.42578125" style="70" bestFit="1" customWidth="1"/>
    <col min="7203" max="7219" width="15.140625" style="70" bestFit="1" customWidth="1"/>
    <col min="7220" max="7220" width="20.42578125" style="70" bestFit="1" customWidth="1"/>
    <col min="7221" max="7221" width="19.42578125" style="70" bestFit="1" customWidth="1"/>
    <col min="7222" max="7234" width="15.140625" style="70" bestFit="1" customWidth="1"/>
    <col min="7235" max="7425" width="8.85546875" style="70"/>
    <col min="7426" max="7426" width="112.28515625" style="70" customWidth="1"/>
    <col min="7427" max="7427" width="19.7109375" style="70" customWidth="1"/>
    <col min="7428" max="7452" width="8.85546875" style="70"/>
    <col min="7453" max="7457" width="15.140625" style="70" bestFit="1" customWidth="1"/>
    <col min="7458" max="7458" width="19.42578125" style="70" bestFit="1" customWidth="1"/>
    <col min="7459" max="7475" width="15.140625" style="70" bestFit="1" customWidth="1"/>
    <col min="7476" max="7476" width="20.42578125" style="70" bestFit="1" customWidth="1"/>
    <col min="7477" max="7477" width="19.42578125" style="70" bestFit="1" customWidth="1"/>
    <col min="7478" max="7490" width="15.140625" style="70" bestFit="1" customWidth="1"/>
    <col min="7491" max="7681" width="8.85546875" style="70"/>
    <col min="7682" max="7682" width="112.28515625" style="70" customWidth="1"/>
    <col min="7683" max="7683" width="19.7109375" style="70" customWidth="1"/>
    <col min="7684" max="7708" width="8.85546875" style="70"/>
    <col min="7709" max="7713" width="15.140625" style="70" bestFit="1" customWidth="1"/>
    <col min="7714" max="7714" width="19.42578125" style="70" bestFit="1" customWidth="1"/>
    <col min="7715" max="7731" width="15.140625" style="70" bestFit="1" customWidth="1"/>
    <col min="7732" max="7732" width="20.42578125" style="70" bestFit="1" customWidth="1"/>
    <col min="7733" max="7733" width="19.42578125" style="70" bestFit="1" customWidth="1"/>
    <col min="7734" max="7746" width="15.140625" style="70" bestFit="1" customWidth="1"/>
    <col min="7747" max="7937" width="8.85546875" style="70"/>
    <col min="7938" max="7938" width="112.28515625" style="70" customWidth="1"/>
    <col min="7939" max="7939" width="19.7109375" style="70" customWidth="1"/>
    <col min="7940" max="7964" width="8.85546875" style="70"/>
    <col min="7965" max="7969" width="15.140625" style="70" bestFit="1" customWidth="1"/>
    <col min="7970" max="7970" width="19.42578125" style="70" bestFit="1" customWidth="1"/>
    <col min="7971" max="7987" width="15.140625" style="70" bestFit="1" customWidth="1"/>
    <col min="7988" max="7988" width="20.42578125" style="70" bestFit="1" customWidth="1"/>
    <col min="7989" max="7989" width="19.42578125" style="70" bestFit="1" customWidth="1"/>
    <col min="7990" max="8002" width="15.140625" style="70" bestFit="1" customWidth="1"/>
    <col min="8003" max="8193" width="8.85546875" style="70"/>
    <col min="8194" max="8194" width="112.28515625" style="70" customWidth="1"/>
    <col min="8195" max="8195" width="19.7109375" style="70" customWidth="1"/>
    <col min="8196" max="8220" width="8.85546875" style="70"/>
    <col min="8221" max="8225" width="15.140625" style="70" bestFit="1" customWidth="1"/>
    <col min="8226" max="8226" width="19.42578125" style="70" bestFit="1" customWidth="1"/>
    <col min="8227" max="8243" width="15.140625" style="70" bestFit="1" customWidth="1"/>
    <col min="8244" max="8244" width="20.42578125" style="70" bestFit="1" customWidth="1"/>
    <col min="8245" max="8245" width="19.42578125" style="70" bestFit="1" customWidth="1"/>
    <col min="8246" max="8258" width="15.140625" style="70" bestFit="1" customWidth="1"/>
    <col min="8259" max="8449" width="8.85546875" style="70"/>
    <col min="8450" max="8450" width="112.28515625" style="70" customWidth="1"/>
    <col min="8451" max="8451" width="19.7109375" style="70" customWidth="1"/>
    <col min="8452" max="8476" width="8.85546875" style="70"/>
    <col min="8477" max="8481" width="15.140625" style="70" bestFit="1" customWidth="1"/>
    <col min="8482" max="8482" width="19.42578125" style="70" bestFit="1" customWidth="1"/>
    <col min="8483" max="8499" width="15.140625" style="70" bestFit="1" customWidth="1"/>
    <col min="8500" max="8500" width="20.42578125" style="70" bestFit="1" customWidth="1"/>
    <col min="8501" max="8501" width="19.42578125" style="70" bestFit="1" customWidth="1"/>
    <col min="8502" max="8514" width="15.140625" style="70" bestFit="1" customWidth="1"/>
    <col min="8515" max="8705" width="8.85546875" style="70"/>
    <col min="8706" max="8706" width="112.28515625" style="70" customWidth="1"/>
    <col min="8707" max="8707" width="19.7109375" style="70" customWidth="1"/>
    <col min="8708" max="8732" width="8.85546875" style="70"/>
    <col min="8733" max="8737" width="15.140625" style="70" bestFit="1" customWidth="1"/>
    <col min="8738" max="8738" width="19.42578125" style="70" bestFit="1" customWidth="1"/>
    <col min="8739" max="8755" width="15.140625" style="70" bestFit="1" customWidth="1"/>
    <col min="8756" max="8756" width="20.42578125" style="70" bestFit="1" customWidth="1"/>
    <col min="8757" max="8757" width="19.42578125" style="70" bestFit="1" customWidth="1"/>
    <col min="8758" max="8770" width="15.140625" style="70" bestFit="1" customWidth="1"/>
    <col min="8771" max="8961" width="8.85546875" style="70"/>
    <col min="8962" max="8962" width="112.28515625" style="70" customWidth="1"/>
    <col min="8963" max="8963" width="19.7109375" style="70" customWidth="1"/>
    <col min="8964" max="8988" width="8.85546875" style="70"/>
    <col min="8989" max="8993" width="15.140625" style="70" bestFit="1" customWidth="1"/>
    <col min="8994" max="8994" width="19.42578125" style="70" bestFit="1" customWidth="1"/>
    <col min="8995" max="9011" width="15.140625" style="70" bestFit="1" customWidth="1"/>
    <col min="9012" max="9012" width="20.42578125" style="70" bestFit="1" customWidth="1"/>
    <col min="9013" max="9013" width="19.42578125" style="70" bestFit="1" customWidth="1"/>
    <col min="9014" max="9026" width="15.140625" style="70" bestFit="1" customWidth="1"/>
    <col min="9027" max="9217" width="8.85546875" style="70"/>
    <col min="9218" max="9218" width="112.28515625" style="70" customWidth="1"/>
    <col min="9219" max="9219" width="19.7109375" style="70" customWidth="1"/>
    <col min="9220" max="9244" width="8.85546875" style="70"/>
    <col min="9245" max="9249" width="15.140625" style="70" bestFit="1" customWidth="1"/>
    <col min="9250" max="9250" width="19.42578125" style="70" bestFit="1" customWidth="1"/>
    <col min="9251" max="9267" width="15.140625" style="70" bestFit="1" customWidth="1"/>
    <col min="9268" max="9268" width="20.42578125" style="70" bestFit="1" customWidth="1"/>
    <col min="9269" max="9269" width="19.42578125" style="70" bestFit="1" customWidth="1"/>
    <col min="9270" max="9282" width="15.140625" style="70" bestFit="1" customWidth="1"/>
    <col min="9283" max="9473" width="8.85546875" style="70"/>
    <col min="9474" max="9474" width="112.28515625" style="70" customWidth="1"/>
    <col min="9475" max="9475" width="19.7109375" style="70" customWidth="1"/>
    <col min="9476" max="9500" width="8.85546875" style="70"/>
    <col min="9501" max="9505" width="15.140625" style="70" bestFit="1" customWidth="1"/>
    <col min="9506" max="9506" width="19.42578125" style="70" bestFit="1" customWidth="1"/>
    <col min="9507" max="9523" width="15.140625" style="70" bestFit="1" customWidth="1"/>
    <col min="9524" max="9524" width="20.42578125" style="70" bestFit="1" customWidth="1"/>
    <col min="9525" max="9525" width="19.42578125" style="70" bestFit="1" customWidth="1"/>
    <col min="9526" max="9538" width="15.140625" style="70" bestFit="1" customWidth="1"/>
    <col min="9539" max="9729" width="8.85546875" style="70"/>
    <col min="9730" max="9730" width="112.28515625" style="70" customWidth="1"/>
    <col min="9731" max="9731" width="19.7109375" style="70" customWidth="1"/>
    <col min="9732" max="9756" width="8.85546875" style="70"/>
    <col min="9757" max="9761" width="15.140625" style="70" bestFit="1" customWidth="1"/>
    <col min="9762" max="9762" width="19.42578125" style="70" bestFit="1" customWidth="1"/>
    <col min="9763" max="9779" width="15.140625" style="70" bestFit="1" customWidth="1"/>
    <col min="9780" max="9780" width="20.42578125" style="70" bestFit="1" customWidth="1"/>
    <col min="9781" max="9781" width="19.42578125" style="70" bestFit="1" customWidth="1"/>
    <col min="9782" max="9794" width="15.140625" style="70" bestFit="1" customWidth="1"/>
    <col min="9795" max="9985" width="8.85546875" style="70"/>
    <col min="9986" max="9986" width="112.28515625" style="70" customWidth="1"/>
    <col min="9987" max="9987" width="19.7109375" style="70" customWidth="1"/>
    <col min="9988" max="10012" width="8.85546875" style="70"/>
    <col min="10013" max="10017" width="15.140625" style="70" bestFit="1" customWidth="1"/>
    <col min="10018" max="10018" width="19.42578125" style="70" bestFit="1" customWidth="1"/>
    <col min="10019" max="10035" width="15.140625" style="70" bestFit="1" customWidth="1"/>
    <col min="10036" max="10036" width="20.42578125" style="70" bestFit="1" customWidth="1"/>
    <col min="10037" max="10037" width="19.42578125" style="70" bestFit="1" customWidth="1"/>
    <col min="10038" max="10050" width="15.140625" style="70" bestFit="1" customWidth="1"/>
    <col min="10051" max="10241" width="8.85546875" style="70"/>
    <col min="10242" max="10242" width="112.28515625" style="70" customWidth="1"/>
    <col min="10243" max="10243" width="19.7109375" style="70" customWidth="1"/>
    <col min="10244" max="10268" width="8.85546875" style="70"/>
    <col min="10269" max="10273" width="15.140625" style="70" bestFit="1" customWidth="1"/>
    <col min="10274" max="10274" width="19.42578125" style="70" bestFit="1" customWidth="1"/>
    <col min="10275" max="10291" width="15.140625" style="70" bestFit="1" customWidth="1"/>
    <col min="10292" max="10292" width="20.42578125" style="70" bestFit="1" customWidth="1"/>
    <col min="10293" max="10293" width="19.42578125" style="70" bestFit="1" customWidth="1"/>
    <col min="10294" max="10306" width="15.140625" style="70" bestFit="1" customWidth="1"/>
    <col min="10307" max="10497" width="8.85546875" style="70"/>
    <col min="10498" max="10498" width="112.28515625" style="70" customWidth="1"/>
    <col min="10499" max="10499" width="19.7109375" style="70" customWidth="1"/>
    <col min="10500" max="10524" width="8.85546875" style="70"/>
    <col min="10525" max="10529" width="15.140625" style="70" bestFit="1" customWidth="1"/>
    <col min="10530" max="10530" width="19.42578125" style="70" bestFit="1" customWidth="1"/>
    <col min="10531" max="10547" width="15.140625" style="70" bestFit="1" customWidth="1"/>
    <col min="10548" max="10548" width="20.42578125" style="70" bestFit="1" customWidth="1"/>
    <col min="10549" max="10549" width="19.42578125" style="70" bestFit="1" customWidth="1"/>
    <col min="10550" max="10562" width="15.140625" style="70" bestFit="1" customWidth="1"/>
    <col min="10563" max="10753" width="8.85546875" style="70"/>
    <col min="10754" max="10754" width="112.28515625" style="70" customWidth="1"/>
    <col min="10755" max="10755" width="19.7109375" style="70" customWidth="1"/>
    <col min="10756" max="10780" width="8.85546875" style="70"/>
    <col min="10781" max="10785" width="15.140625" style="70" bestFit="1" customWidth="1"/>
    <col min="10786" max="10786" width="19.42578125" style="70" bestFit="1" customWidth="1"/>
    <col min="10787" max="10803" width="15.140625" style="70" bestFit="1" customWidth="1"/>
    <col min="10804" max="10804" width="20.42578125" style="70" bestFit="1" customWidth="1"/>
    <col min="10805" max="10805" width="19.42578125" style="70" bestFit="1" customWidth="1"/>
    <col min="10806" max="10818" width="15.140625" style="70" bestFit="1" customWidth="1"/>
    <col min="10819" max="11009" width="8.85546875" style="70"/>
    <col min="11010" max="11010" width="112.28515625" style="70" customWidth="1"/>
    <col min="11011" max="11011" width="19.7109375" style="70" customWidth="1"/>
    <col min="11012" max="11036" width="8.85546875" style="70"/>
    <col min="11037" max="11041" width="15.140625" style="70" bestFit="1" customWidth="1"/>
    <col min="11042" max="11042" width="19.42578125" style="70" bestFit="1" customWidth="1"/>
    <col min="11043" max="11059" width="15.140625" style="70" bestFit="1" customWidth="1"/>
    <col min="11060" max="11060" width="20.42578125" style="70" bestFit="1" customWidth="1"/>
    <col min="11061" max="11061" width="19.42578125" style="70" bestFit="1" customWidth="1"/>
    <col min="11062" max="11074" width="15.140625" style="70" bestFit="1" customWidth="1"/>
    <col min="11075" max="11265" width="8.85546875" style="70"/>
    <col min="11266" max="11266" width="112.28515625" style="70" customWidth="1"/>
    <col min="11267" max="11267" width="19.7109375" style="70" customWidth="1"/>
    <col min="11268" max="11292" width="8.85546875" style="70"/>
    <col min="11293" max="11297" width="15.140625" style="70" bestFit="1" customWidth="1"/>
    <col min="11298" max="11298" width="19.42578125" style="70" bestFit="1" customWidth="1"/>
    <col min="11299" max="11315" width="15.140625" style="70" bestFit="1" customWidth="1"/>
    <col min="11316" max="11316" width="20.42578125" style="70" bestFit="1" customWidth="1"/>
    <col min="11317" max="11317" width="19.42578125" style="70" bestFit="1" customWidth="1"/>
    <col min="11318" max="11330" width="15.140625" style="70" bestFit="1" customWidth="1"/>
    <col min="11331" max="11521" width="8.85546875" style="70"/>
    <col min="11522" max="11522" width="112.28515625" style="70" customWidth="1"/>
    <col min="11523" max="11523" width="19.7109375" style="70" customWidth="1"/>
    <col min="11524" max="11548" width="8.85546875" style="70"/>
    <col min="11549" max="11553" width="15.140625" style="70" bestFit="1" customWidth="1"/>
    <col min="11554" max="11554" width="19.42578125" style="70" bestFit="1" customWidth="1"/>
    <col min="11555" max="11571" width="15.140625" style="70" bestFit="1" customWidth="1"/>
    <col min="11572" max="11572" width="20.42578125" style="70" bestFit="1" customWidth="1"/>
    <col min="11573" max="11573" width="19.42578125" style="70" bestFit="1" customWidth="1"/>
    <col min="11574" max="11586" width="15.140625" style="70" bestFit="1" customWidth="1"/>
    <col min="11587" max="11777" width="8.85546875" style="70"/>
    <col min="11778" max="11778" width="112.28515625" style="70" customWidth="1"/>
    <col min="11779" max="11779" width="19.7109375" style="70" customWidth="1"/>
    <col min="11780" max="11804" width="8.85546875" style="70"/>
    <col min="11805" max="11809" width="15.140625" style="70" bestFit="1" customWidth="1"/>
    <col min="11810" max="11810" width="19.42578125" style="70" bestFit="1" customWidth="1"/>
    <col min="11811" max="11827" width="15.140625" style="70" bestFit="1" customWidth="1"/>
    <col min="11828" max="11828" width="20.42578125" style="70" bestFit="1" customWidth="1"/>
    <col min="11829" max="11829" width="19.42578125" style="70" bestFit="1" customWidth="1"/>
    <col min="11830" max="11842" width="15.140625" style="70" bestFit="1" customWidth="1"/>
    <col min="11843" max="12033" width="8.85546875" style="70"/>
    <col min="12034" max="12034" width="112.28515625" style="70" customWidth="1"/>
    <col min="12035" max="12035" width="19.7109375" style="70" customWidth="1"/>
    <col min="12036" max="12060" width="8.85546875" style="70"/>
    <col min="12061" max="12065" width="15.140625" style="70" bestFit="1" customWidth="1"/>
    <col min="12066" max="12066" width="19.42578125" style="70" bestFit="1" customWidth="1"/>
    <col min="12067" max="12083" width="15.140625" style="70" bestFit="1" customWidth="1"/>
    <col min="12084" max="12084" width="20.42578125" style="70" bestFit="1" customWidth="1"/>
    <col min="12085" max="12085" width="19.42578125" style="70" bestFit="1" customWidth="1"/>
    <col min="12086" max="12098" width="15.140625" style="70" bestFit="1" customWidth="1"/>
    <col min="12099" max="12289" width="8.85546875" style="70"/>
    <col min="12290" max="12290" width="112.28515625" style="70" customWidth="1"/>
    <col min="12291" max="12291" width="19.7109375" style="70" customWidth="1"/>
    <col min="12292" max="12316" width="8.85546875" style="70"/>
    <col min="12317" max="12321" width="15.140625" style="70" bestFit="1" customWidth="1"/>
    <col min="12322" max="12322" width="19.42578125" style="70" bestFit="1" customWidth="1"/>
    <col min="12323" max="12339" width="15.140625" style="70" bestFit="1" customWidth="1"/>
    <col min="12340" max="12340" width="20.42578125" style="70" bestFit="1" customWidth="1"/>
    <col min="12341" max="12341" width="19.42578125" style="70" bestFit="1" customWidth="1"/>
    <col min="12342" max="12354" width="15.140625" style="70" bestFit="1" customWidth="1"/>
    <col min="12355" max="12545" width="8.85546875" style="70"/>
    <col min="12546" max="12546" width="112.28515625" style="70" customWidth="1"/>
    <col min="12547" max="12547" width="19.7109375" style="70" customWidth="1"/>
    <col min="12548" max="12572" width="8.85546875" style="70"/>
    <col min="12573" max="12577" width="15.140625" style="70" bestFit="1" customWidth="1"/>
    <col min="12578" max="12578" width="19.42578125" style="70" bestFit="1" customWidth="1"/>
    <col min="12579" max="12595" width="15.140625" style="70" bestFit="1" customWidth="1"/>
    <col min="12596" max="12596" width="20.42578125" style="70" bestFit="1" customWidth="1"/>
    <col min="12597" max="12597" width="19.42578125" style="70" bestFit="1" customWidth="1"/>
    <col min="12598" max="12610" width="15.140625" style="70" bestFit="1" customWidth="1"/>
    <col min="12611" max="12801" width="8.85546875" style="70"/>
    <col min="12802" max="12802" width="112.28515625" style="70" customWidth="1"/>
    <col min="12803" max="12803" width="19.7109375" style="70" customWidth="1"/>
    <col min="12804" max="12828" width="8.85546875" style="70"/>
    <col min="12829" max="12833" width="15.140625" style="70" bestFit="1" customWidth="1"/>
    <col min="12834" max="12834" width="19.42578125" style="70" bestFit="1" customWidth="1"/>
    <col min="12835" max="12851" width="15.140625" style="70" bestFit="1" customWidth="1"/>
    <col min="12852" max="12852" width="20.42578125" style="70" bestFit="1" customWidth="1"/>
    <col min="12853" max="12853" width="19.42578125" style="70" bestFit="1" customWidth="1"/>
    <col min="12854" max="12866" width="15.140625" style="70" bestFit="1" customWidth="1"/>
    <col min="12867" max="13057" width="8.85546875" style="70"/>
    <col min="13058" max="13058" width="112.28515625" style="70" customWidth="1"/>
    <col min="13059" max="13059" width="19.7109375" style="70" customWidth="1"/>
    <col min="13060" max="13084" width="8.85546875" style="70"/>
    <col min="13085" max="13089" width="15.140625" style="70" bestFit="1" customWidth="1"/>
    <col min="13090" max="13090" width="19.42578125" style="70" bestFit="1" customWidth="1"/>
    <col min="13091" max="13107" width="15.140625" style="70" bestFit="1" customWidth="1"/>
    <col min="13108" max="13108" width="20.42578125" style="70" bestFit="1" customWidth="1"/>
    <col min="13109" max="13109" width="19.42578125" style="70" bestFit="1" customWidth="1"/>
    <col min="13110" max="13122" width="15.140625" style="70" bestFit="1" customWidth="1"/>
    <col min="13123" max="13313" width="8.85546875" style="70"/>
    <col min="13314" max="13314" width="112.28515625" style="70" customWidth="1"/>
    <col min="13315" max="13315" width="19.7109375" style="70" customWidth="1"/>
    <col min="13316" max="13340" width="8.85546875" style="70"/>
    <col min="13341" max="13345" width="15.140625" style="70" bestFit="1" customWidth="1"/>
    <col min="13346" max="13346" width="19.42578125" style="70" bestFit="1" customWidth="1"/>
    <col min="13347" max="13363" width="15.140625" style="70" bestFit="1" customWidth="1"/>
    <col min="13364" max="13364" width="20.42578125" style="70" bestFit="1" customWidth="1"/>
    <col min="13365" max="13365" width="19.42578125" style="70" bestFit="1" customWidth="1"/>
    <col min="13366" max="13378" width="15.140625" style="70" bestFit="1" customWidth="1"/>
    <col min="13379" max="13569" width="8.85546875" style="70"/>
    <col min="13570" max="13570" width="112.28515625" style="70" customWidth="1"/>
    <col min="13571" max="13571" width="19.7109375" style="70" customWidth="1"/>
    <col min="13572" max="13596" width="8.85546875" style="70"/>
    <col min="13597" max="13601" width="15.140625" style="70" bestFit="1" customWidth="1"/>
    <col min="13602" max="13602" width="19.42578125" style="70" bestFit="1" customWidth="1"/>
    <col min="13603" max="13619" width="15.140625" style="70" bestFit="1" customWidth="1"/>
    <col min="13620" max="13620" width="20.42578125" style="70" bestFit="1" customWidth="1"/>
    <col min="13621" max="13621" width="19.42578125" style="70" bestFit="1" customWidth="1"/>
    <col min="13622" max="13634" width="15.140625" style="70" bestFit="1" customWidth="1"/>
    <col min="13635" max="13825" width="8.85546875" style="70"/>
    <col min="13826" max="13826" width="112.28515625" style="70" customWidth="1"/>
    <col min="13827" max="13827" width="19.7109375" style="70" customWidth="1"/>
    <col min="13828" max="13852" width="8.85546875" style="70"/>
    <col min="13853" max="13857" width="15.140625" style="70" bestFit="1" customWidth="1"/>
    <col min="13858" max="13858" width="19.42578125" style="70" bestFit="1" customWidth="1"/>
    <col min="13859" max="13875" width="15.140625" style="70" bestFit="1" customWidth="1"/>
    <col min="13876" max="13876" width="20.42578125" style="70" bestFit="1" customWidth="1"/>
    <col min="13877" max="13877" width="19.42578125" style="70" bestFit="1" customWidth="1"/>
    <col min="13878" max="13890" width="15.140625" style="70" bestFit="1" customWidth="1"/>
    <col min="13891" max="14081" width="8.85546875" style="70"/>
    <col min="14082" max="14082" width="112.28515625" style="70" customWidth="1"/>
    <col min="14083" max="14083" width="19.7109375" style="70" customWidth="1"/>
    <col min="14084" max="14108" width="8.85546875" style="70"/>
    <col min="14109" max="14113" width="15.140625" style="70" bestFit="1" customWidth="1"/>
    <col min="14114" max="14114" width="19.42578125" style="70" bestFit="1" customWidth="1"/>
    <col min="14115" max="14131" width="15.140625" style="70" bestFit="1" customWidth="1"/>
    <col min="14132" max="14132" width="20.42578125" style="70" bestFit="1" customWidth="1"/>
    <col min="14133" max="14133" width="19.42578125" style="70" bestFit="1" customWidth="1"/>
    <col min="14134" max="14146" width="15.140625" style="70" bestFit="1" customWidth="1"/>
    <col min="14147" max="14337" width="8.85546875" style="70"/>
    <col min="14338" max="14338" width="112.28515625" style="70" customWidth="1"/>
    <col min="14339" max="14339" width="19.7109375" style="70" customWidth="1"/>
    <col min="14340" max="14364" width="8.85546875" style="70"/>
    <col min="14365" max="14369" width="15.140625" style="70" bestFit="1" customWidth="1"/>
    <col min="14370" max="14370" width="19.42578125" style="70" bestFit="1" customWidth="1"/>
    <col min="14371" max="14387" width="15.140625" style="70" bestFit="1" customWidth="1"/>
    <col min="14388" max="14388" width="20.42578125" style="70" bestFit="1" customWidth="1"/>
    <col min="14389" max="14389" width="19.42578125" style="70" bestFit="1" customWidth="1"/>
    <col min="14390" max="14402" width="15.140625" style="70" bestFit="1" customWidth="1"/>
    <col min="14403" max="14593" width="8.85546875" style="70"/>
    <col min="14594" max="14594" width="112.28515625" style="70" customWidth="1"/>
    <col min="14595" max="14595" width="19.7109375" style="70" customWidth="1"/>
    <col min="14596" max="14620" width="8.85546875" style="70"/>
    <col min="14621" max="14625" width="15.140625" style="70" bestFit="1" customWidth="1"/>
    <col min="14626" max="14626" width="19.42578125" style="70" bestFit="1" customWidth="1"/>
    <col min="14627" max="14643" width="15.140625" style="70" bestFit="1" customWidth="1"/>
    <col min="14644" max="14644" width="20.42578125" style="70" bestFit="1" customWidth="1"/>
    <col min="14645" max="14645" width="19.42578125" style="70" bestFit="1" customWidth="1"/>
    <col min="14646" max="14658" width="15.140625" style="70" bestFit="1" customWidth="1"/>
    <col min="14659" max="14849" width="8.85546875" style="70"/>
    <col min="14850" max="14850" width="112.28515625" style="70" customWidth="1"/>
    <col min="14851" max="14851" width="19.7109375" style="70" customWidth="1"/>
    <col min="14852" max="14876" width="8.85546875" style="70"/>
    <col min="14877" max="14881" width="15.140625" style="70" bestFit="1" customWidth="1"/>
    <col min="14882" max="14882" width="19.42578125" style="70" bestFit="1" customWidth="1"/>
    <col min="14883" max="14899" width="15.140625" style="70" bestFit="1" customWidth="1"/>
    <col min="14900" max="14900" width="20.42578125" style="70" bestFit="1" customWidth="1"/>
    <col min="14901" max="14901" width="19.42578125" style="70" bestFit="1" customWidth="1"/>
    <col min="14902" max="14914" width="15.140625" style="70" bestFit="1" customWidth="1"/>
    <col min="14915" max="15105" width="8.85546875" style="70"/>
    <col min="15106" max="15106" width="112.28515625" style="70" customWidth="1"/>
    <col min="15107" max="15107" width="19.7109375" style="70" customWidth="1"/>
    <col min="15108" max="15132" width="8.85546875" style="70"/>
    <col min="15133" max="15137" width="15.140625" style="70" bestFit="1" customWidth="1"/>
    <col min="15138" max="15138" width="19.42578125" style="70" bestFit="1" customWidth="1"/>
    <col min="15139" max="15155" width="15.140625" style="70" bestFit="1" customWidth="1"/>
    <col min="15156" max="15156" width="20.42578125" style="70" bestFit="1" customWidth="1"/>
    <col min="15157" max="15157" width="19.42578125" style="70" bestFit="1" customWidth="1"/>
    <col min="15158" max="15170" width="15.140625" style="70" bestFit="1" customWidth="1"/>
    <col min="15171" max="15361" width="8.85546875" style="70"/>
    <col min="15362" max="15362" width="112.28515625" style="70" customWidth="1"/>
    <col min="15363" max="15363" width="19.7109375" style="70" customWidth="1"/>
    <col min="15364" max="15388" width="8.85546875" style="70"/>
    <col min="15389" max="15393" width="15.140625" style="70" bestFit="1" customWidth="1"/>
    <col min="15394" max="15394" width="19.42578125" style="70" bestFit="1" customWidth="1"/>
    <col min="15395" max="15411" width="15.140625" style="70" bestFit="1" customWidth="1"/>
    <col min="15412" max="15412" width="20.42578125" style="70" bestFit="1" customWidth="1"/>
    <col min="15413" max="15413" width="19.42578125" style="70" bestFit="1" customWidth="1"/>
    <col min="15414" max="15426" width="15.140625" style="70" bestFit="1" customWidth="1"/>
    <col min="15427" max="15617" width="8.85546875" style="70"/>
    <col min="15618" max="15618" width="112.28515625" style="70" customWidth="1"/>
    <col min="15619" max="15619" width="19.7109375" style="70" customWidth="1"/>
    <col min="15620" max="15644" width="8.85546875" style="70"/>
    <col min="15645" max="15649" width="15.140625" style="70" bestFit="1" customWidth="1"/>
    <col min="15650" max="15650" width="19.42578125" style="70" bestFit="1" customWidth="1"/>
    <col min="15651" max="15667" width="15.140625" style="70" bestFit="1" customWidth="1"/>
    <col min="15668" max="15668" width="20.42578125" style="70" bestFit="1" customWidth="1"/>
    <col min="15669" max="15669" width="19.42578125" style="70" bestFit="1" customWidth="1"/>
    <col min="15670" max="15682" width="15.140625" style="70" bestFit="1" customWidth="1"/>
    <col min="15683" max="15873" width="8.85546875" style="70"/>
    <col min="15874" max="15874" width="112.28515625" style="70" customWidth="1"/>
    <col min="15875" max="15875" width="19.7109375" style="70" customWidth="1"/>
    <col min="15876" max="15900" width="8.85546875" style="70"/>
    <col min="15901" max="15905" width="15.140625" style="70" bestFit="1" customWidth="1"/>
    <col min="15906" max="15906" width="19.42578125" style="70" bestFit="1" customWidth="1"/>
    <col min="15907" max="15923" width="15.140625" style="70" bestFit="1" customWidth="1"/>
    <col min="15924" max="15924" width="20.42578125" style="70" bestFit="1" customWidth="1"/>
    <col min="15925" max="15925" width="19.42578125" style="70" bestFit="1" customWidth="1"/>
    <col min="15926" max="15938" width="15.140625" style="70" bestFit="1" customWidth="1"/>
    <col min="15939" max="16129" width="8.85546875" style="70"/>
    <col min="16130" max="16130" width="112.28515625" style="70" customWidth="1"/>
    <col min="16131" max="16131" width="19.7109375" style="70" customWidth="1"/>
    <col min="16132" max="16156" width="8.85546875" style="70"/>
    <col min="16157" max="16161" width="15.140625" style="70" bestFit="1" customWidth="1"/>
    <col min="16162" max="16162" width="19.42578125" style="70" bestFit="1" customWidth="1"/>
    <col min="16163" max="16179" width="15.140625" style="70" bestFit="1" customWidth="1"/>
    <col min="16180" max="16180" width="20.42578125" style="70" bestFit="1" customWidth="1"/>
    <col min="16181" max="16181" width="19.42578125" style="70" bestFit="1" customWidth="1"/>
    <col min="16182" max="16194" width="15.140625" style="70" bestFit="1" customWidth="1"/>
    <col min="16195" max="16384" width="8.85546875" style="70"/>
  </cols>
  <sheetData>
    <row r="1" spans="1:66" s="65" customFormat="1" x14ac:dyDescent="0.2">
      <c r="A1" s="65" t="s">
        <v>0</v>
      </c>
      <c r="B1" s="65" t="s">
        <v>0</v>
      </c>
      <c r="C1" s="87" t="s">
        <v>445</v>
      </c>
      <c r="D1" s="117">
        <v>1</v>
      </c>
      <c r="E1" s="117">
        <v>2</v>
      </c>
      <c r="F1" s="117">
        <v>4</v>
      </c>
      <c r="G1" s="117">
        <v>6</v>
      </c>
      <c r="H1" s="117">
        <v>8</v>
      </c>
      <c r="I1" s="117">
        <v>10</v>
      </c>
      <c r="J1" s="117">
        <v>11</v>
      </c>
      <c r="K1" s="117">
        <v>12</v>
      </c>
      <c r="L1" s="117">
        <v>14</v>
      </c>
      <c r="M1" s="117">
        <v>15</v>
      </c>
      <c r="N1" s="117">
        <v>17</v>
      </c>
      <c r="O1" s="117">
        <v>19</v>
      </c>
      <c r="P1" s="117">
        <v>20</v>
      </c>
      <c r="Q1" s="121">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51"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
      <c r="A3" s="66" t="s">
        <v>66</v>
      </c>
      <c r="B3" s="66" t="s">
        <v>67</v>
      </c>
      <c r="C3" s="88" t="s">
        <v>446</v>
      </c>
      <c r="D3" s="122"/>
      <c r="E3" s="122"/>
      <c r="F3" s="122"/>
      <c r="G3" s="122"/>
      <c r="H3" s="122"/>
      <c r="I3" s="122"/>
      <c r="J3" s="122"/>
      <c r="K3" s="122"/>
      <c r="L3" s="122"/>
      <c r="M3" s="122"/>
      <c r="N3" s="122"/>
      <c r="O3" s="122"/>
      <c r="P3" s="122"/>
      <c r="Q3" s="123"/>
      <c r="R3" s="123"/>
      <c r="S3" s="122"/>
      <c r="T3" s="122"/>
      <c r="U3" s="123"/>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row>
    <row r="4" spans="1:66" hidden="1" x14ac:dyDescent="0.2">
      <c r="A4" s="70" t="s">
        <v>69</v>
      </c>
      <c r="B4" s="70" t="s">
        <v>70</v>
      </c>
      <c r="C4" s="89"/>
      <c r="D4" s="124"/>
      <c r="E4" s="124"/>
      <c r="F4" s="124"/>
      <c r="G4" s="124"/>
      <c r="H4" s="124"/>
      <c r="I4" s="124"/>
      <c r="J4" s="124"/>
      <c r="K4" s="124"/>
      <c r="L4" s="124"/>
      <c r="M4" s="124"/>
      <c r="N4" s="124"/>
      <c r="O4" s="124"/>
      <c r="P4" s="124"/>
      <c r="Q4" s="125"/>
      <c r="R4" s="125"/>
      <c r="S4" s="124"/>
      <c r="T4" s="124"/>
      <c r="U4" s="125"/>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row>
    <row r="5" spans="1:66" hidden="1" x14ac:dyDescent="0.2">
      <c r="A5" s="70" t="s">
        <v>71</v>
      </c>
      <c r="B5" s="70" t="s">
        <v>72</v>
      </c>
      <c r="C5" s="89"/>
      <c r="D5" s="124"/>
      <c r="E5" s="124"/>
      <c r="F5" s="124"/>
      <c r="G5" s="124"/>
      <c r="H5" s="124"/>
      <c r="I5" s="124"/>
      <c r="J5" s="124"/>
      <c r="K5" s="124"/>
      <c r="L5" s="124"/>
      <c r="M5" s="124"/>
      <c r="N5" s="124"/>
      <c r="O5" s="124"/>
      <c r="P5" s="124"/>
      <c r="Q5" s="125"/>
      <c r="R5" s="125"/>
      <c r="S5" s="124"/>
      <c r="T5" s="124"/>
      <c r="U5" s="125"/>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row>
    <row r="6" spans="1:66" hidden="1" x14ac:dyDescent="0.2">
      <c r="A6" s="70" t="s">
        <v>73</v>
      </c>
      <c r="B6" s="70" t="s">
        <v>74</v>
      </c>
      <c r="C6" s="89"/>
      <c r="D6" s="124"/>
      <c r="E6" s="124"/>
      <c r="F6" s="124"/>
      <c r="G6" s="124"/>
      <c r="H6" s="124"/>
      <c r="I6" s="124"/>
      <c r="J6" s="124"/>
      <c r="K6" s="124"/>
      <c r="L6" s="124"/>
      <c r="M6" s="124"/>
      <c r="N6" s="124"/>
      <c r="O6" s="124"/>
      <c r="P6" s="124"/>
      <c r="Q6" s="125"/>
      <c r="R6" s="125"/>
      <c r="S6" s="124"/>
      <c r="T6" s="124"/>
      <c r="U6" s="125"/>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row>
    <row r="7" spans="1:66" s="73" customFormat="1" x14ac:dyDescent="0.2">
      <c r="A7" s="73" t="s">
        <v>75</v>
      </c>
      <c r="B7" s="73" t="s">
        <v>76</v>
      </c>
      <c r="C7" s="90" t="s">
        <v>446</v>
      </c>
      <c r="D7" s="126">
        <f>VLOOKUP(A7,'2022_PAPI_Indicators'!A3:B183,2,FALSE)</f>
        <v>43.904930114746094</v>
      </c>
      <c r="E7" s="126">
        <f>VLOOKUP(A7,'2022_PAPI_Indicators'!A3:C183,3,FALSE)</f>
        <v>41.146987915039063</v>
      </c>
      <c r="F7" s="127">
        <v>38.803737640380859</v>
      </c>
      <c r="G7" s="127">
        <v>42.436946868896484</v>
      </c>
      <c r="H7" s="127">
        <v>43.109153747558594</v>
      </c>
      <c r="I7" s="126">
        <v>40.397506713867188</v>
      </c>
      <c r="J7" s="126">
        <v>39.668663024902344</v>
      </c>
      <c r="K7" s="126">
        <v>42.690647125244141</v>
      </c>
      <c r="L7" s="126">
        <v>40.869358062744141</v>
      </c>
      <c r="M7" s="126">
        <v>41.831520080566406</v>
      </c>
      <c r="N7" s="126">
        <v>41.007774353027344</v>
      </c>
      <c r="O7" s="126">
        <v>43.016242980957031</v>
      </c>
      <c r="P7" s="126">
        <v>43.847515106201172</v>
      </c>
      <c r="Q7" s="126">
        <v>47.876300811767578</v>
      </c>
      <c r="R7" s="128">
        <v>0</v>
      </c>
      <c r="S7" s="126">
        <v>44.246757507324219</v>
      </c>
      <c r="T7" s="126">
        <v>44.308403015136719</v>
      </c>
      <c r="U7" s="128">
        <v>0</v>
      </c>
      <c r="V7" s="126">
        <v>42.143520355224609</v>
      </c>
      <c r="W7" s="126">
        <v>43.603530883789063</v>
      </c>
      <c r="X7" s="126">
        <v>44.183116912841797</v>
      </c>
      <c r="Y7" s="126">
        <v>43.514045715332031</v>
      </c>
      <c r="Z7" s="126">
        <v>42.733123779296875</v>
      </c>
      <c r="AA7" s="126">
        <v>43.152492523193359</v>
      </c>
      <c r="AB7" s="126">
        <v>43.164554595947266</v>
      </c>
      <c r="AC7" s="126">
        <v>46.015365600585938</v>
      </c>
      <c r="AD7" s="126">
        <v>43.249977111816406</v>
      </c>
      <c r="AE7" s="126">
        <v>44.313823699951172</v>
      </c>
      <c r="AF7" s="126">
        <v>42.761436462402344</v>
      </c>
      <c r="AG7" s="126">
        <v>41.774200439453125</v>
      </c>
      <c r="AH7" s="126">
        <v>45.384464263916016</v>
      </c>
      <c r="AI7" s="126">
        <v>42.570354461669922</v>
      </c>
      <c r="AJ7" s="126">
        <v>42.237701416015625</v>
      </c>
      <c r="AK7" s="126">
        <v>42.928359985351563</v>
      </c>
      <c r="AL7" s="126">
        <v>41.660087585449219</v>
      </c>
      <c r="AM7" s="126">
        <v>40.742328643798828</v>
      </c>
      <c r="AN7" s="126">
        <v>43.436882019042969</v>
      </c>
      <c r="AO7" s="126">
        <v>46.000217437744141</v>
      </c>
      <c r="AP7" s="126">
        <v>44.539752960205078</v>
      </c>
      <c r="AQ7" s="126">
        <v>39.975605010986328</v>
      </c>
      <c r="AR7" s="126">
        <v>39.673629760742188</v>
      </c>
      <c r="AS7" s="126">
        <v>41.122337341308594</v>
      </c>
      <c r="AT7" s="126">
        <v>40.527431488037109</v>
      </c>
      <c r="AU7" s="126">
        <v>40.709712982177734</v>
      </c>
      <c r="AV7" s="126">
        <v>39.934429168701172</v>
      </c>
      <c r="AW7" s="126">
        <v>39.417037963867188</v>
      </c>
      <c r="AX7" s="126">
        <v>47.448799133300781</v>
      </c>
      <c r="AY7" s="126">
        <v>41.263164520263672</v>
      </c>
      <c r="AZ7" s="126">
        <v>41.992938995361328</v>
      </c>
      <c r="BA7" s="126">
        <v>41.020381927490234</v>
      </c>
      <c r="BB7" s="126">
        <v>39.809238433837891</v>
      </c>
      <c r="BC7" s="126">
        <v>40.976799011230469</v>
      </c>
      <c r="BD7" s="126">
        <v>40.597152709960938</v>
      </c>
      <c r="BE7" s="126">
        <v>40.717227935791016</v>
      </c>
      <c r="BF7" s="126">
        <v>43.024711608886719</v>
      </c>
      <c r="BG7" s="126">
        <v>42.149784088134766</v>
      </c>
      <c r="BH7" s="126">
        <v>41.00213623046875</v>
      </c>
      <c r="BI7" s="126">
        <v>40.040088653564453</v>
      </c>
      <c r="BJ7" s="126">
        <v>39.974746704101563</v>
      </c>
      <c r="BK7" s="126">
        <v>42.591606140136719</v>
      </c>
      <c r="BL7" s="126">
        <v>42.855907440185547</v>
      </c>
      <c r="BM7" s="126">
        <v>44.911422729492188</v>
      </c>
      <c r="BN7" s="126">
        <v>41.874588012695313</v>
      </c>
    </row>
    <row r="8" spans="1:66" x14ac:dyDescent="0.2">
      <c r="A8" s="70" t="s">
        <v>77</v>
      </c>
      <c r="B8" s="70" t="s">
        <v>78</v>
      </c>
      <c r="C8" s="89"/>
      <c r="D8" s="124">
        <f>VLOOKUP(A8,'2022_PAPI_Indicators'!A4:B184,2,FALSE)</f>
        <v>43.518096923828125</v>
      </c>
      <c r="E8" s="124">
        <f>VLOOKUP(A8,'2022_PAPI_Indicators'!A3:C183,3,FALSE)</f>
        <v>40.695690155029297</v>
      </c>
      <c r="F8" s="124">
        <f>VLOOKUP(A8,'2022_PAPI_Indicators'!A3:D183,4,FALSE)</f>
        <v>38.151660919189453</v>
      </c>
      <c r="G8" s="124">
        <f>VLOOKUP(A8,'2022_PAPI_Indicators'!A3:E183,5,FALSE)</f>
        <v>40.999649047851563</v>
      </c>
      <c r="H8" s="124">
        <f>VLOOKUP(A8,'2022_PAPI_Indicators'!A3:F183,6,FALSE)</f>
        <v>42.630916595458984</v>
      </c>
      <c r="I8" s="124">
        <f>VLOOKUP(A8,'2022_PAPI_Indicators'!A3:G183,7,FALSE)</f>
        <v>39.353958129882813</v>
      </c>
      <c r="J8" s="124">
        <f>VLOOKUP(A8,'2022_PAPI_Indicators'!A3:H183,8,FALSE)</f>
        <v>36.878681182861328</v>
      </c>
      <c r="K8" s="124">
        <f>VLOOKUP(A8,'2022_PAPI_Indicators'!A3:I183,9,FALSE)</f>
        <v>42.063129425048828</v>
      </c>
      <c r="L8" s="124">
        <f>VLOOKUP(A8,'2022_PAPI_Indicators'!A3:J183,10,FALSE)</f>
        <v>38.007644653320313</v>
      </c>
      <c r="M8" s="124">
        <f>VLOOKUP(A8,'2022_PAPI_Indicators'!A3:K183,11,FALSE)</f>
        <v>39.76470947265625</v>
      </c>
      <c r="N8" s="124">
        <f>VLOOKUP(A8,'2022_PAPI_Indicators'!A3:L183,12,FALSE)</f>
        <v>39.618701934814453</v>
      </c>
      <c r="O8" s="124">
        <f>VLOOKUP(A8,'2022_PAPI_Indicators'!A3:M183,13,FALSE)</f>
        <v>42.748577117919922</v>
      </c>
      <c r="P8" s="124">
        <f>VLOOKUP(A8,'2022_PAPI_Indicators'!A3:N183,14,FALSE)</f>
        <v>42.599697113037109</v>
      </c>
      <c r="Q8" s="124">
        <f>VLOOKUP(A8,'2022_PAPI_Indicators'!A3:O183,15,FALSE)</f>
        <v>46.55572509765625</v>
      </c>
      <c r="R8" s="125">
        <f>VLOOKUP(A8,'2022_PAPI_Indicators'!A3:P183,16,FALSE)</f>
        <v>0</v>
      </c>
      <c r="S8" s="124">
        <f>VLOOKUP(A8,'2022_PAPI_Indicators'!A3:R183,17,FALSE)</f>
        <v>43.08050537109375</v>
      </c>
      <c r="T8" s="124">
        <f>VLOOKUP(A8,'2022_PAPI_Indicators'!A3:S183,18,FALSE)</f>
        <v>43.2821044921875</v>
      </c>
      <c r="U8" s="125">
        <f>VLOOKUP(A8,'2022_PAPI_Indicators'!A3:T183,19,FALSE)</f>
        <v>0</v>
      </c>
      <c r="V8" s="124">
        <f>VLOOKUP(A8,'2022_PAPI_Indicators'!A3:U183,20,FALSE)</f>
        <v>41.623455047607422</v>
      </c>
      <c r="W8" s="124">
        <f>VLOOKUP(A8,'2022_PAPI_Indicators'!A3:V183,21,FALSE)</f>
        <v>43.264461517333984</v>
      </c>
      <c r="X8" s="124">
        <f>VLOOKUP(A8,'2022_PAPI_Indicators'!A3:W183,22,FALSE)</f>
        <v>43.045989990234375</v>
      </c>
      <c r="Y8" s="124">
        <f>VLOOKUP(A8,'2022_PAPI_Indicators'!A3:X183,23,FALSE)</f>
        <v>42.728790283203125</v>
      </c>
      <c r="Z8" s="124">
        <f>VLOOKUP(A8,'2022_PAPI_Indicators'!A3:Y183,24,FALSE)</f>
        <v>41.536163330078125</v>
      </c>
      <c r="AA8" s="124">
        <f>VLOOKUP(A8,'2022_PAPI_Indicators'!A3:Z183,25,FALSE)</f>
        <v>42.756362915039063</v>
      </c>
      <c r="AB8" s="124">
        <f>VLOOKUP(A8,'2022_PAPI_Indicators'!A3:AA183,26,FALSE)</f>
        <v>42.757892608642578</v>
      </c>
      <c r="AC8" s="124">
        <f>VLOOKUP(A8,'2022_PAPI_Indicators'!A3:AB183,27,FALSE)</f>
        <v>45.726722717285156</v>
      </c>
      <c r="AD8" s="124">
        <f>VLOOKUP(A8,'2022_PAPI_Indicators'!A3:AC183,28,FALSE)</f>
        <v>42.832210540771484</v>
      </c>
      <c r="AE8" s="124">
        <f>VLOOKUP(A8,'2022_PAPI_Indicators'!A3:AD183,29,FALSE)</f>
        <v>43.135738372802734</v>
      </c>
      <c r="AF8" s="124">
        <f>VLOOKUP(A8,'2022_PAPI_Indicators'!A3:AE183,30,FALSE)</f>
        <v>42.095691680908203</v>
      </c>
      <c r="AG8" s="124">
        <f>VLOOKUP(A8,'2022_PAPI_Indicators'!A3:AF183,31,FALSE)</f>
        <v>39.958164215087891</v>
      </c>
      <c r="AH8" s="124">
        <f>VLOOKUP(A8,'2022_PAPI_Indicators'!A3:AG183,32,FALSE)</f>
        <v>44.921993255615234</v>
      </c>
      <c r="AI8" s="124">
        <f>VLOOKUP(A8,'2022_PAPI_Indicators'!A3:AH183,33,FALSE)</f>
        <v>42.100521087646484</v>
      </c>
      <c r="AJ8" s="124">
        <f>VLOOKUP(A8,'2022_PAPI_Indicators'!A3:AI183,34,FALSE)</f>
        <v>41.421710968017578</v>
      </c>
      <c r="AK8" s="124">
        <f>VLOOKUP(A8,'2022_PAPI_Indicators'!A3:AJ183,35,FALSE)</f>
        <v>42.542549133300781</v>
      </c>
      <c r="AL8" s="124">
        <f>VLOOKUP(A8,'2022_PAPI_Indicators'!A3:AK183,36,FALSE)</f>
        <v>40.291450500488281</v>
      </c>
      <c r="AM8" s="124">
        <f>VLOOKUP(A8,'2022_PAPI_Indicators'!A3:AL183,37,FALSE)</f>
        <v>39.319160461425781</v>
      </c>
      <c r="AN8" s="124">
        <f>VLOOKUP(A8,'2022_PAPI_Indicators'!A3:AM183,38,FALSE)</f>
        <v>42.348781585693359</v>
      </c>
      <c r="AO8" s="124">
        <f>VLOOKUP(A8,'2022_PAPI_Indicators'!A3:AN183,39,FALSE)</f>
        <v>42.673080444335938</v>
      </c>
      <c r="AP8" s="124">
        <f>VLOOKUP(A8,'2022_PAPI_Indicators'!A3:AO183,40,FALSE)</f>
        <v>41.326950073242188</v>
      </c>
      <c r="AQ8" s="124">
        <f>VLOOKUP(A8,'2022_PAPI_Indicators'!A3:AP183,41,FALSE)</f>
        <v>39.081516265869141</v>
      </c>
      <c r="AR8" s="124">
        <f>VLOOKUP(A8,'2022_PAPI_Indicators'!A3:AQ183,42,FALSE)</f>
        <v>38.064155578613281</v>
      </c>
      <c r="AS8" s="124">
        <f>VLOOKUP(A8,'2022_PAPI_Indicators'!A3:AR183,43,FALSE)</f>
        <v>38.267181396484375</v>
      </c>
      <c r="AT8" s="124">
        <f>VLOOKUP(A8,'2022_PAPI_Indicators'!A3:AS183,44,FALSE)</f>
        <v>39.406394958496094</v>
      </c>
      <c r="AU8" s="124">
        <f>VLOOKUP(A8,'2022_PAPI_Indicators'!A3:AT183,45,FALSE)</f>
        <v>40.062408447265625</v>
      </c>
      <c r="AV8" s="124">
        <f>VLOOKUP(A8,'2022_PAPI_Indicators'!A3:AU183,46,FALSE)</f>
        <v>39.201290130615234</v>
      </c>
      <c r="AW8" s="124">
        <f>VLOOKUP(A8,'2022_PAPI_Indicators'!A3:AV183,47,FALSE)</f>
        <v>38.418487548828125</v>
      </c>
      <c r="AX8" s="124">
        <f>VLOOKUP(A8,'2022_PAPI_Indicators'!A3:AW183,48,FALSE)</f>
        <v>45.451957702636719</v>
      </c>
      <c r="AY8" s="124">
        <f>VLOOKUP(A8,'2022_PAPI_Indicators'!A3:AX183,49,FALSE)</f>
        <v>40.673057556152344</v>
      </c>
      <c r="AZ8" s="124">
        <f>VLOOKUP(A8,'2022_PAPI_Indicators'!A3:AY183,50,FALSE)</f>
        <v>40.823223114013672</v>
      </c>
      <c r="BA8" s="124">
        <f>VLOOKUP(A8,'2022_PAPI_Indicators'!A3:AZ183,51,FALSE)</f>
        <v>40.478935241699219</v>
      </c>
      <c r="BB8" s="124">
        <f>VLOOKUP(A8,'2022_PAPI_Indicators'!A3:BA183,52,FALSE)</f>
        <v>39.3116455078125</v>
      </c>
      <c r="BC8" s="124">
        <f>VLOOKUP(A8,'2022_PAPI_Indicators'!A3:BB183,53,FALSE)</f>
        <v>38.709945678710938</v>
      </c>
      <c r="BD8" s="124">
        <f>VLOOKUP(A8,'2022_PAPI_Indicators'!A3:BC183,54,FALSE)</f>
        <v>38.188800811767578</v>
      </c>
      <c r="BE8" s="124">
        <f>VLOOKUP(A8,'2022_PAPI_Indicators'!A3:BD183,55,FALSE)</f>
        <v>39.409873962402344</v>
      </c>
      <c r="BF8" s="124">
        <f>VLOOKUP(A8,'2022_PAPI_Indicators'!A3:BE183,56,FALSE)</f>
        <v>42.217731475830078</v>
      </c>
      <c r="BG8" s="124">
        <f>VLOOKUP(A8,'2022_PAPI_Indicators'!A3:BF183,57,FALSE)</f>
        <v>40.93499755859375</v>
      </c>
      <c r="BH8" s="124">
        <f>VLOOKUP(A8,'2022_PAPI_Indicators'!A3:BG183,58,FALSE)</f>
        <v>40.546348571777344</v>
      </c>
      <c r="BI8" s="124">
        <f>VLOOKUP(A8,'2022_PAPI_Indicators'!A3:BH183,59,FALSE)</f>
        <v>39.395381927490234</v>
      </c>
      <c r="BJ8" s="124">
        <f>VLOOKUP(A8,'2022_PAPI_Indicators'!A3:BI183,60,FALSE)</f>
        <v>39.46331787109375</v>
      </c>
      <c r="BK8" s="124">
        <f>VLOOKUP(A8,'2022_PAPI_Indicators'!A3:BJ183,61,FALSE)</f>
        <v>41.105350494384766</v>
      </c>
      <c r="BL8" s="124">
        <f>VLOOKUP(A8,'2022_PAPI_Indicators'!A3:BK183,62,FALSE)</f>
        <v>42.855907440185547</v>
      </c>
      <c r="BM8" s="124">
        <f>VLOOKUP(A8,'2022_PAPI_Indicators'!A3:BL183,63,FALSE)</f>
        <v>44.911422729492188</v>
      </c>
      <c r="BN8" s="124">
        <f>VLOOKUP(A8,'2022_PAPI_Indicators'!A3:BM183,64,FALSE)</f>
        <v>41.874588012695313</v>
      </c>
    </row>
    <row r="9" spans="1:66" x14ac:dyDescent="0.2">
      <c r="A9" s="70" t="s">
        <v>79</v>
      </c>
      <c r="B9" s="70" t="s">
        <v>80</v>
      </c>
      <c r="C9" s="89"/>
      <c r="D9" s="124">
        <f>VLOOKUP(A9,'2022_PAPI_Indicators'!A5:B185,2,FALSE)</f>
        <v>44.291763305664063</v>
      </c>
      <c r="E9" s="124">
        <f>VLOOKUP(A9,'2022_PAPI_Indicators'!A4:C184,3,FALSE)</f>
        <v>41.598285675048828</v>
      </c>
      <c r="F9" s="124">
        <f>VLOOKUP(A9,'2022_PAPI_Indicators'!A4:D184,4,FALSE)</f>
        <v>39.455814361572266</v>
      </c>
      <c r="G9" s="124">
        <f>VLOOKUP(A9,'2022_PAPI_Indicators'!A4:E184,5,FALSE)</f>
        <v>43.874244689941406</v>
      </c>
      <c r="H9" s="124">
        <f>VLOOKUP(A9,'2022_PAPI_Indicators'!A4:F184,6,FALSE)</f>
        <v>43.587390899658203</v>
      </c>
      <c r="I9" s="124">
        <f>VLOOKUP(A9,'2022_PAPI_Indicators'!A4:G184,7,FALSE)</f>
        <v>41.441055297851563</v>
      </c>
      <c r="J9" s="124">
        <f>VLOOKUP(A9,'2022_PAPI_Indicators'!A4:H184,8,FALSE)</f>
        <v>42.458644866943359</v>
      </c>
      <c r="K9" s="124">
        <f>VLOOKUP(A9,'2022_PAPI_Indicators'!A4:I184,9,FALSE)</f>
        <v>43.318164825439453</v>
      </c>
      <c r="L9" s="124">
        <f>VLOOKUP(A9,'2022_PAPI_Indicators'!A4:J184,10,FALSE)</f>
        <v>43.731071472167969</v>
      </c>
      <c r="M9" s="124">
        <f>VLOOKUP(A9,'2022_PAPI_Indicators'!A4:K184,11,FALSE)</f>
        <v>43.898330688476563</v>
      </c>
      <c r="N9" s="124">
        <f>VLOOKUP(A9,'2022_PAPI_Indicators'!A4:L184,12,FALSE)</f>
        <v>42.396846771240234</v>
      </c>
      <c r="O9" s="124">
        <f>VLOOKUP(A9,'2022_PAPI_Indicators'!A4:M184,13,FALSE)</f>
        <v>43.283908843994141</v>
      </c>
      <c r="P9" s="124">
        <f>VLOOKUP(A9,'2022_PAPI_Indicators'!A4:N184,14,FALSE)</f>
        <v>45.095333099365234</v>
      </c>
      <c r="Q9" s="124">
        <f>VLOOKUP(A9,'2022_PAPI_Indicators'!A4:O184,15,FALSE)</f>
        <v>49.196876525878906</v>
      </c>
      <c r="R9" s="125">
        <f>VLOOKUP(A9,'2022_PAPI_Indicators'!A4:P184,16,FALSE)</f>
        <v>0</v>
      </c>
      <c r="S9" s="124">
        <f>VLOOKUP(A9,'2022_PAPI_Indicators'!A4:R184,17,FALSE)</f>
        <v>45.413009643554688</v>
      </c>
      <c r="T9" s="124">
        <f>VLOOKUP(A9,'2022_PAPI_Indicators'!A4:S184,18,FALSE)</f>
        <v>45.334701538085938</v>
      </c>
      <c r="U9" s="125">
        <f>VLOOKUP(A9,'2022_PAPI_Indicators'!A4:T184,19,FALSE)</f>
        <v>0</v>
      </c>
      <c r="V9" s="124">
        <f>VLOOKUP(A9,'2022_PAPI_Indicators'!A4:U184,20,FALSE)</f>
        <v>42.663585662841797</v>
      </c>
      <c r="W9" s="124">
        <f>VLOOKUP(A9,'2022_PAPI_Indicators'!A4:V184,21,FALSE)</f>
        <v>43.942600250244141</v>
      </c>
      <c r="X9" s="124">
        <f>VLOOKUP(A9,'2022_PAPI_Indicators'!A4:W184,22,FALSE)</f>
        <v>45.320243835449219</v>
      </c>
      <c r="Y9" s="124">
        <f>VLOOKUP(A9,'2022_PAPI_Indicators'!A4:X184,23,FALSE)</f>
        <v>44.299301147460938</v>
      </c>
      <c r="Z9" s="124">
        <f>VLOOKUP(A9,'2022_PAPI_Indicators'!A4:Y184,24,FALSE)</f>
        <v>43.930084228515625</v>
      </c>
      <c r="AA9" s="124">
        <f>VLOOKUP(A9,'2022_PAPI_Indicators'!A4:Z184,25,FALSE)</f>
        <v>43.548622131347656</v>
      </c>
      <c r="AB9" s="124">
        <f>VLOOKUP(A9,'2022_PAPI_Indicators'!A4:AA184,26,FALSE)</f>
        <v>43.571216583251953</v>
      </c>
      <c r="AC9" s="124">
        <f>VLOOKUP(A9,'2022_PAPI_Indicators'!A4:AB184,27,FALSE)</f>
        <v>46.304008483886719</v>
      </c>
      <c r="AD9" s="124">
        <f>VLOOKUP(A9,'2022_PAPI_Indicators'!A4:AC184,28,FALSE)</f>
        <v>43.667743682861328</v>
      </c>
      <c r="AE9" s="124">
        <f>VLOOKUP(A9,'2022_PAPI_Indicators'!A4:AD184,29,FALSE)</f>
        <v>45.491909027099609</v>
      </c>
      <c r="AF9" s="124">
        <f>VLOOKUP(A9,'2022_PAPI_Indicators'!A4:AE184,30,FALSE)</f>
        <v>43.427181243896484</v>
      </c>
      <c r="AG9" s="124">
        <f>VLOOKUP(A9,'2022_PAPI_Indicators'!A4:AF184,31,FALSE)</f>
        <v>43.590236663818359</v>
      </c>
      <c r="AH9" s="124">
        <f>VLOOKUP(A9,'2022_PAPI_Indicators'!A4:AG184,32,FALSE)</f>
        <v>45.846935272216797</v>
      </c>
      <c r="AI9" s="124">
        <f>VLOOKUP(A9,'2022_PAPI_Indicators'!A4:AH184,33,FALSE)</f>
        <v>43.040187835693359</v>
      </c>
      <c r="AJ9" s="124">
        <f>VLOOKUP(A9,'2022_PAPI_Indicators'!A4:AI184,34,FALSE)</f>
        <v>43.053691864013672</v>
      </c>
      <c r="AK9" s="124">
        <f>VLOOKUP(A9,'2022_PAPI_Indicators'!A4:AJ184,35,FALSE)</f>
        <v>43.314170837402344</v>
      </c>
      <c r="AL9" s="124">
        <f>VLOOKUP(A9,'2022_PAPI_Indicators'!A4:AK184,36,FALSE)</f>
        <v>43.028724670410156</v>
      </c>
      <c r="AM9" s="124">
        <f>VLOOKUP(A9,'2022_PAPI_Indicators'!A4:AL184,37,FALSE)</f>
        <v>42.165496826171875</v>
      </c>
      <c r="AN9" s="124">
        <f>VLOOKUP(A9,'2022_PAPI_Indicators'!A4:AM184,38,FALSE)</f>
        <v>44.524982452392578</v>
      </c>
      <c r="AO9" s="124">
        <f>VLOOKUP(A9,'2022_PAPI_Indicators'!A4:AN184,39,FALSE)</f>
        <v>49.327354431152344</v>
      </c>
      <c r="AP9" s="124">
        <f>VLOOKUP(A9,'2022_PAPI_Indicators'!A4:AO184,40,FALSE)</f>
        <v>47.752555847167969</v>
      </c>
      <c r="AQ9" s="124">
        <f>VLOOKUP(A9,'2022_PAPI_Indicators'!A4:AP184,41,FALSE)</f>
        <v>40.869693756103516</v>
      </c>
      <c r="AR9" s="124">
        <f>VLOOKUP(A9,'2022_PAPI_Indicators'!A4:AQ184,42,FALSE)</f>
        <v>41.283103942871094</v>
      </c>
      <c r="AS9" s="124">
        <f>VLOOKUP(A9,'2022_PAPI_Indicators'!A4:AR184,43,FALSE)</f>
        <v>43.977493286132813</v>
      </c>
      <c r="AT9" s="124">
        <f>VLOOKUP(A9,'2022_PAPI_Indicators'!A4:AS184,44,FALSE)</f>
        <v>41.648468017578125</v>
      </c>
      <c r="AU9" s="124">
        <f>VLOOKUP(A9,'2022_PAPI_Indicators'!A4:AT184,45,FALSE)</f>
        <v>41.357017517089844</v>
      </c>
      <c r="AV9" s="124">
        <f>VLOOKUP(A9,'2022_PAPI_Indicators'!A4:AU184,46,FALSE)</f>
        <v>40.667568206787109</v>
      </c>
      <c r="AW9" s="124">
        <f>VLOOKUP(A9,'2022_PAPI_Indicators'!A4:AV184,47,FALSE)</f>
        <v>40.41558837890625</v>
      </c>
      <c r="AX9" s="124">
        <f>VLOOKUP(A9,'2022_PAPI_Indicators'!A4:AW184,48,FALSE)</f>
        <v>49.445640563964844</v>
      </c>
      <c r="AY9" s="124">
        <f>VLOOKUP(A9,'2022_PAPI_Indicators'!A4:AX184,49,FALSE)</f>
        <v>41.853271484375</v>
      </c>
      <c r="AZ9" s="124">
        <f>VLOOKUP(A9,'2022_PAPI_Indicators'!A4:AY184,50,FALSE)</f>
        <v>43.162654876708984</v>
      </c>
      <c r="BA9" s="124">
        <f>VLOOKUP(A9,'2022_PAPI_Indicators'!A4:AZ184,51,FALSE)</f>
        <v>41.56182861328125</v>
      </c>
      <c r="BB9" s="124">
        <f>VLOOKUP(A9,'2022_PAPI_Indicators'!A4:BA184,52,FALSE)</f>
        <v>40.306831359863281</v>
      </c>
      <c r="BC9" s="124">
        <f>VLOOKUP(A9,'2022_PAPI_Indicators'!A4:BB184,53,FALSE)</f>
        <v>43.24365234375</v>
      </c>
      <c r="BD9" s="124">
        <f>VLOOKUP(A9,'2022_PAPI_Indicators'!A4:BC184,54,FALSE)</f>
        <v>43.005504608154297</v>
      </c>
      <c r="BE9" s="124">
        <f>VLOOKUP(A9,'2022_PAPI_Indicators'!A4:BD184,55,FALSE)</f>
        <v>42.024581909179688</v>
      </c>
      <c r="BF9" s="124">
        <f>VLOOKUP(A9,'2022_PAPI_Indicators'!A4:BE184,56,FALSE)</f>
        <v>43.831691741943359</v>
      </c>
      <c r="BG9" s="124">
        <f>VLOOKUP(A9,'2022_PAPI_Indicators'!A4:BF184,57,FALSE)</f>
        <v>43.364570617675781</v>
      </c>
      <c r="BH9" s="124">
        <f>VLOOKUP(A9,'2022_PAPI_Indicators'!A4:BG184,58,FALSE)</f>
        <v>41.457923889160156</v>
      </c>
      <c r="BI9" s="124">
        <f>VLOOKUP(A9,'2022_PAPI_Indicators'!A4:BH184,59,FALSE)</f>
        <v>40.684795379638672</v>
      </c>
      <c r="BJ9" s="124">
        <f>VLOOKUP(A9,'2022_PAPI_Indicators'!A4:BI184,60,FALSE)</f>
        <v>40.486175537109375</v>
      </c>
      <c r="BK9" s="124">
        <f>VLOOKUP(A9,'2022_PAPI_Indicators'!A4:BJ184,61,FALSE)</f>
        <v>44.077861785888672</v>
      </c>
      <c r="BL9" s="124">
        <f>VLOOKUP(A9,'2022_PAPI_Indicators'!A4:BK184,62,FALSE)</f>
        <v>42.855907440185547</v>
      </c>
      <c r="BM9" s="124">
        <f>VLOOKUP(A9,'2022_PAPI_Indicators'!A4:BL184,63,FALSE)</f>
        <v>44.911422729492188</v>
      </c>
      <c r="BN9" s="124">
        <f>VLOOKUP(A9,'2022_PAPI_Indicators'!A4:BM184,64,FALSE)</f>
        <v>41.874588012695313</v>
      </c>
    </row>
    <row r="10" spans="1:66" x14ac:dyDescent="0.2">
      <c r="A10" s="70" t="s">
        <v>81</v>
      </c>
      <c r="B10" s="70" t="s">
        <v>82</v>
      </c>
      <c r="C10" s="89"/>
      <c r="D10" s="124">
        <f>VLOOKUP(A10,'2022_PAPI_Indicators'!A6:B186,2,FALSE)</f>
        <v>0.23516178131103516</v>
      </c>
      <c r="E10" s="124">
        <f>VLOOKUP(A10,'2022_PAPI_Indicators'!A5:C185,3,FALSE)</f>
        <v>0.27435117959976196</v>
      </c>
      <c r="F10" s="124">
        <f>VLOOKUP(A10,'2022_PAPI_Indicators'!A5:D185,4,FALSE)</f>
        <v>0.39640721678733826</v>
      </c>
      <c r="G10" s="124">
        <f>VLOOKUP(A10,'2022_PAPI_Indicators'!A5:E185,5,FALSE)</f>
        <v>0.87375491857528687</v>
      </c>
      <c r="H10" s="124">
        <f>VLOOKUP(A10,'2022_PAPI_Indicators'!A5:F185,6,FALSE)</f>
        <v>0.29072669148445129</v>
      </c>
      <c r="I10" s="124">
        <f>VLOOKUP(A10,'2022_PAPI_Indicators'!A5:G185,7,FALSE)</f>
        <v>0.63439029455184937</v>
      </c>
      <c r="J10" s="124">
        <f>VLOOKUP(A10,'2022_PAPI_Indicators'!A5:H185,8,FALSE)</f>
        <v>1.6960736513137817</v>
      </c>
      <c r="K10" s="124">
        <f>VLOOKUP(A10,'2022_PAPI_Indicators'!A5:I185,9,FALSE)</f>
        <v>0.3814774751663208</v>
      </c>
      <c r="L10" s="124">
        <f>VLOOKUP(A10,'2022_PAPI_Indicators'!A5:J185,10,FALSE)</f>
        <v>1.7396801710128784</v>
      </c>
      <c r="M10" s="124">
        <f>VLOOKUP(A10,'2022_PAPI_Indicators'!A5:K185,11,FALSE)</f>
        <v>1.2564470767974854</v>
      </c>
      <c r="N10" s="124">
        <f>VLOOKUP(A10,'2022_PAPI_Indicators'!A5:L185,12,FALSE)</f>
        <v>0.84443938732147217</v>
      </c>
      <c r="O10" s="124">
        <f>VLOOKUP(A10,'2022_PAPI_Indicators'!A5:M185,13,FALSE)</f>
        <v>0.16271914541721344</v>
      </c>
      <c r="P10" s="124">
        <f>VLOOKUP(A10,'2022_PAPI_Indicators'!A5:N185,14,FALSE)</f>
        <v>0.75856733322143555</v>
      </c>
      <c r="Q10" s="124">
        <f>VLOOKUP(A10,'2022_PAPI_Indicators'!A5:O185,15,FALSE)</f>
        <v>0.80279803276062012</v>
      </c>
      <c r="R10" s="125">
        <f>VLOOKUP(A10,'2022_PAPI_Indicators'!A5:P185,16,FALSE)</f>
        <v>0</v>
      </c>
      <c r="S10" s="124">
        <f>VLOOKUP(A10,'2022_PAPI_Indicators'!A5:R185,17,FALSE)</f>
        <v>0.70898169279098511</v>
      </c>
      <c r="T10" s="124">
        <f>VLOOKUP(A10,'2022_PAPI_Indicators'!A5:S185,18,FALSE)</f>
        <v>0.62390369176864624</v>
      </c>
      <c r="U10" s="125">
        <f>VLOOKUP(A10,'2022_PAPI_Indicators'!A5:T185,19,FALSE)</f>
        <v>0</v>
      </c>
      <c r="V10" s="124">
        <f>VLOOKUP(A10,'2022_PAPI_Indicators'!A5:U185,20,FALSE)</f>
        <v>0.31615680456161499</v>
      </c>
      <c r="W10" s="124">
        <f>VLOOKUP(A10,'2022_PAPI_Indicators'!A5:V185,21,FALSE)</f>
        <v>0.20612636208534241</v>
      </c>
      <c r="X10" s="124">
        <f>VLOOKUP(A10,'2022_PAPI_Indicators'!A5:W185,22,FALSE)</f>
        <v>0.69127780199050903</v>
      </c>
      <c r="Y10" s="124">
        <f>VLOOKUP(A10,'2022_PAPI_Indicators'!A5:X185,23,FALSE)</f>
        <v>0.47736823558807373</v>
      </c>
      <c r="Z10" s="124">
        <f>VLOOKUP(A10,'2022_PAPI_Indicators'!A5:Y185,24,FALSE)</f>
        <v>0.72765040397644043</v>
      </c>
      <c r="AA10" s="124">
        <f>VLOOKUP(A10,'2022_PAPI_Indicators'!A5:Z185,25,FALSE)</f>
        <v>0.24081306159496307</v>
      </c>
      <c r="AB10" s="124">
        <f>VLOOKUP(A10,'2022_PAPI_Indicators'!A5:AA185,26,FALSE)</f>
        <v>0.24721676111221313</v>
      </c>
      <c r="AC10" s="124">
        <f>VLOOKUP(A10,'2022_PAPI_Indicators'!A5:AB185,27,FALSE)</f>
        <v>0.17546980082988739</v>
      </c>
      <c r="AD10" s="124">
        <f>VLOOKUP(A10,'2022_PAPI_Indicators'!A5:AC185,28,FALSE)</f>
        <v>0.25396627187728882</v>
      </c>
      <c r="AE10" s="124">
        <f>VLOOKUP(A10,'2022_PAPI_Indicators'!A5:AD185,29,FALSE)</f>
        <v>0.71617573499679565</v>
      </c>
      <c r="AF10" s="124">
        <f>VLOOKUP(A10,'2022_PAPI_Indicators'!A5:AE185,30,FALSE)</f>
        <v>0.40471655130386353</v>
      </c>
      <c r="AG10" s="124">
        <f>VLOOKUP(A10,'2022_PAPI_Indicators'!A5:AF185,31,FALSE)</f>
        <v>1.1039977073669434</v>
      </c>
      <c r="AH10" s="124">
        <f>VLOOKUP(A10,'2022_PAPI_Indicators'!A5:AG185,32,FALSE)</f>
        <v>0.28114432096481323</v>
      </c>
      <c r="AI10" s="124">
        <f>VLOOKUP(A10,'2022_PAPI_Indicators'!A5:AH185,33,FALSE)</f>
        <v>0.28562003374099731</v>
      </c>
      <c r="AJ10" s="124">
        <f>VLOOKUP(A10,'2022_PAPI_Indicators'!A5:AI185,34,FALSE)</f>
        <v>0.49605339765548706</v>
      </c>
      <c r="AK10" s="124">
        <f>VLOOKUP(A10,'2022_PAPI_Indicators'!A5:AJ185,35,FALSE)</f>
        <v>0.23454149067401886</v>
      </c>
      <c r="AL10" s="124">
        <f>VLOOKUP(A10,'2022_PAPI_Indicators'!A5:AK185,36,FALSE)</f>
        <v>0.83201497793197632</v>
      </c>
      <c r="AM10" s="124">
        <f>VLOOKUP(A10,'2022_PAPI_Indicators'!A5:AL185,37,FALSE)</f>
        <v>0.8651655912399292</v>
      </c>
      <c r="AN10" s="124">
        <f>VLOOKUP(A10,'2022_PAPI_Indicators'!A5:AM185,38,FALSE)</f>
        <v>0.66147267818450928</v>
      </c>
      <c r="AO10" s="124">
        <f>VLOOKUP(A10,'2022_PAPI_Indicators'!A5:AN185,39,FALSE)</f>
        <v>2.0226173400878906</v>
      </c>
      <c r="AP10" s="124">
        <f>VLOOKUP(A10,'2022_PAPI_Indicators'!A5:AO185,40,FALSE)</f>
        <v>1.953112006187439</v>
      </c>
      <c r="AQ10" s="124">
        <f>VLOOKUP(A10,'2022_PAPI_Indicators'!A5:AP185,41,FALSE)</f>
        <v>0.54353111982345581</v>
      </c>
      <c r="AR10" s="124">
        <f>VLOOKUP(A10,'2022_PAPI_Indicators'!A5:AQ185,42,FALSE)</f>
        <v>0.9784245491027832</v>
      </c>
      <c r="AS10" s="124">
        <f>VLOOKUP(A10,'2022_PAPI_Indicators'!A5:AR185,43,FALSE)</f>
        <v>1.7356934547424316</v>
      </c>
      <c r="AT10" s="124">
        <f>VLOOKUP(A10,'2022_PAPI_Indicators'!A5:AS185,44,FALSE)</f>
        <v>0.68149513006210327</v>
      </c>
      <c r="AU10" s="124">
        <f>VLOOKUP(A10,'2022_PAPI_Indicators'!A5:AT185,45,FALSE)</f>
        <v>0.3935055136680603</v>
      </c>
      <c r="AV10" s="124">
        <f>VLOOKUP(A10,'2022_PAPI_Indicators'!A5:AU185,46,FALSE)</f>
        <v>0.44568711519241333</v>
      </c>
      <c r="AW10" s="124">
        <f>VLOOKUP(A10,'2022_PAPI_Indicators'!A5:AV185,47,FALSE)</f>
        <v>0.60703444480895996</v>
      </c>
      <c r="AX10" s="124">
        <f>VLOOKUP(A10,'2022_PAPI_Indicators'!A5:AW185,48,FALSE)</f>
        <v>1.2139120101928711</v>
      </c>
      <c r="AY10" s="124">
        <f>VLOOKUP(A10,'2022_PAPI_Indicators'!A5:AX185,49,FALSE)</f>
        <v>0.35873579978942871</v>
      </c>
      <c r="AZ10" s="124">
        <f>VLOOKUP(A10,'2022_PAPI_Indicators'!A5:AY185,50,FALSE)</f>
        <v>0.71108895540237427</v>
      </c>
      <c r="BA10" s="124">
        <f>VLOOKUP(A10,'2022_PAPI_Indicators'!A5:AZ185,51,FALSE)</f>
        <v>0.32915464043617249</v>
      </c>
      <c r="BB10" s="124">
        <f>VLOOKUP(A10,'2022_PAPI_Indicators'!A5:BA185,52,FALSE)</f>
        <v>0.30249527096748352</v>
      </c>
      <c r="BC10" s="124">
        <f>VLOOKUP(A10,'2022_PAPI_Indicators'!A5:BB185,53,FALSE)</f>
        <v>1.3780559301376343</v>
      </c>
      <c r="BD10" s="124">
        <f>VLOOKUP(A10,'2022_PAPI_Indicators'!A5:BC185,54,FALSE)</f>
        <v>1.4640754461288452</v>
      </c>
      <c r="BE10" s="124">
        <f>VLOOKUP(A10,'2022_PAPI_Indicators'!A5:BD185,55,FALSE)</f>
        <v>0.79476118087768555</v>
      </c>
      <c r="BF10" s="124">
        <f>VLOOKUP(A10,'2022_PAPI_Indicators'!A5:BE185,56,FALSE)</f>
        <v>0.49057510495185852</v>
      </c>
      <c r="BG10" s="124">
        <f>VLOOKUP(A10,'2022_PAPI_Indicators'!A5:BF185,57,FALSE)</f>
        <v>0.73848694562911987</v>
      </c>
      <c r="BH10" s="124">
        <f>VLOOKUP(A10,'2022_PAPI_Indicators'!A5:BG185,58,FALSE)</f>
        <v>0.27707952260971069</v>
      </c>
      <c r="BI10" s="124">
        <f>VLOOKUP(A10,'2022_PAPI_Indicators'!A5:BH185,59,FALSE)</f>
        <v>0.39192813634872437</v>
      </c>
      <c r="BJ10" s="124">
        <f>VLOOKUP(A10,'2022_PAPI_Indicators'!A5:BI185,60,FALSE)</f>
        <v>0.31090512871742249</v>
      </c>
      <c r="BK10" s="124">
        <f>VLOOKUP(A10,'2022_PAPI_Indicators'!A5:BJ185,61,FALSE)</f>
        <v>0.90351772308349609</v>
      </c>
      <c r="BL10" s="124">
        <f>VLOOKUP(A10,'2022_PAPI_Indicators'!A5:BK185,62,FALSE)</f>
        <v>0</v>
      </c>
      <c r="BM10" s="124">
        <f>VLOOKUP(A10,'2022_PAPI_Indicators'!A5:BL185,63,FALSE)</f>
        <v>0</v>
      </c>
      <c r="BN10" s="124">
        <f>VLOOKUP(A10,'2022_PAPI_Indicators'!A5:BM185,64,FALSE)</f>
        <v>0</v>
      </c>
    </row>
    <row r="11" spans="1:66" s="75" customFormat="1" x14ac:dyDescent="0.2">
      <c r="A11" s="75" t="s">
        <v>83</v>
      </c>
      <c r="B11" s="76" t="s">
        <v>84</v>
      </c>
      <c r="C11" s="91" t="s">
        <v>447</v>
      </c>
      <c r="D11" s="129">
        <f>VLOOKUP(A11,'2022_PAPI_Indicators'!A6:B186,2,)</f>
        <v>5.8254475593566895</v>
      </c>
      <c r="E11" s="129">
        <f>VLOOKUP(A11,'2022_PAPI_Indicators'!A6:C186,3,FALSE)</f>
        <v>4.9973363876342773</v>
      </c>
      <c r="F11" s="129">
        <f>VLOOKUP(A11,'2022_PAPI_Indicators'!A6:D186,4,FALSE)</f>
        <v>4.4906935691833496</v>
      </c>
      <c r="G11" s="129">
        <f>VLOOKUP(A11,'2022_PAPI_Indicators'!A6:E186,5,FALSE)</f>
        <v>5.3885054588317871</v>
      </c>
      <c r="H11" s="129">
        <f>VLOOKUP(A11,'2022_PAPI_Indicators'!A6:F186,6,FALSE)</f>
        <v>5.2460126876831055</v>
      </c>
      <c r="I11" s="129">
        <f>VLOOKUP(A11,'2022_PAPI_Indicators'!A6:G186,7,FALSE)</f>
        <v>5.027559757232666</v>
      </c>
      <c r="J11" s="129">
        <f>VLOOKUP(A11,'2022_PAPI_Indicators'!A6:H186,8,FALSE)</f>
        <v>4.4382929801940918</v>
      </c>
      <c r="K11" s="129">
        <f>VLOOKUP(A11,'2022_PAPI_Indicators'!A6:I186,9,FALSE)</f>
        <v>5.5805296897888184</v>
      </c>
      <c r="L11" s="129">
        <f>VLOOKUP(A11,'2022_PAPI_Indicators'!A6:J186,10,FALSE)</f>
        <v>4.7769064903259277</v>
      </c>
      <c r="M11" s="129">
        <f>VLOOKUP(A11,'2022_PAPI_Indicators'!A6:K186,11,FALSE)</f>
        <v>4.9544053077697754</v>
      </c>
      <c r="N11" s="129">
        <f>VLOOKUP(A11,'2022_PAPI_Indicators'!A6:L186,12,FALSE)</f>
        <v>5.0889663696289063</v>
      </c>
      <c r="O11" s="129">
        <f>VLOOKUP(A11,'2022_PAPI_Indicators'!A6:M186,13,FALSE)</f>
        <v>5.3816070556640625</v>
      </c>
      <c r="P11" s="129">
        <f>VLOOKUP(A11,'2022_PAPI_Indicators'!A6:N186,14,FALSE)</f>
        <v>5.8164401054382324</v>
      </c>
      <c r="Q11" s="129">
        <f>VLOOKUP(A11,'2022_PAPI_Indicators'!A6:O186,15,FALSE)</f>
        <v>5.7475762367248535</v>
      </c>
      <c r="R11" s="130">
        <f>VLOOKUP(A11,'2022_PAPI_Indicators'!A6:P186,16,FALSE)</f>
        <v>0</v>
      </c>
      <c r="S11" s="129">
        <f>VLOOKUP(A11,'2022_PAPI_Indicators'!A6:R186,17,FALSE)</f>
        <v>5.7516822814941406</v>
      </c>
      <c r="T11" s="129">
        <f>VLOOKUP(A11,'2022_PAPI_Indicators'!A6:S186,18,FALSE)</f>
        <v>5.4361572265625</v>
      </c>
      <c r="U11" s="130">
        <f>VLOOKUP(A11,'2022_PAPI_Indicators'!A6:T186,19,FALSE)</f>
        <v>5.817415714263916</v>
      </c>
      <c r="V11" s="129">
        <f>VLOOKUP(A11,'2022_PAPI_Indicators'!A6:U186,20,FALSE)</f>
        <v>5.3344759941101074</v>
      </c>
      <c r="W11" s="129">
        <f>VLOOKUP(A11,'2022_PAPI_Indicators'!A6:V186,21,FALSE)</f>
        <v>5.3938641548156738</v>
      </c>
      <c r="X11" s="129">
        <f>VLOOKUP(A11,'2022_PAPI_Indicators'!A6:W186,22,FALSE)</f>
        <v>5.4940962791442871</v>
      </c>
      <c r="Y11" s="129">
        <f>VLOOKUP(A11,'2022_PAPI_Indicators'!A6:X186,23,FALSE)</f>
        <v>5.3871197700500488</v>
      </c>
      <c r="Z11" s="129">
        <f>VLOOKUP(A11,'2022_PAPI_Indicators'!A6:Y186,24,FALSE)</f>
        <v>5.0631165504455566</v>
      </c>
      <c r="AA11" s="129">
        <f>VLOOKUP(A11,'2022_PAPI_Indicators'!A6:Z186,25,FALSE)</f>
        <v>5.6298561096191406</v>
      </c>
      <c r="AB11" s="129">
        <f>VLOOKUP(A11,'2022_PAPI_Indicators'!A6:AA186,26,FALSE)</f>
        <v>5.2587337493896484</v>
      </c>
      <c r="AC11" s="129">
        <f>VLOOKUP(A11,'2022_PAPI_Indicators'!A6:AB186,27,FALSE)</f>
        <v>6.1073641777038574</v>
      </c>
      <c r="AD11" s="129">
        <f>VLOOKUP(A11,'2022_PAPI_Indicators'!A6:AC186,28,FALSE)</f>
        <v>5.609349250793457</v>
      </c>
      <c r="AE11" s="129">
        <f>VLOOKUP(A11,'2022_PAPI_Indicators'!A6:AD186,29,FALSE)</f>
        <v>5.3757567405700684</v>
      </c>
      <c r="AF11" s="129">
        <f>VLOOKUP(A11,'2022_PAPI_Indicators'!A6:AE186,30,FALSE)</f>
        <v>4.9196991920471191</v>
      </c>
      <c r="AG11" s="129">
        <f>VLOOKUP(A11,'2022_PAPI_Indicators'!A6:AF186,31,FALSE)</f>
        <v>4.9741263389587402</v>
      </c>
      <c r="AH11" s="129">
        <f>VLOOKUP(A11,'2022_PAPI_Indicators'!A6:AG186,32,FALSE)</f>
        <v>5.772118091583252</v>
      </c>
      <c r="AI11" s="129">
        <f>VLOOKUP(A11,'2022_PAPI_Indicators'!A6:AH186,33,FALSE)</f>
        <v>4.4935173988342285</v>
      </c>
      <c r="AJ11" s="129">
        <f>VLOOKUP(A11,'2022_PAPI_Indicators'!A6:AI186,34,FALSE)</f>
        <v>4.7812652587890625</v>
      </c>
      <c r="AK11" s="129">
        <f>VLOOKUP(A11,'2022_PAPI_Indicators'!A6:AJ186,35,FALSE)</f>
        <v>5.0435991287231445</v>
      </c>
      <c r="AL11" s="129">
        <f>VLOOKUP(A11,'2022_PAPI_Indicators'!A6:AK186,36,FALSE)</f>
        <v>4.3365435600280762</v>
      </c>
      <c r="AM11" s="129">
        <f>VLOOKUP(A11,'2022_PAPI_Indicators'!A6:AL186,37,FALSE)</f>
        <v>4.3876118659973145</v>
      </c>
      <c r="AN11" s="129">
        <f>VLOOKUP(A11,'2022_PAPI_Indicators'!A6:AM186,38,FALSE)</f>
        <v>4.4982848167419434</v>
      </c>
      <c r="AO11" s="129">
        <f>VLOOKUP(A11,'2022_PAPI_Indicators'!A6:AN186,39,FALSE)</f>
        <v>5.4048333168029785</v>
      </c>
      <c r="AP11" s="129">
        <f>VLOOKUP(A11,'2022_PAPI_Indicators'!A6:AO186,40,FALSE)</f>
        <v>5.4278936386108398</v>
      </c>
      <c r="AQ11" s="129">
        <f>VLOOKUP(A11,'2022_PAPI_Indicators'!A6:AP186,41,FALSE)</f>
        <v>4.7477836608886719</v>
      </c>
      <c r="AR11" s="129">
        <f>VLOOKUP(A11,'2022_PAPI_Indicators'!A6:AQ186,42,FALSE)</f>
        <v>5.0252842903137207</v>
      </c>
      <c r="AS11" s="129">
        <f>VLOOKUP(A11,'2022_PAPI_Indicators'!A6:AR186,43,FALSE)</f>
        <v>5.1387872695922852</v>
      </c>
      <c r="AT11" s="129">
        <f>VLOOKUP(A11,'2022_PAPI_Indicators'!A6:AS186,44,FALSE)</f>
        <v>4.7923436164855957</v>
      </c>
      <c r="AU11" s="129">
        <f>VLOOKUP(A11,'2022_PAPI_Indicators'!A6:AT186,45,FALSE)</f>
        <v>5.0606522560119629</v>
      </c>
      <c r="AV11" s="129">
        <f>VLOOKUP(A11,'2022_PAPI_Indicators'!A6:AU186,46,FALSE)</f>
        <v>5.0272536277770996</v>
      </c>
      <c r="AW11" s="129">
        <f>VLOOKUP(A11,'2022_PAPI_Indicators'!A6:AV186,47,FALSE)</f>
        <v>4.2720084190368652</v>
      </c>
      <c r="AX11" s="129">
        <f>VLOOKUP(A11,'2022_PAPI_Indicators'!A6:AW186,48,FALSE)</f>
        <v>5.9493718147277832</v>
      </c>
      <c r="AY11" s="129">
        <f>VLOOKUP(A11,'2022_PAPI_Indicators'!A6:AX186,49,FALSE)</f>
        <v>4.776759147644043</v>
      </c>
      <c r="AZ11" s="129">
        <f>VLOOKUP(A11,'2022_PAPI_Indicators'!A6:AY186,50,FALSE)</f>
        <v>4.3234724998474121</v>
      </c>
      <c r="BA11" s="129">
        <f>VLOOKUP(A11,'2022_PAPI_Indicators'!A6:AZ186,51,FALSE)</f>
        <v>4.5682454109191895</v>
      </c>
      <c r="BB11" s="129">
        <f>VLOOKUP(A11,'2022_PAPI_Indicators'!A6:BA186,52,FALSE)</f>
        <v>4.8123226165771484</v>
      </c>
      <c r="BC11" s="129">
        <f>VLOOKUP(A11,'2022_PAPI_Indicators'!A6:BB186,53,FALSE)</f>
        <v>4.0631680488586426</v>
      </c>
      <c r="BD11" s="129">
        <f>VLOOKUP(A11,'2022_PAPI_Indicators'!A6:BC186,54,FALSE)</f>
        <v>4.2259783744812012</v>
      </c>
      <c r="BE11" s="129">
        <f>VLOOKUP(A11,'2022_PAPI_Indicators'!A6:BD186,55,FALSE)</f>
        <v>4.1161255836486816</v>
      </c>
      <c r="BF11" s="129">
        <f>VLOOKUP(A11,'2022_PAPI_Indicators'!A6:BE186,56,FALSE)</f>
        <v>4.5832972526550293</v>
      </c>
      <c r="BG11" s="129">
        <f>VLOOKUP(A11,'2022_PAPI_Indicators'!A6:BF186,57,FALSE)</f>
        <v>4.3295116424560547</v>
      </c>
      <c r="BH11" s="129">
        <f>VLOOKUP(A11,'2022_PAPI_Indicators'!A6:BG186,58,FALSE)</f>
        <v>4.4517912864685059</v>
      </c>
      <c r="BI11" s="129">
        <f>VLOOKUP(A11,'2022_PAPI_Indicators'!A6:BH186,59,FALSE)</f>
        <v>3.7754788398742676</v>
      </c>
      <c r="BJ11" s="129">
        <f>VLOOKUP(A11,'2022_PAPI_Indicators'!A6:BI186,60,FALSE)</f>
        <v>3.7111270427703857</v>
      </c>
      <c r="BK11" s="129">
        <f>VLOOKUP(A11,'2022_PAPI_Indicators'!A6:BJ186,61,FALSE)</f>
        <v>4.2705483436584473</v>
      </c>
      <c r="BL11" s="129">
        <f>VLOOKUP(A11,'2022_PAPI_Indicators'!A6:BK186,62,FALSE)</f>
        <v>4.492063045501709</v>
      </c>
      <c r="BM11" s="129">
        <f>VLOOKUP(A11,'2022_PAPI_Indicators'!A6:BL186,63,FALSE)</f>
        <v>5.0389547348022461</v>
      </c>
      <c r="BN11" s="129">
        <f>VLOOKUP(A11,'2022_PAPI_Indicators'!A6:BM186,64,FALSE)</f>
        <v>4.1778039932250977</v>
      </c>
    </row>
    <row r="12" spans="1:66" s="77" customFormat="1" x14ac:dyDescent="0.2">
      <c r="A12" s="77" t="s">
        <v>86</v>
      </c>
      <c r="B12" s="77" t="s">
        <v>87</v>
      </c>
      <c r="C12" s="92" t="s">
        <v>88</v>
      </c>
      <c r="D12" s="131">
        <f>VLOOKUP(A12,'2022_PAPI_Indicators'!A7:B187,2,)</f>
        <v>1.2902536392211914</v>
      </c>
      <c r="E12" s="131">
        <f>VLOOKUP(A12,'2022_PAPI_Indicators'!A7:C187,3,FALSE)</f>
        <v>0.85242849588394165</v>
      </c>
      <c r="F12" s="131">
        <f>VLOOKUP(A12,'2022_PAPI_Indicators'!A7:D187,4,FALSE)</f>
        <v>0.85104495286941528</v>
      </c>
      <c r="G12" s="131">
        <f>VLOOKUP(A12,'2022_PAPI_Indicators'!A7:E187,5,FALSE)</f>
        <v>1.0590184926986694</v>
      </c>
      <c r="H12" s="131">
        <f>VLOOKUP(A12,'2022_PAPI_Indicators'!A7:F187,6,FALSE)</f>
        <v>0.9204832911491394</v>
      </c>
      <c r="I12" s="131">
        <f>VLOOKUP(A12,'2022_PAPI_Indicators'!A7:G187,7,FALSE)</f>
        <v>0.92007863521575928</v>
      </c>
      <c r="J12" s="131">
        <f>VLOOKUP(A12,'2022_PAPI_Indicators'!A7:H187,8,FALSE)</f>
        <v>0.67026370763778687</v>
      </c>
      <c r="K12" s="131">
        <f>VLOOKUP(A12,'2022_PAPI_Indicators'!A7:I187,9,FALSE)</f>
        <v>1.1388193368911743</v>
      </c>
      <c r="L12" s="131">
        <f>VLOOKUP(A12,'2022_PAPI_Indicators'!A7:J187,10,FALSE)</f>
        <v>0.89840739965438843</v>
      </c>
      <c r="M12" s="131">
        <f>VLOOKUP(A12,'2022_PAPI_Indicators'!A7:K187,11,FALSE)</f>
        <v>0.93147164583206177</v>
      </c>
      <c r="N12" s="131">
        <f>VLOOKUP(A12,'2022_PAPI_Indicators'!A7:L187,12,FALSE)</f>
        <v>0.88282299041748047</v>
      </c>
      <c r="O12" s="131">
        <f>VLOOKUP(A12,'2022_PAPI_Indicators'!A7:M187,13,FALSE)</f>
        <v>1.1097712516784668</v>
      </c>
      <c r="P12" s="131">
        <f>VLOOKUP(A12,'2022_PAPI_Indicators'!A7:N187,14,FALSE)</f>
        <v>1.0883382558822632</v>
      </c>
      <c r="Q12" s="131">
        <f>VLOOKUP(A12,'2022_PAPI_Indicators'!A7:O187,15,FALSE)</f>
        <v>1.3968126773834229</v>
      </c>
      <c r="R12" s="132">
        <f>VLOOKUP(A12,'2022_PAPI_Indicators'!A7:P187,16,FALSE)</f>
        <v>0</v>
      </c>
      <c r="S12" s="131">
        <f>VLOOKUP(A12,'2022_PAPI_Indicators'!A7:R187,17,FALSE)</f>
        <v>1.1729801893234253</v>
      </c>
      <c r="T12" s="131">
        <f>VLOOKUP(A12,'2022_PAPI_Indicators'!A7:S187,18,FALSE)</f>
        <v>1.1823511123657227</v>
      </c>
      <c r="U12" s="132">
        <f>VLOOKUP(A12,'2022_PAPI_Indicators'!A7:T187,19,FALSE)</f>
        <v>1.3509466648101807</v>
      </c>
      <c r="V12" s="131">
        <f>VLOOKUP(A12,'2022_PAPI_Indicators'!A7:U187,20,FALSE)</f>
        <v>1.0244767665863037</v>
      </c>
      <c r="W12" s="131">
        <f>VLOOKUP(A12,'2022_PAPI_Indicators'!A7:V187,21,FALSE)</f>
        <v>0.99291950464248657</v>
      </c>
      <c r="X12" s="131">
        <f>VLOOKUP(A12,'2022_PAPI_Indicators'!A7:W187,22,FALSE)</f>
        <v>1.1268379688262939</v>
      </c>
      <c r="Y12" s="131">
        <f>VLOOKUP(A12,'2022_PAPI_Indicators'!A7:X187,23,FALSE)</f>
        <v>1.1201975345611572</v>
      </c>
      <c r="Z12" s="131">
        <f>VLOOKUP(A12,'2022_PAPI_Indicators'!A7:Y187,24,FALSE)</f>
        <v>0.99119818210601807</v>
      </c>
      <c r="AA12" s="131">
        <f>VLOOKUP(A12,'2022_PAPI_Indicators'!A7:Z187,25,FALSE)</f>
        <v>1.0403043031692505</v>
      </c>
      <c r="AB12" s="131">
        <f>VLOOKUP(A12,'2022_PAPI_Indicators'!A7:AA187,26,FALSE)</f>
        <v>1.0206526517868042</v>
      </c>
      <c r="AC12" s="131">
        <f>VLOOKUP(A12,'2022_PAPI_Indicators'!A7:AB187,27,FALSE)</f>
        <v>1.2935106754302979</v>
      </c>
      <c r="AD12" s="131">
        <f>VLOOKUP(A12,'2022_PAPI_Indicators'!A7:AC187,28,FALSE)</f>
        <v>1.1703758239746094</v>
      </c>
      <c r="AE12" s="131">
        <f>VLOOKUP(A12,'2022_PAPI_Indicators'!A7:AD187,29,FALSE)</f>
        <v>1.0169486999511719</v>
      </c>
      <c r="AF12" s="131">
        <f>VLOOKUP(A12,'2022_PAPI_Indicators'!A7:AE187,30,FALSE)</f>
        <v>0.97641450166702271</v>
      </c>
      <c r="AG12" s="131">
        <f>VLOOKUP(A12,'2022_PAPI_Indicators'!A7:AF187,31,FALSE)</f>
        <v>0.93942248821258545</v>
      </c>
      <c r="AH12" s="131">
        <f>VLOOKUP(A12,'2022_PAPI_Indicators'!A7:AG187,32,FALSE)</f>
        <v>1.1248074769973755</v>
      </c>
      <c r="AI12" s="131">
        <f>VLOOKUP(A12,'2022_PAPI_Indicators'!A7:AH187,33,FALSE)</f>
        <v>1.1115047931671143</v>
      </c>
      <c r="AJ12" s="131">
        <f>VLOOKUP(A12,'2022_PAPI_Indicators'!A7:AI187,34,FALSE)</f>
        <v>1.1121009588241577</v>
      </c>
      <c r="AK12" s="131">
        <f>VLOOKUP(A12,'2022_PAPI_Indicators'!A7:AJ187,35,FALSE)</f>
        <v>1.1002645492553711</v>
      </c>
      <c r="AL12" s="131">
        <f>VLOOKUP(A12,'2022_PAPI_Indicators'!A7:AK187,36,FALSE)</f>
        <v>0.88206303119659424</v>
      </c>
      <c r="AM12" s="131">
        <f>VLOOKUP(A12,'2022_PAPI_Indicators'!A7:AL187,37,FALSE)</f>
        <v>0.87195920944213867</v>
      </c>
      <c r="AN12" s="131">
        <f>VLOOKUP(A12,'2022_PAPI_Indicators'!A7:AM187,38,FALSE)</f>
        <v>1.0463155508041382</v>
      </c>
      <c r="AO12" s="131">
        <f>VLOOKUP(A12,'2022_PAPI_Indicators'!A7:AN187,39,FALSE)</f>
        <v>1.2066787481307983</v>
      </c>
      <c r="AP12" s="131">
        <f>VLOOKUP(A12,'2022_PAPI_Indicators'!A7:AO187,40,FALSE)</f>
        <v>0.95389139652252197</v>
      </c>
      <c r="AQ12" s="131">
        <f>VLOOKUP(A12,'2022_PAPI_Indicators'!A7:AP187,41,FALSE)</f>
        <v>0.83089882135391235</v>
      </c>
      <c r="AR12" s="131">
        <f>VLOOKUP(A12,'2022_PAPI_Indicators'!A7:AQ187,42,FALSE)</f>
        <v>0.90518897771835327</v>
      </c>
      <c r="AS12" s="131">
        <f>VLOOKUP(A12,'2022_PAPI_Indicators'!A7:AR187,43,FALSE)</f>
        <v>0.99547278881072998</v>
      </c>
      <c r="AT12" s="131">
        <f>VLOOKUP(A12,'2022_PAPI_Indicators'!A7:AS187,44,FALSE)</f>
        <v>0.96308302879333496</v>
      </c>
      <c r="AU12" s="131">
        <f>VLOOKUP(A12,'2022_PAPI_Indicators'!A7:AT187,45,FALSE)</f>
        <v>1.0140576362609863</v>
      </c>
      <c r="AV12" s="131">
        <f>VLOOKUP(A12,'2022_PAPI_Indicators'!A7:AU187,46,FALSE)</f>
        <v>1.0476225614547729</v>
      </c>
      <c r="AW12" s="131">
        <f>VLOOKUP(A12,'2022_PAPI_Indicators'!A7:AV187,47,FALSE)</f>
        <v>0.85741972923278809</v>
      </c>
      <c r="AX12" s="131">
        <f>VLOOKUP(A12,'2022_PAPI_Indicators'!A7:AW187,48,FALSE)</f>
        <v>1.256569504737854</v>
      </c>
      <c r="AY12" s="131">
        <f>VLOOKUP(A12,'2022_PAPI_Indicators'!A7:AX187,49,FALSE)</f>
        <v>1.0599448680877686</v>
      </c>
      <c r="AZ12" s="131">
        <f>VLOOKUP(A12,'2022_PAPI_Indicators'!A7:AY187,50,FALSE)</f>
        <v>1.1245033740997314</v>
      </c>
      <c r="BA12" s="131">
        <f>VLOOKUP(A12,'2022_PAPI_Indicators'!A7:AZ187,51,FALSE)</f>
        <v>0.92631185054779053</v>
      </c>
      <c r="BB12" s="131">
        <f>VLOOKUP(A12,'2022_PAPI_Indicators'!A7:BA187,52,FALSE)</f>
        <v>0.90381020307540894</v>
      </c>
      <c r="BC12" s="131">
        <f>VLOOKUP(A12,'2022_PAPI_Indicators'!A7:BB187,53,FALSE)</f>
        <v>0.84060412645339966</v>
      </c>
      <c r="BD12" s="131">
        <f>VLOOKUP(A12,'2022_PAPI_Indicators'!A7:BC187,54,FALSE)</f>
        <v>0.74693989753723145</v>
      </c>
      <c r="BE12" s="131">
        <f>VLOOKUP(A12,'2022_PAPI_Indicators'!A7:BD187,55,FALSE)</f>
        <v>0.86559450626373291</v>
      </c>
      <c r="BF12" s="131">
        <f>VLOOKUP(A12,'2022_PAPI_Indicators'!A7:BE187,56,FALSE)</f>
        <v>1.0388256311416626</v>
      </c>
      <c r="BG12" s="131">
        <f>VLOOKUP(A12,'2022_PAPI_Indicators'!A7:BF187,57,FALSE)</f>
        <v>0.79635429382324219</v>
      </c>
      <c r="BH12" s="131">
        <f>VLOOKUP(A12,'2022_PAPI_Indicators'!A7:BG187,58,FALSE)</f>
        <v>0.75430393218994141</v>
      </c>
      <c r="BI12" s="131">
        <f>VLOOKUP(A12,'2022_PAPI_Indicators'!A7:BH187,59,FALSE)</f>
        <v>0.76570641994476318</v>
      </c>
      <c r="BJ12" s="131">
        <f>VLOOKUP(A12,'2022_PAPI_Indicators'!A7:BI187,60,FALSE)</f>
        <v>0.70996755361557007</v>
      </c>
      <c r="BK12" s="131">
        <f>VLOOKUP(A12,'2022_PAPI_Indicators'!A7:BJ187,61,FALSE)</f>
        <v>0.93277734518051147</v>
      </c>
      <c r="BL12" s="131">
        <f>VLOOKUP(A12,'2022_PAPI_Indicators'!A7:BK187,62,FALSE)</f>
        <v>0.88113147020339966</v>
      </c>
      <c r="BM12" s="131">
        <f>VLOOKUP(A12,'2022_PAPI_Indicators'!A7:BL187,63,FALSE)</f>
        <v>1.1367943286895752</v>
      </c>
      <c r="BN12" s="131">
        <f>VLOOKUP(A12,'2022_PAPI_Indicators'!A7:BM187,64,FALSE)</f>
        <v>0.98122859001159668</v>
      </c>
    </row>
    <row r="13" spans="1:66" x14ac:dyDescent="0.2">
      <c r="A13" s="70" t="s">
        <v>548</v>
      </c>
      <c r="B13" s="70" t="s">
        <v>417</v>
      </c>
      <c r="C13" s="89" t="s">
        <v>90</v>
      </c>
      <c r="D13" s="133">
        <f>VLOOKUP(A13,'2022_PAPI_Indicators'!A8:B188,2, FALSE)</f>
        <v>0.67658984661102295</v>
      </c>
      <c r="E13" s="134">
        <v>0.43581902980804443</v>
      </c>
      <c r="F13" s="134">
        <v>0.44629555940628052</v>
      </c>
      <c r="G13" s="134">
        <v>0.57596635818481445</v>
      </c>
      <c r="H13" s="134">
        <v>0.46699661016464233</v>
      </c>
      <c r="I13" s="134">
        <v>0.48171156644821167</v>
      </c>
      <c r="J13" s="134">
        <v>0.31916141510009766</v>
      </c>
      <c r="K13" s="134">
        <v>0.5284467339515686</v>
      </c>
      <c r="L13" s="134">
        <v>0.46629402041435242</v>
      </c>
      <c r="M13" s="134">
        <v>0.50095611810684204</v>
      </c>
      <c r="N13" s="134">
        <v>0.46893587708473206</v>
      </c>
      <c r="O13" s="134">
        <v>0.54792606830596924</v>
      </c>
      <c r="P13" s="134">
        <v>0.53961515426635742</v>
      </c>
      <c r="Q13" s="134">
        <v>0.69288843870162964</v>
      </c>
      <c r="R13" s="135">
        <f>VLOOKUP(A13,'2022_PAPI_Indicators'!A8:P188,16,FALSE)</f>
        <v>0</v>
      </c>
      <c r="S13" s="134">
        <v>0.53720682859420776</v>
      </c>
      <c r="T13" s="134">
        <v>0.57189351320266724</v>
      </c>
      <c r="U13" s="136">
        <v>0.81537097692489624</v>
      </c>
      <c r="V13" s="134">
        <v>0.46294346451759338</v>
      </c>
      <c r="W13" s="134">
        <v>0.4122714102268219</v>
      </c>
      <c r="X13" s="134">
        <v>0.55237966775894165</v>
      </c>
      <c r="Y13" s="134">
        <v>0.46917620301246643</v>
      </c>
      <c r="Z13" s="134">
        <v>0.44025751948356628</v>
      </c>
      <c r="AA13" s="134">
        <v>0.52450960874557495</v>
      </c>
      <c r="AB13" s="134">
        <v>0.38741013407707214</v>
      </c>
      <c r="AC13" s="134">
        <v>0.63067543506622314</v>
      </c>
      <c r="AD13" s="134">
        <v>0.66341233253479004</v>
      </c>
      <c r="AE13" s="134">
        <v>0.52679646015167236</v>
      </c>
      <c r="AF13" s="134">
        <v>0.54764711856842041</v>
      </c>
      <c r="AG13" s="134">
        <v>0.55660521984100342</v>
      </c>
      <c r="AH13" s="134">
        <v>0.62320166826248169</v>
      </c>
      <c r="AI13" s="134">
        <v>0.61847615242004395</v>
      </c>
      <c r="AJ13" s="134">
        <v>0.57207858562469482</v>
      </c>
      <c r="AK13" s="134">
        <v>0.60019683837890625</v>
      </c>
      <c r="AL13" s="134">
        <v>0.42103680968284607</v>
      </c>
      <c r="AM13" s="134">
        <v>0.39798355102539063</v>
      </c>
      <c r="AN13" s="134">
        <v>0.64878660440444946</v>
      </c>
      <c r="AO13" s="134">
        <v>0.691489577293396</v>
      </c>
      <c r="AP13" s="134">
        <v>0.63496541976928711</v>
      </c>
      <c r="AQ13" s="134">
        <v>0.46864169836044312</v>
      </c>
      <c r="AR13" s="134">
        <v>0.50565880537033081</v>
      </c>
      <c r="AS13" s="134">
        <v>0.48533183336257935</v>
      </c>
      <c r="AT13" s="134">
        <v>0.55154967308044434</v>
      </c>
      <c r="AU13" s="134">
        <v>0.64805692434310913</v>
      </c>
      <c r="AV13" s="134">
        <v>0.39637374877929688</v>
      </c>
      <c r="AW13" s="134">
        <v>0.38860177993774414</v>
      </c>
      <c r="AX13" s="134">
        <v>0.80665302276611328</v>
      </c>
      <c r="AY13" s="134">
        <v>0.56285899877548218</v>
      </c>
      <c r="AZ13" s="134">
        <v>0.60105675458908081</v>
      </c>
      <c r="BA13" s="134">
        <v>0.49248683452606201</v>
      </c>
      <c r="BB13" s="134">
        <v>0.45162779092788696</v>
      </c>
      <c r="BC13" s="134">
        <v>0.39247626066207886</v>
      </c>
      <c r="BD13" s="134">
        <v>0.30962282419204712</v>
      </c>
      <c r="BE13" s="134">
        <v>0.38950347900390625</v>
      </c>
      <c r="BF13" s="134">
        <v>0.56799775362014771</v>
      </c>
      <c r="BG13" s="134">
        <v>0.39571806788444519</v>
      </c>
      <c r="BH13" s="134">
        <v>0.34405887126922607</v>
      </c>
      <c r="BI13" s="134">
        <v>0.34905931353569031</v>
      </c>
      <c r="BJ13" s="134">
        <v>0.37604686617851257</v>
      </c>
      <c r="BK13" s="134">
        <v>0.46141800284385681</v>
      </c>
      <c r="BL13" s="134">
        <v>0.39220702648162842</v>
      </c>
      <c r="BM13" s="134">
        <v>0.60810333490371704</v>
      </c>
      <c r="BN13" s="134">
        <v>0.51529181003570557</v>
      </c>
    </row>
    <row r="14" spans="1:66" x14ac:dyDescent="0.2">
      <c r="A14" s="70" t="s">
        <v>91</v>
      </c>
      <c r="B14" s="70" t="s">
        <v>418</v>
      </c>
      <c r="C14" s="89" t="s">
        <v>90</v>
      </c>
      <c r="D14" s="133">
        <f>VLOOKUP(A14,'2022_PAPI_Indicators'!A9:B189,2, FALSE)</f>
        <v>0.58637499809265137</v>
      </c>
      <c r="E14" s="133">
        <f>VLOOKUP(A14,'2022_PAPI_Indicators'!A9:C189,3,FALSE)</f>
        <v>0.31758248805999756</v>
      </c>
      <c r="F14" s="133">
        <f>VLOOKUP(A14,'2022_PAPI_Indicators'!A9:D189,4,FALSE)</f>
        <v>0.31111440062522888</v>
      </c>
      <c r="G14" s="133">
        <f>VLOOKUP(A14,'2022_PAPI_Indicators'!A9:E189,5,FALSE)</f>
        <v>0.43114441633224487</v>
      </c>
      <c r="H14" s="133">
        <f>VLOOKUP(A14,'2022_PAPI_Indicators'!A9:F189,6,FALSE)</f>
        <v>0.36248683929443359</v>
      </c>
      <c r="I14" s="133">
        <f>VLOOKUP(A14,'2022_PAPI_Indicators'!A9:G189,7,FALSE)</f>
        <v>0.35476964712142944</v>
      </c>
      <c r="J14" s="133">
        <f>VLOOKUP(A14,'2022_PAPI_Indicators'!A9:H189,8,FALSE)</f>
        <v>0.21398705244064331</v>
      </c>
      <c r="K14" s="133">
        <f>VLOOKUP(A14,'2022_PAPI_Indicators'!A9:I189,9,FALSE)</f>
        <v>0.52583825588226318</v>
      </c>
      <c r="L14" s="133">
        <f>VLOOKUP(A14,'2022_PAPI_Indicators'!A9:J189,10,FALSE)</f>
        <v>0.34321510791778564</v>
      </c>
      <c r="M14" s="133">
        <f>VLOOKUP(A14,'2022_PAPI_Indicators'!A9:K189,11,FALSE)</f>
        <v>0.35527452826499939</v>
      </c>
      <c r="N14" s="133">
        <f>VLOOKUP(A14,'2022_PAPI_Indicators'!A9:L189,12,FALSE)</f>
        <v>0.32804137468338013</v>
      </c>
      <c r="O14" s="133">
        <f>VLOOKUP(A14,'2022_PAPI_Indicators'!A9:M189,13,FALSE)</f>
        <v>0.49027806520462036</v>
      </c>
      <c r="P14" s="133">
        <f>VLOOKUP(A14,'2022_PAPI_Indicators'!A9:N189,14,FALSE)</f>
        <v>0.475382000207901</v>
      </c>
      <c r="Q14" s="133">
        <f>VLOOKUP(A14,'2022_PAPI_Indicators'!A9:O189,15,FALSE)</f>
        <v>0.67294484376907349</v>
      </c>
      <c r="R14" s="135">
        <f>VLOOKUP(A14,'2022_PAPI_Indicators'!A9:P189,16,FALSE)</f>
        <v>0</v>
      </c>
      <c r="S14" s="133">
        <f>VLOOKUP(A14,'2022_PAPI_Indicators'!A9:R189,17,FALSE)</f>
        <v>0.55182343721389771</v>
      </c>
      <c r="T14" s="133">
        <f>VLOOKUP(A14,'2022_PAPI_Indicators'!A9:S189,18,FALSE)</f>
        <v>0.54280978441238403</v>
      </c>
      <c r="U14" s="135">
        <f>VLOOKUP(A14,'2022_PAPI_Indicators'!A9:T189,19,FALSE)</f>
        <v>0.5709337592124939</v>
      </c>
      <c r="V14" s="133">
        <f>VLOOKUP(A14,'2022_PAPI_Indicators'!A9:U189,20,FALSE)</f>
        <v>0.45695209503173828</v>
      </c>
      <c r="W14" s="133">
        <f>VLOOKUP(A14,'2022_PAPI_Indicators'!A9:V189,21,FALSE)</f>
        <v>0.45423722267150879</v>
      </c>
      <c r="X14" s="133">
        <f>VLOOKUP(A14,'2022_PAPI_Indicators'!A9:W189,22,FALSE)</f>
        <v>0.50322169065475464</v>
      </c>
      <c r="Y14" s="133">
        <f>VLOOKUP(A14,'2022_PAPI_Indicators'!A9:X189,23,FALSE)</f>
        <v>0.5389208197593689</v>
      </c>
      <c r="Z14" s="133">
        <f>VLOOKUP(A14,'2022_PAPI_Indicators'!A9:Y189,24,FALSE)</f>
        <v>0.43871405720710754</v>
      </c>
      <c r="AA14" s="133">
        <f>VLOOKUP(A14,'2022_PAPI_Indicators'!A9:Z189,25,FALSE)</f>
        <v>0.44023793935775757</v>
      </c>
      <c r="AB14" s="133">
        <f>VLOOKUP(A14,'2022_PAPI_Indicators'!A9:AA189,26,FALSE)</f>
        <v>0.49131956696510315</v>
      </c>
      <c r="AC14" s="133">
        <f>VLOOKUP(A14,'2022_PAPI_Indicators'!A9:AB189,27,FALSE)</f>
        <v>0.61222732067108154</v>
      </c>
      <c r="AD14" s="133">
        <f>VLOOKUP(A14,'2022_PAPI_Indicators'!A9:AC189,28,FALSE)</f>
        <v>0.48640567064285278</v>
      </c>
      <c r="AE14" s="133">
        <f>VLOOKUP(A14,'2022_PAPI_Indicators'!A9:AD189,29,FALSE)</f>
        <v>0.41833394765853882</v>
      </c>
      <c r="AF14" s="133">
        <f>VLOOKUP(A14,'2022_PAPI_Indicators'!A9:AE189,30,FALSE)</f>
        <v>0.3718782365322113</v>
      </c>
      <c r="AG14" s="133">
        <f>VLOOKUP(A14,'2022_PAPI_Indicators'!A9:AF189,31,FALSE)</f>
        <v>0.33451738953590393</v>
      </c>
      <c r="AH14" s="133">
        <f>VLOOKUP(A14,'2022_PAPI_Indicators'!A9:AG189,32,FALSE)</f>
        <v>0.46600586175918579</v>
      </c>
      <c r="AI14" s="133">
        <f>VLOOKUP(A14,'2022_PAPI_Indicators'!A9:AH189,33,FALSE)</f>
        <v>0.45654395222663879</v>
      </c>
      <c r="AJ14" s="133">
        <f>VLOOKUP(A14,'2022_PAPI_Indicators'!A9:AI189,34,FALSE)</f>
        <v>0.48027265071868896</v>
      </c>
      <c r="AK14" s="133">
        <f>VLOOKUP(A14,'2022_PAPI_Indicators'!A9:AJ189,35,FALSE)</f>
        <v>0.45569226145744324</v>
      </c>
      <c r="AL14" s="133">
        <f>VLOOKUP(A14,'2022_PAPI_Indicators'!A9:AK189,36,FALSE)</f>
        <v>0.35131537914276123</v>
      </c>
      <c r="AM14" s="133">
        <f>VLOOKUP(A14,'2022_PAPI_Indicators'!A9:AL189,37,FALSE)</f>
        <v>0.35386085510253906</v>
      </c>
      <c r="AN14" s="133">
        <f>VLOOKUP(A14,'2022_PAPI_Indicators'!A9:AM189,38,FALSE)</f>
        <v>0.38344272971153259</v>
      </c>
      <c r="AO14" s="133">
        <f>VLOOKUP(A14,'2022_PAPI_Indicators'!A9:AN189,39,FALSE)</f>
        <v>0.50463634729385376</v>
      </c>
      <c r="AP14" s="133">
        <f>VLOOKUP(A14,'2022_PAPI_Indicators'!A9:AO189,40,FALSE)</f>
        <v>0.30819854140281677</v>
      </c>
      <c r="AQ14" s="133">
        <f>VLOOKUP(A14,'2022_PAPI_Indicators'!A9:AP189,41,FALSE)</f>
        <v>0.28203365206718445</v>
      </c>
      <c r="AR14" s="133">
        <f>VLOOKUP(A14,'2022_PAPI_Indicators'!A9:AQ189,42,FALSE)</f>
        <v>0.329560786485672</v>
      </c>
      <c r="AS14" s="133">
        <f>VLOOKUP(A14,'2022_PAPI_Indicators'!A9:AR189,43,FALSE)</f>
        <v>0.41997656226158142</v>
      </c>
      <c r="AT14" s="133">
        <f>VLOOKUP(A14,'2022_PAPI_Indicators'!A9:AS189,44,FALSE)</f>
        <v>0.35807675123214722</v>
      </c>
      <c r="AU14" s="133">
        <f>VLOOKUP(A14,'2022_PAPI_Indicators'!A9:AT189,45,FALSE)</f>
        <v>0.35513392090797424</v>
      </c>
      <c r="AV14" s="133">
        <f>VLOOKUP(A14,'2022_PAPI_Indicators'!A9:AU189,46,FALSE)</f>
        <v>0.5108109712600708</v>
      </c>
      <c r="AW14" s="133">
        <f>VLOOKUP(A14,'2022_PAPI_Indicators'!A9:AV189,47,FALSE)</f>
        <v>0.34562772512435913</v>
      </c>
      <c r="AX14" s="133">
        <f>VLOOKUP(A14,'2022_PAPI_Indicators'!A9:AW189,48,FALSE)</f>
        <v>0.49140191078186035</v>
      </c>
      <c r="AY14" s="133">
        <f>VLOOKUP(A14,'2022_PAPI_Indicators'!A9:AX189,49,FALSE)</f>
        <v>0.43852153420448303</v>
      </c>
      <c r="AZ14" s="133">
        <f>VLOOKUP(A14,'2022_PAPI_Indicators'!A9:AY189,50,FALSE)</f>
        <v>0.47680795192718506</v>
      </c>
      <c r="BA14" s="133">
        <f>VLOOKUP(A14,'2022_PAPI_Indicators'!A9:AZ189,51,FALSE)</f>
        <v>0.35492265224456787</v>
      </c>
      <c r="BB14" s="133">
        <f>VLOOKUP(A14,'2022_PAPI_Indicators'!A9:BA189,52,FALSE)</f>
        <v>0.35535070300102234</v>
      </c>
      <c r="BC14" s="133">
        <f>VLOOKUP(A14,'2022_PAPI_Indicators'!A9:BB189,53,FALSE)</f>
        <v>0.32874330878257751</v>
      </c>
      <c r="BD14" s="133">
        <f>VLOOKUP(A14,'2022_PAPI_Indicators'!A9:BC189,54,FALSE)</f>
        <v>0.2869129478931427</v>
      </c>
      <c r="BE14" s="133">
        <f>VLOOKUP(A14,'2022_PAPI_Indicators'!A9:BD189,55,FALSE)</f>
        <v>0.3524433970451355</v>
      </c>
      <c r="BF14" s="133">
        <f>VLOOKUP(A14,'2022_PAPI_Indicators'!A9:BE189,56,FALSE)</f>
        <v>0.41717946529388428</v>
      </c>
      <c r="BG14" s="133">
        <f>VLOOKUP(A14,'2022_PAPI_Indicators'!A9:BF189,57,FALSE)</f>
        <v>0.28778922557830811</v>
      </c>
      <c r="BH14" s="133">
        <f>VLOOKUP(A14,'2022_PAPI_Indicators'!A9:BG189,58,FALSE)</f>
        <v>0.27624070644378662</v>
      </c>
      <c r="BI14" s="133">
        <f>VLOOKUP(A14,'2022_PAPI_Indicators'!A9:BH189,59,FALSE)</f>
        <v>0.28387603163719177</v>
      </c>
      <c r="BJ14" s="133">
        <f>VLOOKUP(A14,'2022_PAPI_Indicators'!A9:BI189,60,FALSE)</f>
        <v>0.22083662450313568</v>
      </c>
      <c r="BK14" s="133">
        <f>VLOOKUP(A14,'2022_PAPI_Indicators'!A9:BJ189,61,FALSE)</f>
        <v>0.37620419263839722</v>
      </c>
      <c r="BL14" s="133">
        <f>VLOOKUP(A14,'2022_PAPI_Indicators'!A9:BK189,62,FALSE)</f>
        <v>0.36490225791931152</v>
      </c>
      <c r="BM14" s="133">
        <f>VLOOKUP(A14,'2022_PAPI_Indicators'!A9:BL189,63,FALSE)</f>
        <v>0.48420998454093933</v>
      </c>
      <c r="BN14" s="133">
        <f>VLOOKUP(A14,'2022_PAPI_Indicators'!A9:BM189,64,FALSE)</f>
        <v>0.39233505725860596</v>
      </c>
    </row>
    <row r="15" spans="1:66" s="77" customFormat="1" x14ac:dyDescent="0.2">
      <c r="A15" s="77" t="s">
        <v>93</v>
      </c>
      <c r="B15" s="77" t="s">
        <v>94</v>
      </c>
      <c r="C15" s="92" t="s">
        <v>448</v>
      </c>
      <c r="D15" s="137">
        <f>VLOOKUP(A15,'2022_PAPI_Indicators'!A10:B190,2, FALSE)</f>
        <v>1.6858891248703003</v>
      </c>
      <c r="E15" s="137">
        <f>VLOOKUP(A15,'2022_PAPI_Indicators'!A10:C190,3,FALSE)</f>
        <v>1.6748725175857544</v>
      </c>
      <c r="F15" s="137">
        <f>VLOOKUP(A15,'2022_PAPI_Indicators'!A10:D190,4,FALSE)</f>
        <v>1.4802312850952148</v>
      </c>
      <c r="G15" s="137">
        <f>VLOOKUP(A15,'2022_PAPI_Indicators'!A10:E190,5,FALSE)</f>
        <v>1.7379497289657593</v>
      </c>
      <c r="H15" s="137">
        <f>VLOOKUP(A15,'2022_PAPI_Indicators'!A10:F190,6,FALSE)</f>
        <v>1.4591823816299438</v>
      </c>
      <c r="I15" s="137">
        <f>VLOOKUP(A15,'2022_PAPI_Indicators'!A10:G190,7,FALSE)</f>
        <v>1.5429831743240356</v>
      </c>
      <c r="J15" s="137">
        <f>VLOOKUP(A15,'2022_PAPI_Indicators'!A10:H190,8,FALSE)</f>
        <v>1.4482297897338867</v>
      </c>
      <c r="K15" s="137">
        <f>VLOOKUP(A15,'2022_PAPI_Indicators'!A10:I190,9,FALSE)</f>
        <v>1.6255340576171875</v>
      </c>
      <c r="L15" s="137">
        <f>VLOOKUP(A15,'2022_PAPI_Indicators'!A10:J190,10,FALSE)</f>
        <v>1.4918340444564819</v>
      </c>
      <c r="M15" s="137">
        <f>VLOOKUP(A15,'2022_PAPI_Indicators'!A10:K190,11,FALSE)</f>
        <v>1.4510060548782349</v>
      </c>
      <c r="N15" s="137">
        <f>VLOOKUP(A15,'2022_PAPI_Indicators'!A10:L190,12,FALSE)</f>
        <v>1.6131387948989868</v>
      </c>
      <c r="O15" s="137">
        <f>VLOOKUP(A15,'2022_PAPI_Indicators'!A10:M190,13,FALSE)</f>
        <v>1.6466629505157471</v>
      </c>
      <c r="P15" s="137">
        <f>VLOOKUP(A15,'2022_PAPI_Indicators'!A10:N190,14,FALSE)</f>
        <v>1.8705708980560303</v>
      </c>
      <c r="Q15" s="137">
        <f>VLOOKUP(A15,'2022_PAPI_Indicators'!A10:O190,15,FALSE)</f>
        <v>1.7197328805923462</v>
      </c>
      <c r="R15" s="130">
        <f>VLOOKUP(A15,'2022_PAPI_Indicators'!A10:P190,16,FALSE)</f>
        <v>0</v>
      </c>
      <c r="S15" s="137">
        <f>VLOOKUP(A15,'2022_PAPI_Indicators'!A10:R190,17,FALSE)</f>
        <v>1.688754677772522</v>
      </c>
      <c r="T15" s="137">
        <f>VLOOKUP(A15,'2022_PAPI_Indicators'!A10:S190,18,FALSE)</f>
        <v>1.5847506523132324</v>
      </c>
      <c r="U15" s="130">
        <f>VLOOKUP(A15,'2022_PAPI_Indicators'!A10:T190,19,FALSE)</f>
        <v>1.6553537845611572</v>
      </c>
      <c r="V15" s="137">
        <f>VLOOKUP(A15,'2022_PAPI_Indicators'!A10:U190,20,FALSE)</f>
        <v>1.5862804651260376</v>
      </c>
      <c r="W15" s="137">
        <f>VLOOKUP(A15,'2022_PAPI_Indicators'!A10:V190,21,FALSE)</f>
        <v>1.6587525606155396</v>
      </c>
      <c r="X15" s="137">
        <f>VLOOKUP(A15,'2022_PAPI_Indicators'!A10:W190,22,FALSE)</f>
        <v>1.7242151498794556</v>
      </c>
      <c r="Y15" s="137">
        <f>VLOOKUP(A15,'2022_PAPI_Indicators'!A10:X190,23,FALSE)</f>
        <v>1.6582760810852051</v>
      </c>
      <c r="Z15" s="137">
        <f>VLOOKUP(A15,'2022_PAPI_Indicators'!A10:Y190,24,FALSE)</f>
        <v>1.3520112037658691</v>
      </c>
      <c r="AA15" s="137">
        <f>VLOOKUP(A15,'2022_PAPI_Indicators'!A10:Z190,25,FALSE)</f>
        <v>1.8323445320129395</v>
      </c>
      <c r="AB15" s="137">
        <f>VLOOKUP(A15,'2022_PAPI_Indicators'!A10:AA190,26,FALSE)</f>
        <v>1.5946207046508789</v>
      </c>
      <c r="AC15" s="137">
        <f>VLOOKUP(A15,'2022_PAPI_Indicators'!A10:AB190,27,FALSE)</f>
        <v>1.8365793228149414</v>
      </c>
      <c r="AD15" s="137">
        <f>VLOOKUP(A15,'2022_PAPI_Indicators'!A10:AC190,28,FALSE)</f>
        <v>1.6218816041946411</v>
      </c>
      <c r="AE15" s="137">
        <f>VLOOKUP(A15,'2022_PAPI_Indicators'!A10:AD190,29,FALSE)</f>
        <v>1.5555830001831055</v>
      </c>
      <c r="AF15" s="137">
        <f>VLOOKUP(A15,'2022_PAPI_Indicators'!A10:AE190,30,FALSE)</f>
        <v>1.4092005491256714</v>
      </c>
      <c r="AG15" s="137">
        <f>VLOOKUP(A15,'2022_PAPI_Indicators'!A10:AF190,31,FALSE)</f>
        <v>1.6192209720611572</v>
      </c>
      <c r="AH15" s="137">
        <f>VLOOKUP(A15,'2022_PAPI_Indicators'!A10:AG190,32,FALSE)</f>
        <v>1.757871150970459</v>
      </c>
      <c r="AI15" s="137">
        <f>VLOOKUP(A15,'2022_PAPI_Indicators'!A10:AH190,33,FALSE)</f>
        <v>1.2245727777481079</v>
      </c>
      <c r="AJ15" s="137">
        <f>VLOOKUP(A15,'2022_PAPI_Indicators'!A10:AI190,34,FALSE)</f>
        <v>1.4838569164276123</v>
      </c>
      <c r="AK15" s="137">
        <f>VLOOKUP(A15,'2022_PAPI_Indicators'!A10:AJ190,35,FALSE)</f>
        <v>1.3661905527114868</v>
      </c>
      <c r="AL15" s="137">
        <f>VLOOKUP(A15,'2022_PAPI_Indicators'!A10:AK190,36,FALSE)</f>
        <v>1.2528047561645508</v>
      </c>
      <c r="AM15" s="137">
        <f>VLOOKUP(A15,'2022_PAPI_Indicators'!A10:AL190,37,FALSE)</f>
        <v>1.2769681215286255</v>
      </c>
      <c r="AN15" s="137">
        <f>VLOOKUP(A15,'2022_PAPI_Indicators'!A10:AM190,38,FALSE)</f>
        <v>1.2934740781784058</v>
      </c>
      <c r="AO15" s="137">
        <f>VLOOKUP(A15,'2022_PAPI_Indicators'!A10:AN190,39,FALSE)</f>
        <v>1.5693753957748413</v>
      </c>
      <c r="AP15" s="137">
        <f>VLOOKUP(A15,'2022_PAPI_Indicators'!A10:AO190,40,FALSE)</f>
        <v>1.4772862195968628</v>
      </c>
      <c r="AQ15" s="137">
        <f>VLOOKUP(A15,'2022_PAPI_Indicators'!A10:AP190,41,FALSE)</f>
        <v>1.2758796215057373</v>
      </c>
      <c r="AR15" s="137">
        <f>VLOOKUP(A15,'2022_PAPI_Indicators'!A10:AQ190,42,FALSE)</f>
        <v>1.37796950340271</v>
      </c>
      <c r="AS15" s="137">
        <f>VLOOKUP(A15,'2022_PAPI_Indicators'!A10:AR190,43,FALSE)</f>
        <v>1.2940777540206909</v>
      </c>
      <c r="AT15" s="137">
        <f>VLOOKUP(A15,'2022_PAPI_Indicators'!A10:AS190,44,FALSE)</f>
        <v>1.3254146575927734</v>
      </c>
      <c r="AU15" s="137">
        <f>VLOOKUP(A15,'2022_PAPI_Indicators'!A10:AT190,45,FALSE)</f>
        <v>1.6073617935180664</v>
      </c>
      <c r="AV15" s="137">
        <f>VLOOKUP(A15,'2022_PAPI_Indicators'!A10:AU190,46,FALSE)</f>
        <v>1.4291592836380005</v>
      </c>
      <c r="AW15" s="137">
        <f>VLOOKUP(A15,'2022_PAPI_Indicators'!A10:AV190,47,FALSE)</f>
        <v>1.3203039169311523</v>
      </c>
      <c r="AX15" s="137">
        <f>VLOOKUP(A15,'2022_PAPI_Indicators'!A10:AW190,48,FALSE)</f>
        <v>1.6840083599090576</v>
      </c>
      <c r="AY15" s="137">
        <f>VLOOKUP(A15,'2022_PAPI_Indicators'!A10:AX190,49,FALSE)</f>
        <v>1.2321833372116089</v>
      </c>
      <c r="AZ15" s="137">
        <f>VLOOKUP(A15,'2022_PAPI_Indicators'!A10:AY190,50,FALSE)</f>
        <v>1.156220555305481</v>
      </c>
      <c r="BA15" s="137">
        <f>VLOOKUP(A15,'2022_PAPI_Indicators'!A10:AZ190,51,FALSE)</f>
        <v>1.1008694171905518</v>
      </c>
      <c r="BB15" s="137">
        <f>VLOOKUP(A15,'2022_PAPI_Indicators'!A10:BA190,52,FALSE)</f>
        <v>1.2320647239685059</v>
      </c>
      <c r="BC15" s="137">
        <f>VLOOKUP(A15,'2022_PAPI_Indicators'!A10:BB190,53,FALSE)</f>
        <v>1.018795371055603</v>
      </c>
      <c r="BD15" s="137">
        <f>VLOOKUP(A15,'2022_PAPI_Indicators'!A10:BC190,54,FALSE)</f>
        <v>1.2090013027191162</v>
      </c>
      <c r="BE15" s="137">
        <f>VLOOKUP(A15,'2022_PAPI_Indicators'!A10:BD190,55,FALSE)</f>
        <v>1.022661566734314</v>
      </c>
      <c r="BF15" s="137">
        <f>VLOOKUP(A15,'2022_PAPI_Indicators'!A10:BE190,56,FALSE)</f>
        <v>1.2073088884353638</v>
      </c>
      <c r="BG15" s="137">
        <f>VLOOKUP(A15,'2022_PAPI_Indicators'!A10:BF190,57,FALSE)</f>
        <v>1.0155619382858276</v>
      </c>
      <c r="BH15" s="137">
        <f>VLOOKUP(A15,'2022_PAPI_Indicators'!A10:BG190,58,FALSE)</f>
        <v>1.1896966695785522</v>
      </c>
      <c r="BI15" s="137">
        <f>VLOOKUP(A15,'2022_PAPI_Indicators'!A10:BH190,59,FALSE)</f>
        <v>1.0306090116500854</v>
      </c>
      <c r="BJ15" s="137">
        <f>VLOOKUP(A15,'2022_PAPI_Indicators'!A10:BI190,60,FALSE)</f>
        <v>0.93527644872665405</v>
      </c>
      <c r="BK15" s="137">
        <f>VLOOKUP(A15,'2022_PAPI_Indicators'!A10:BJ190,61,FALSE)</f>
        <v>1.0808249711990356</v>
      </c>
      <c r="BL15" s="137">
        <f>VLOOKUP(A15,'2022_PAPI_Indicators'!A10:BK190,62,FALSE)</f>
        <v>1.0260127782821655</v>
      </c>
      <c r="BM15" s="137">
        <f>VLOOKUP(A15,'2022_PAPI_Indicators'!A10:BL190,63,FALSE)</f>
        <v>1.3811184167861938</v>
      </c>
      <c r="BN15" s="137">
        <f>VLOOKUP(A15,'2022_PAPI_Indicators'!A10:BM190,64,FALSE)</f>
        <v>1.0920784473419189</v>
      </c>
    </row>
    <row r="16" spans="1:66" x14ac:dyDescent="0.2">
      <c r="A16" s="70" t="s">
        <v>95</v>
      </c>
      <c r="B16" s="70" t="s">
        <v>452</v>
      </c>
      <c r="C16" s="89" t="s">
        <v>90</v>
      </c>
      <c r="D16" s="133">
        <f>VLOOKUP(A16,'2022_PAPI_Indicators'!A11:B191,2,)</f>
        <v>0.52566236257553101</v>
      </c>
      <c r="E16" s="133">
        <f>VLOOKUP(A16,'2022_PAPI_Indicators'!A11:C191,3,FALSE)</f>
        <v>0.48129656910896301</v>
      </c>
      <c r="F16" s="133">
        <f>VLOOKUP(A16,'2022_PAPI_Indicators'!A11:D191,4,FALSE)</f>
        <v>0.45272406935691833</v>
      </c>
      <c r="G16" s="133">
        <f>VLOOKUP(A16,'2022_PAPI_Indicators'!A11:E191,5,FALSE)</f>
        <v>0.51974356174468994</v>
      </c>
      <c r="H16" s="133">
        <f>VLOOKUP(A16,'2022_PAPI_Indicators'!A11:F191,6,FALSE)</f>
        <v>0.68701881170272827</v>
      </c>
      <c r="I16" s="133">
        <f>VLOOKUP(A16,'2022_PAPI_Indicators'!A11:G191,7,FALSE)</f>
        <v>0.50485867261886597</v>
      </c>
      <c r="J16" s="133">
        <f>VLOOKUP(A16,'2022_PAPI_Indicators'!A11:H191,8,FALSE)</f>
        <v>0.56712836027145386</v>
      </c>
      <c r="K16" s="133">
        <f>VLOOKUP(A16,'2022_PAPI_Indicators'!A11:I191,9,FALSE)</f>
        <v>0.46878966689109802</v>
      </c>
      <c r="L16" s="133">
        <f>VLOOKUP(A16,'2022_PAPI_Indicators'!A11:J191,10,FALSE)</f>
        <v>0.50693106651306152</v>
      </c>
      <c r="M16" s="133">
        <f>VLOOKUP(A16,'2022_PAPI_Indicators'!A11:K191,11,FALSE)</f>
        <v>0.69093894958496094</v>
      </c>
      <c r="N16" s="133">
        <f>VLOOKUP(A16,'2022_PAPI_Indicators'!A11:L191,12,FALSE)</f>
        <v>0.5513836145401001</v>
      </c>
      <c r="O16" s="133">
        <f>VLOOKUP(A16,'2022_PAPI_Indicators'!A11:M191,13,FALSE)</f>
        <v>0.65295714139938354</v>
      </c>
      <c r="P16" s="133">
        <f>VLOOKUP(A16,'2022_PAPI_Indicators'!A11:N191,14,FALSE)</f>
        <v>0.58380204439163208</v>
      </c>
      <c r="Q16" s="133">
        <f>VLOOKUP(A16,'2022_PAPI_Indicators'!A11:O191,15,FALSE)</f>
        <v>0.67091429233551025</v>
      </c>
      <c r="R16" s="135">
        <f>VLOOKUP(A16,'2022_PAPI_Indicators'!A11:P191,16,FALSE)</f>
        <v>0</v>
      </c>
      <c r="S16" s="133">
        <f>VLOOKUP(A16,'2022_PAPI_Indicators'!A11:R191,17,FALSE)</f>
        <v>0.59723258018493652</v>
      </c>
      <c r="T16" s="133">
        <f>VLOOKUP(A16,'2022_PAPI_Indicators'!A11:S191,18,FALSE)</f>
        <v>0.56564223766326904</v>
      </c>
      <c r="U16" s="135">
        <f>VLOOKUP(A16,'2022_PAPI_Indicators'!A11:T191,19,FALSE)</f>
        <v>0.53478014469146729</v>
      </c>
      <c r="V16" s="133">
        <f>VLOOKUP(A16,'2022_PAPI_Indicators'!A11:U191,20,FALSE)</f>
        <v>0.55125588178634644</v>
      </c>
      <c r="W16" s="133">
        <f>VLOOKUP(A16,'2022_PAPI_Indicators'!A11:V191,21,FALSE)</f>
        <v>0.51898491382598877</v>
      </c>
      <c r="X16" s="133">
        <f>VLOOKUP(A16,'2022_PAPI_Indicators'!A11:W191,22,FALSE)</f>
        <v>0.66233783960342407</v>
      </c>
      <c r="Y16" s="133">
        <f>VLOOKUP(A16,'2022_PAPI_Indicators'!A11:X191,23,FALSE)</f>
        <v>0.69022464752197266</v>
      </c>
      <c r="Z16" s="133">
        <f>VLOOKUP(A16,'2022_PAPI_Indicators'!A11:Y191,24,FALSE)</f>
        <v>0.45192742347717285</v>
      </c>
      <c r="AA16" s="133">
        <f>VLOOKUP(A16,'2022_PAPI_Indicators'!A11:Z191,25,FALSE)</f>
        <v>0.65854811668395996</v>
      </c>
      <c r="AB16" s="133">
        <f>VLOOKUP(A16,'2022_PAPI_Indicators'!A11:AA191,26,FALSE)</f>
        <v>0.55086159706115723</v>
      </c>
      <c r="AC16" s="133">
        <f>VLOOKUP(A16,'2022_PAPI_Indicators'!A11:AB191,27,FALSE)</f>
        <v>0.61385464668273926</v>
      </c>
      <c r="AD16" s="133">
        <f>VLOOKUP(A16,'2022_PAPI_Indicators'!A11:AC191,28,FALSE)</f>
        <v>0.67189449071884155</v>
      </c>
      <c r="AE16" s="133">
        <f>VLOOKUP(A16,'2022_PAPI_Indicators'!A11:AD191,29,FALSE)</f>
        <v>0.67384642362594604</v>
      </c>
      <c r="AF16" s="133">
        <f>VLOOKUP(A16,'2022_PAPI_Indicators'!A11:AE191,30,FALSE)</f>
        <v>0.44953349232673645</v>
      </c>
      <c r="AG16" s="133">
        <f>VLOOKUP(A16,'2022_PAPI_Indicators'!A11:AF191,31,FALSE)</f>
        <v>0.54843676090240479</v>
      </c>
      <c r="AH16" s="133">
        <f>VLOOKUP(A16,'2022_PAPI_Indicators'!A11:AG191,32,FALSE)</f>
        <v>0.65091663599014282</v>
      </c>
      <c r="AI16" s="133">
        <f>VLOOKUP(A16,'2022_PAPI_Indicators'!A11:AH191,33,FALSE)</f>
        <v>0.35081803798675537</v>
      </c>
      <c r="AJ16" s="133">
        <f>VLOOKUP(A16,'2022_PAPI_Indicators'!A11:AI191,34,FALSE)</f>
        <v>0.3107323944568634</v>
      </c>
      <c r="AK16" s="133">
        <f>VLOOKUP(A16,'2022_PAPI_Indicators'!A11:AJ191,35,FALSE)</f>
        <v>0.39753115177154541</v>
      </c>
      <c r="AL16" s="133">
        <f>VLOOKUP(A16,'2022_PAPI_Indicators'!A11:AK191,36,FALSE)</f>
        <v>0.37559840083122253</v>
      </c>
      <c r="AM16" s="133">
        <f>VLOOKUP(A16,'2022_PAPI_Indicators'!A11:AL191,37,FALSE)</f>
        <v>0.33180427551269531</v>
      </c>
      <c r="AN16" s="133">
        <f>VLOOKUP(A16,'2022_PAPI_Indicators'!A11:AM191,38,FALSE)</f>
        <v>0.4814186692237854</v>
      </c>
      <c r="AO16" s="133">
        <f>VLOOKUP(A16,'2022_PAPI_Indicators'!A11:AN191,39,FALSE)</f>
        <v>0.40470030903816223</v>
      </c>
      <c r="AP16" s="133">
        <f>VLOOKUP(A16,'2022_PAPI_Indicators'!A11:AO191,40,FALSE)</f>
        <v>0.38609644770622253</v>
      </c>
      <c r="AQ16" s="133">
        <f>VLOOKUP(A16,'2022_PAPI_Indicators'!A11:AP191,41,FALSE)</f>
        <v>0.3882199227809906</v>
      </c>
      <c r="AR16" s="133">
        <f>VLOOKUP(A16,'2022_PAPI_Indicators'!A11:AQ191,42,FALSE)</f>
        <v>0.54527056217193604</v>
      </c>
      <c r="AS16" s="133">
        <f>VLOOKUP(A16,'2022_PAPI_Indicators'!A11:AR191,43,FALSE)</f>
        <v>0.38720458745956421</v>
      </c>
      <c r="AT16" s="133">
        <f>VLOOKUP(A16,'2022_PAPI_Indicators'!A11:AS191,44,FALSE)</f>
        <v>0.42482137680053711</v>
      </c>
      <c r="AU16" s="133">
        <f>VLOOKUP(A16,'2022_PAPI_Indicators'!A11:AT191,45,FALSE)</f>
        <v>0.42008301615715027</v>
      </c>
      <c r="AV16" s="133">
        <f>VLOOKUP(A16,'2022_PAPI_Indicators'!A11:AU191,46,FALSE)</f>
        <v>0.47275978326797485</v>
      </c>
      <c r="AW16" s="133">
        <f>VLOOKUP(A16,'2022_PAPI_Indicators'!A11:AV191,47,FALSE)</f>
        <v>0.23596447706222534</v>
      </c>
      <c r="AX16" s="133">
        <f>VLOOKUP(A16,'2022_PAPI_Indicators'!A11:AW191,48,FALSE)</f>
        <v>0.34234365820884705</v>
      </c>
      <c r="AY16" s="133">
        <f>VLOOKUP(A16,'2022_PAPI_Indicators'!A11:AX191,49,FALSE)</f>
        <v>0.31424996256828308</v>
      </c>
      <c r="AZ16" s="133">
        <f>VLOOKUP(A16,'2022_PAPI_Indicators'!A11:AY191,50,FALSE)</f>
        <v>0.30161711573600769</v>
      </c>
      <c r="BA16" s="133">
        <f>VLOOKUP(A16,'2022_PAPI_Indicators'!A11:AZ191,51,FALSE)</f>
        <v>0.24093547463417053</v>
      </c>
      <c r="BB16" s="133">
        <f>VLOOKUP(A16,'2022_PAPI_Indicators'!A11:BA191,52,FALSE)</f>
        <v>0.17811302840709686</v>
      </c>
      <c r="BC16" s="133">
        <f>VLOOKUP(A16,'2022_PAPI_Indicators'!A11:BB191,53,FALSE)</f>
        <v>0.17473338544368744</v>
      </c>
      <c r="BD16" s="133">
        <f>VLOOKUP(A16,'2022_PAPI_Indicators'!A11:BC191,54,FALSE)</f>
        <v>0.37331843376159668</v>
      </c>
      <c r="BE16" s="133">
        <f>VLOOKUP(A16,'2022_PAPI_Indicators'!A11:BD191,55,FALSE)</f>
        <v>0.26923525333404541</v>
      </c>
      <c r="BF16" s="133">
        <f>VLOOKUP(A16,'2022_PAPI_Indicators'!A11:BE191,56,FALSE)</f>
        <v>0.3864627480506897</v>
      </c>
      <c r="BG16" s="133">
        <f>VLOOKUP(A16,'2022_PAPI_Indicators'!A11:BF191,57,FALSE)</f>
        <v>0.29203346371650696</v>
      </c>
      <c r="BH16" s="133">
        <f>VLOOKUP(A16,'2022_PAPI_Indicators'!A11:BG191,58,FALSE)</f>
        <v>0.18118789792060852</v>
      </c>
      <c r="BI16" s="133">
        <f>VLOOKUP(A16,'2022_PAPI_Indicators'!A11:BH191,59,FALSE)</f>
        <v>0.25242012739181519</v>
      </c>
      <c r="BJ16" s="133">
        <f>VLOOKUP(A16,'2022_PAPI_Indicators'!A11:BI191,60,FALSE)</f>
        <v>0.15665367245674133</v>
      </c>
      <c r="BK16" s="133">
        <f>VLOOKUP(A16,'2022_PAPI_Indicators'!A11:BJ191,61,FALSE)</f>
        <v>0.27813601493835449</v>
      </c>
      <c r="BL16" s="133">
        <f>VLOOKUP(A16,'2022_PAPI_Indicators'!A11:BK191,62,FALSE)</f>
        <v>0.25828972458839417</v>
      </c>
      <c r="BM16" s="133">
        <f>VLOOKUP(A16,'2022_PAPI_Indicators'!A11:BL191,63,FALSE)</f>
        <v>0.29723966121673584</v>
      </c>
      <c r="BN16" s="133">
        <f>VLOOKUP(A16,'2022_PAPI_Indicators'!A11:BM191,64,FALSE)</f>
        <v>0.39738056063652039</v>
      </c>
    </row>
    <row r="17" spans="1:66" x14ac:dyDescent="0.2">
      <c r="A17" s="70" t="s">
        <v>97</v>
      </c>
      <c r="B17" s="70" t="s">
        <v>453</v>
      </c>
      <c r="C17" s="89" t="s">
        <v>90</v>
      </c>
      <c r="D17" s="133">
        <f>VLOOKUP(A17,'2022_PAPI_Indicators'!A12:B192,2,)</f>
        <v>0.21529261767864227</v>
      </c>
      <c r="E17" s="133">
        <f>VLOOKUP(A17,'2022_PAPI_Indicators'!A12:C192,3,FALSE)</f>
        <v>0.14160050451755524</v>
      </c>
      <c r="F17" s="133">
        <f>VLOOKUP(A17,'2022_PAPI_Indicators'!A12:D192,4,FALSE)</f>
        <v>6.3408643007278442E-2</v>
      </c>
      <c r="G17" s="133">
        <f>VLOOKUP(A17,'2022_PAPI_Indicators'!A12:E192,5,FALSE)</f>
        <v>0.16764527559280396</v>
      </c>
      <c r="H17" s="133">
        <f>VLOOKUP(A17,'2022_PAPI_Indicators'!A12:F192,6,FALSE)</f>
        <v>0.18536883592605591</v>
      </c>
      <c r="I17" s="133">
        <f>VLOOKUP(A17,'2022_PAPI_Indicators'!A12:G192,7,FALSE)</f>
        <v>0.21418330073356628</v>
      </c>
      <c r="J17" s="133">
        <f>VLOOKUP(A17,'2022_PAPI_Indicators'!A12:H192,8,FALSE)</f>
        <v>0.1486513763666153</v>
      </c>
      <c r="K17" s="133">
        <f>VLOOKUP(A17,'2022_PAPI_Indicators'!A12:I192,9,FALSE)</f>
        <v>0.1083027720451355</v>
      </c>
      <c r="L17" s="133">
        <f>VLOOKUP(A17,'2022_PAPI_Indicators'!A12:J192,10,FALSE)</f>
        <v>0.11076121032238007</v>
      </c>
      <c r="M17" s="133">
        <f>VLOOKUP(A17,'2022_PAPI_Indicators'!A12:K192,11,FALSE)</f>
        <v>0.20469045639038086</v>
      </c>
      <c r="N17" s="133">
        <f>VLOOKUP(A17,'2022_PAPI_Indicators'!A12:L192,12,FALSE)</f>
        <v>0.14050678908824921</v>
      </c>
      <c r="O17" s="133">
        <f>VLOOKUP(A17,'2022_PAPI_Indicators'!A12:M192,13,FALSE)</f>
        <v>0.17394798994064331</v>
      </c>
      <c r="P17" s="133">
        <f>VLOOKUP(A17,'2022_PAPI_Indicators'!A12:N192,14,FALSE)</f>
        <v>0.15009549260139465</v>
      </c>
      <c r="Q17" s="133">
        <f>VLOOKUP(A17,'2022_PAPI_Indicators'!A12:O192,15,FALSE)</f>
        <v>0.28384074568748474</v>
      </c>
      <c r="R17" s="135">
        <f>VLOOKUP(A17,'2022_PAPI_Indicators'!A12:P192,16,FALSE)</f>
        <v>0</v>
      </c>
      <c r="S17" s="133">
        <f>VLOOKUP(A17,'2022_PAPI_Indicators'!A12:R192,17,FALSE)</f>
        <v>0.22493557631969452</v>
      </c>
      <c r="T17" s="133">
        <f>VLOOKUP(A17,'2022_PAPI_Indicators'!A12:S192,18,FALSE)</f>
        <v>0.17097297310829163</v>
      </c>
      <c r="U17" s="135">
        <f>VLOOKUP(A17,'2022_PAPI_Indicators'!A12:T192,19,FALSE)</f>
        <v>0.30540964007377625</v>
      </c>
      <c r="V17" s="133">
        <f>VLOOKUP(A17,'2022_PAPI_Indicators'!A12:U192,20,FALSE)</f>
        <v>0.15984135866165161</v>
      </c>
      <c r="W17" s="133">
        <f>VLOOKUP(A17,'2022_PAPI_Indicators'!A12:V192,21,FALSE)</f>
        <v>0.12693870067596436</v>
      </c>
      <c r="X17" s="133">
        <f>VLOOKUP(A17,'2022_PAPI_Indicators'!A12:W192,22,FALSE)</f>
        <v>0.22197172045707703</v>
      </c>
      <c r="Y17" s="133">
        <f>VLOOKUP(A17,'2022_PAPI_Indicators'!A12:X192,23,FALSE)</f>
        <v>0.10595744103193283</v>
      </c>
      <c r="Z17" s="133">
        <f>VLOOKUP(A17,'2022_PAPI_Indicators'!A12:Y192,24,FALSE)</f>
        <v>0.13277366757392883</v>
      </c>
      <c r="AA17" s="133">
        <f>VLOOKUP(A17,'2022_PAPI_Indicators'!A12:Z192,25,FALSE)</f>
        <v>0.24444712698459625</v>
      </c>
      <c r="AB17" s="133">
        <f>VLOOKUP(A17,'2022_PAPI_Indicators'!A12:AA192,26,FALSE)</f>
        <v>0.21257717907428741</v>
      </c>
      <c r="AC17" s="133">
        <f>VLOOKUP(A17,'2022_PAPI_Indicators'!A12:AB192,27,FALSE)</f>
        <v>0.23494346439838409</v>
      </c>
      <c r="AD17" s="133">
        <f>VLOOKUP(A17,'2022_PAPI_Indicators'!A12:AC192,28,FALSE)</f>
        <v>0.231697678565979</v>
      </c>
      <c r="AE17" s="133">
        <f>VLOOKUP(A17,'2022_PAPI_Indicators'!A12:AD192,29,FALSE)</f>
        <v>0.23831787705421448</v>
      </c>
      <c r="AF17" s="133">
        <f>VLOOKUP(A17,'2022_PAPI_Indicators'!A12:AE192,30,FALSE)</f>
        <v>0.2290547639131546</v>
      </c>
      <c r="AG17" s="133">
        <f>VLOOKUP(A17,'2022_PAPI_Indicators'!A12:AF192,31,FALSE)</f>
        <v>0.125</v>
      </c>
      <c r="AH17" s="133">
        <f>VLOOKUP(A17,'2022_PAPI_Indicators'!A12:AG192,32,FALSE)</f>
        <v>0.17572054266929626</v>
      </c>
      <c r="AI17" s="133">
        <f>VLOOKUP(A17,'2022_PAPI_Indicators'!A12:AH192,33,FALSE)</f>
        <v>0.10579033195972443</v>
      </c>
      <c r="AJ17" s="133">
        <f>VLOOKUP(A17,'2022_PAPI_Indicators'!A12:AI192,34,FALSE)</f>
        <v>0.10249673575162888</v>
      </c>
      <c r="AK17" s="133">
        <f>VLOOKUP(A17,'2022_PAPI_Indicators'!A12:AJ192,35,FALSE)</f>
        <v>9.4414383172988892E-2</v>
      </c>
      <c r="AL17" s="133">
        <f>VLOOKUP(A17,'2022_PAPI_Indicators'!A12:AK192,36,FALSE)</f>
        <v>6.8271555006504059E-2</v>
      </c>
      <c r="AM17" s="133">
        <f>VLOOKUP(A17,'2022_PAPI_Indicators'!A12:AL192,37,FALSE)</f>
        <v>0.125</v>
      </c>
      <c r="AN17" s="133">
        <f>VLOOKUP(A17,'2022_PAPI_Indicators'!A12:AM192,38,FALSE)</f>
        <v>8.5443250834941864E-2</v>
      </c>
      <c r="AO17" s="133">
        <f>VLOOKUP(A17,'2022_PAPI_Indicators'!A12:AN192,39,FALSE)</f>
        <v>9.2847071588039398E-2</v>
      </c>
      <c r="AP17" s="133">
        <f>VLOOKUP(A17,'2022_PAPI_Indicators'!A12:AO192,40,FALSE)</f>
        <v>8.0389268696308136E-2</v>
      </c>
      <c r="AQ17" s="133">
        <f>VLOOKUP(A17,'2022_PAPI_Indicators'!A12:AP192,41,FALSE)</f>
        <v>0.18305300176143646</v>
      </c>
      <c r="AR17" s="133">
        <f>VLOOKUP(A17,'2022_PAPI_Indicators'!A12:AQ192,42,FALSE)</f>
        <v>0.14197646081447601</v>
      </c>
      <c r="AS17" s="133">
        <f>VLOOKUP(A17,'2022_PAPI_Indicators'!A12:AR192,43,FALSE)</f>
        <v>4.7440119087696075E-2</v>
      </c>
      <c r="AT17" s="133">
        <f>VLOOKUP(A17,'2022_PAPI_Indicators'!A12:AS192,44,FALSE)</f>
        <v>0.12188565731048584</v>
      </c>
      <c r="AU17" s="133">
        <f>VLOOKUP(A17,'2022_PAPI_Indicators'!A12:AT192,45,FALSE)</f>
        <v>0.11246698349714279</v>
      </c>
      <c r="AV17" s="133">
        <f>VLOOKUP(A17,'2022_PAPI_Indicators'!A12:AU192,46,FALSE)</f>
        <v>0.10320074111223221</v>
      </c>
      <c r="AW17" s="133">
        <f>VLOOKUP(A17,'2022_PAPI_Indicators'!A12:AV192,47,FALSE)</f>
        <v>4.648975282907486E-2</v>
      </c>
      <c r="AX17" s="133">
        <f>VLOOKUP(A17,'2022_PAPI_Indicators'!A12:AW192,48,FALSE)</f>
        <v>0.11278020590543747</v>
      </c>
      <c r="AY17" s="133">
        <f>VLOOKUP(A17,'2022_PAPI_Indicators'!A12:AX192,49,FALSE)</f>
        <v>9.0927697718143463E-2</v>
      </c>
      <c r="AZ17" s="133">
        <f>VLOOKUP(A17,'2022_PAPI_Indicators'!A12:AY192,50,FALSE)</f>
        <v>0.1035693883895874</v>
      </c>
      <c r="BA17" s="133">
        <f>VLOOKUP(A17,'2022_PAPI_Indicators'!A12:AZ192,51,FALSE)</f>
        <v>6.6570714116096497E-2</v>
      </c>
      <c r="BB17" s="133">
        <f>VLOOKUP(A17,'2022_PAPI_Indicators'!A12:BA192,52,FALSE)</f>
        <v>5.0726983696222305E-2</v>
      </c>
      <c r="BC17" s="133">
        <f>VLOOKUP(A17,'2022_PAPI_Indicators'!A12:BB192,53,FALSE)</f>
        <v>7.4875973165035248E-2</v>
      </c>
      <c r="BD17" s="133">
        <f>VLOOKUP(A17,'2022_PAPI_Indicators'!A12:BC192,54,FALSE)</f>
        <v>0.12232926487922668</v>
      </c>
      <c r="BE17" s="133">
        <f>VLOOKUP(A17,'2022_PAPI_Indicators'!A12:BD192,55,FALSE)</f>
        <v>0.10454213619232178</v>
      </c>
      <c r="BF17" s="133">
        <f>VLOOKUP(A17,'2022_PAPI_Indicators'!A12:BE192,56,FALSE)</f>
        <v>0.1026880145072937</v>
      </c>
      <c r="BG17" s="133">
        <f>VLOOKUP(A17,'2022_PAPI_Indicators'!A12:BF192,57,FALSE)</f>
        <v>0.13069038093090057</v>
      </c>
      <c r="BH17" s="133">
        <f>VLOOKUP(A17,'2022_PAPI_Indicators'!A12:BG192,58,FALSE)</f>
        <v>0.12772396206855774</v>
      </c>
      <c r="BI17" s="133">
        <f>VLOOKUP(A17,'2022_PAPI_Indicators'!A12:BH192,59,FALSE)</f>
        <v>7.5922273099422455E-2</v>
      </c>
      <c r="BJ17" s="133">
        <f>VLOOKUP(A17,'2022_PAPI_Indicators'!A12:BI192,60,FALSE)</f>
        <v>0.18827076256275177</v>
      </c>
      <c r="BK17" s="133">
        <f>VLOOKUP(A17,'2022_PAPI_Indicators'!A12:BJ192,61,FALSE)</f>
        <v>0.1350475400686264</v>
      </c>
      <c r="BL17" s="133">
        <f>VLOOKUP(A17,'2022_PAPI_Indicators'!A12:BK192,62,FALSE)</f>
        <v>0.10149556398391724</v>
      </c>
      <c r="BM17" s="133">
        <f>VLOOKUP(A17,'2022_PAPI_Indicators'!A12:BL192,63,FALSE)</f>
        <v>0.12244928628206253</v>
      </c>
      <c r="BN17" s="133">
        <f>VLOOKUP(A17,'2022_PAPI_Indicators'!A12:BM192,64,FALSE)</f>
        <v>0.10049419850111008</v>
      </c>
    </row>
    <row r="18" spans="1:66" x14ac:dyDescent="0.2">
      <c r="A18" s="70" t="s">
        <v>99</v>
      </c>
      <c r="B18" s="70" t="s">
        <v>100</v>
      </c>
      <c r="C18" s="89" t="s">
        <v>90</v>
      </c>
      <c r="D18" s="133">
        <f>VLOOKUP(A18,'2022_PAPI_Indicators'!A13:B193,2,)</f>
        <v>0.74945217370986938</v>
      </c>
      <c r="E18" s="133">
        <f>VLOOKUP(A18,'2022_PAPI_Indicators'!A13:C193,3,FALSE)</f>
        <v>0.78490155935287476</v>
      </c>
      <c r="F18" s="133">
        <f>VLOOKUP(A18,'2022_PAPI_Indicators'!A13:D193,4,FALSE)</f>
        <v>0.7020648717880249</v>
      </c>
      <c r="G18" s="133">
        <f>VLOOKUP(A18,'2022_PAPI_Indicators'!A13:E193,5,FALSE)</f>
        <v>0.77806049585342407</v>
      </c>
      <c r="H18" s="133">
        <f>VLOOKUP(A18,'2022_PAPI_Indicators'!A13:F193,6,FALSE)</f>
        <v>0.57972806692123413</v>
      </c>
      <c r="I18" s="133">
        <f>VLOOKUP(A18,'2022_PAPI_Indicators'!A13:G193,7,FALSE)</f>
        <v>0.7112044095993042</v>
      </c>
      <c r="J18" s="133">
        <f>VLOOKUP(A18,'2022_PAPI_Indicators'!A13:H193,8,FALSE)</f>
        <v>0.57454067468643188</v>
      </c>
      <c r="K18" s="133">
        <f>VLOOKUP(A18,'2022_PAPI_Indicators'!A13:I193,9,FALSE)</f>
        <v>0.77319324016571045</v>
      </c>
      <c r="L18" s="133">
        <f>VLOOKUP(A18,'2022_PAPI_Indicators'!A13:J193,10,FALSE)</f>
        <v>0.75557577610015869</v>
      </c>
      <c r="M18" s="133">
        <f>VLOOKUP(A18,'2022_PAPI_Indicators'!A13:K193,11,FALSE)</f>
        <v>0.54948943853378296</v>
      </c>
      <c r="N18" s="133">
        <f>VLOOKUP(A18,'2022_PAPI_Indicators'!A13:L193,12,FALSE)</f>
        <v>0.75360602140426636</v>
      </c>
      <c r="O18" s="133">
        <f>VLOOKUP(A18,'2022_PAPI_Indicators'!A13:M193,13,FALSE)</f>
        <v>0.72394591569900513</v>
      </c>
      <c r="P18" s="133">
        <f>VLOOKUP(A18,'2022_PAPI_Indicators'!A13:N193,14,FALSE)</f>
        <v>0.82326102256774902</v>
      </c>
      <c r="Q18" s="133">
        <f>VLOOKUP(A18,'2022_PAPI_Indicators'!A13:O193,15,FALSE)</f>
        <v>0.77582472562789917</v>
      </c>
      <c r="R18" s="135">
        <f>VLOOKUP(A18,'2022_PAPI_Indicators'!A13:P193,16,FALSE)</f>
        <v>0</v>
      </c>
      <c r="S18" s="133">
        <f>VLOOKUP(A18,'2022_PAPI_Indicators'!A13:R193,17,FALSE)</f>
        <v>0.71761077642440796</v>
      </c>
      <c r="T18" s="133">
        <f>VLOOKUP(A18,'2022_PAPI_Indicators'!A13:S193,18,FALSE)</f>
        <v>0.799721360206604</v>
      </c>
      <c r="U18" s="135">
        <f>VLOOKUP(A18,'2022_PAPI_Indicators'!A13:T193,19,FALSE)</f>
        <v>0.80611944198608398</v>
      </c>
      <c r="V18" s="133">
        <f>VLOOKUP(A18,'2022_PAPI_Indicators'!A13:U193,20,FALSE)</f>
        <v>0.68382573127746582</v>
      </c>
      <c r="W18" s="133">
        <f>VLOOKUP(A18,'2022_PAPI_Indicators'!A13:V193,21,FALSE)</f>
        <v>0.57827544212341309</v>
      </c>
      <c r="X18" s="133">
        <f>VLOOKUP(A18,'2022_PAPI_Indicators'!A13:W193,22,FALSE)</f>
        <v>0.78605717420578003</v>
      </c>
      <c r="Y18" s="133">
        <f>VLOOKUP(A18,'2022_PAPI_Indicators'!A13:X193,23,FALSE)</f>
        <v>0.75141447782516479</v>
      </c>
      <c r="Z18" s="133">
        <f>VLOOKUP(A18,'2022_PAPI_Indicators'!A13:Y193,24,FALSE)</f>
        <v>0.81099420785903931</v>
      </c>
      <c r="AA18" s="133">
        <f>VLOOKUP(A18,'2022_PAPI_Indicators'!A13:Z193,25,FALSE)</f>
        <v>0.70796769857406616</v>
      </c>
      <c r="AB18" s="133">
        <f>VLOOKUP(A18,'2022_PAPI_Indicators'!A13:AA193,26,FALSE)</f>
        <v>0.66199976205825806</v>
      </c>
      <c r="AC18" s="133">
        <f>VLOOKUP(A18,'2022_PAPI_Indicators'!A13:AB193,27,FALSE)</f>
        <v>0.66692262887954712</v>
      </c>
      <c r="AD18" s="133">
        <f>VLOOKUP(A18,'2022_PAPI_Indicators'!A13:AC193,28,FALSE)</f>
        <v>0.8054613471031189</v>
      </c>
      <c r="AE18" s="133">
        <f>VLOOKUP(A18,'2022_PAPI_Indicators'!A13:AD193,29,FALSE)</f>
        <v>0.79755926132202148</v>
      </c>
      <c r="AF18" s="133">
        <f>VLOOKUP(A18,'2022_PAPI_Indicators'!A13:AE193,30,FALSE)</f>
        <v>0.58251774311065674</v>
      </c>
      <c r="AG18" s="133">
        <f>VLOOKUP(A18,'2022_PAPI_Indicators'!A13:AF193,31,FALSE)</f>
        <v>0.72376513481140137</v>
      </c>
      <c r="AH18" s="133">
        <f>VLOOKUP(A18,'2022_PAPI_Indicators'!A13:AG193,32,FALSE)</f>
        <v>0.6231081485748291</v>
      </c>
      <c r="AI18" s="133">
        <f>VLOOKUP(A18,'2022_PAPI_Indicators'!A13:AH193,33,FALSE)</f>
        <v>0.60801738500595093</v>
      </c>
      <c r="AJ18" s="133">
        <f>VLOOKUP(A18,'2022_PAPI_Indicators'!A13:AI193,34,FALSE)</f>
        <v>0.63452303409576416</v>
      </c>
      <c r="AK18" s="133">
        <f>VLOOKUP(A18,'2022_PAPI_Indicators'!A13:AJ193,35,FALSE)</f>
        <v>0.57710814476013184</v>
      </c>
      <c r="AL18" s="133">
        <f>VLOOKUP(A18,'2022_PAPI_Indicators'!A13:AK193,36,FALSE)</f>
        <v>0.72496795654296875</v>
      </c>
      <c r="AM18" s="133">
        <f>VLOOKUP(A18,'2022_PAPI_Indicators'!A13:AL193,37,FALSE)</f>
        <v>0.67858713865280151</v>
      </c>
      <c r="AN18" s="133">
        <f>VLOOKUP(A18,'2022_PAPI_Indicators'!A13:AM193,38,FALSE)</f>
        <v>0.57040071487426758</v>
      </c>
      <c r="AO18" s="133">
        <f>VLOOKUP(A18,'2022_PAPI_Indicators'!A13:AN193,39,FALSE)</f>
        <v>0.60393029451370239</v>
      </c>
      <c r="AP18" s="133">
        <f>VLOOKUP(A18,'2022_PAPI_Indicators'!A13:AO193,40,FALSE)</f>
        <v>0.61632484197616577</v>
      </c>
      <c r="AQ18" s="133">
        <f>VLOOKUP(A18,'2022_PAPI_Indicators'!A13:AP193,41,FALSE)</f>
        <v>0.60337746143341064</v>
      </c>
      <c r="AR18" s="133">
        <f>VLOOKUP(A18,'2022_PAPI_Indicators'!A13:AQ193,42,FALSE)</f>
        <v>0.71357142925262451</v>
      </c>
      <c r="AS18" s="133">
        <f>VLOOKUP(A18,'2022_PAPI_Indicators'!A13:AR193,43,FALSE)</f>
        <v>0.67906099557876587</v>
      </c>
      <c r="AT18" s="133">
        <f>VLOOKUP(A18,'2022_PAPI_Indicators'!A13:AS193,44,FALSE)</f>
        <v>0.66793531179428101</v>
      </c>
      <c r="AU18" s="133">
        <f>VLOOKUP(A18,'2022_PAPI_Indicators'!A13:AT193,45,FALSE)</f>
        <v>0.77918815612792969</v>
      </c>
      <c r="AV18" s="133">
        <f>VLOOKUP(A18,'2022_PAPI_Indicators'!A13:AU193,46,FALSE)</f>
        <v>0.57612454891204834</v>
      </c>
      <c r="AW18" s="133">
        <f>VLOOKUP(A18,'2022_PAPI_Indicators'!A13:AV193,47,FALSE)</f>
        <v>0.51796430349349976</v>
      </c>
      <c r="AX18" s="133">
        <f>VLOOKUP(A18,'2022_PAPI_Indicators'!A13:AW193,48,FALSE)</f>
        <v>0.51670730113983154</v>
      </c>
      <c r="AY18" s="133">
        <f>VLOOKUP(A18,'2022_PAPI_Indicators'!A13:AX193,49,FALSE)</f>
        <v>0.64657574892044067</v>
      </c>
      <c r="AZ18" s="133">
        <f>VLOOKUP(A18,'2022_PAPI_Indicators'!A13:AY193,50,FALSE)</f>
        <v>0.55870592594146729</v>
      </c>
      <c r="BA18" s="133">
        <f>VLOOKUP(A18,'2022_PAPI_Indicators'!A13:AZ193,51,FALSE)</f>
        <v>0.59736275672912598</v>
      </c>
      <c r="BB18" s="133">
        <f>VLOOKUP(A18,'2022_PAPI_Indicators'!A13:BA193,52,FALSE)</f>
        <v>0.50526750087738037</v>
      </c>
      <c r="BC18" s="133">
        <f>VLOOKUP(A18,'2022_PAPI_Indicators'!A13:BB193,53,FALSE)</f>
        <v>0.56855392456054688</v>
      </c>
      <c r="BD18" s="133">
        <f>VLOOKUP(A18,'2022_PAPI_Indicators'!A13:BC193,54,FALSE)</f>
        <v>0.48033282160758972</v>
      </c>
      <c r="BE18" s="133">
        <f>VLOOKUP(A18,'2022_PAPI_Indicators'!A13:BD193,55,FALSE)</f>
        <v>0.56879323720932007</v>
      </c>
      <c r="BF18" s="133">
        <f>VLOOKUP(A18,'2022_PAPI_Indicators'!A13:BE193,56,FALSE)</f>
        <v>0.47233474254608154</v>
      </c>
      <c r="BG18" s="133">
        <f>VLOOKUP(A18,'2022_PAPI_Indicators'!A13:BF193,57,FALSE)</f>
        <v>0.42368891835212708</v>
      </c>
      <c r="BH18" s="133">
        <f>VLOOKUP(A18,'2022_PAPI_Indicators'!A13:BG193,58,FALSE)</f>
        <v>0.53832972049713135</v>
      </c>
      <c r="BI18" s="133">
        <f>VLOOKUP(A18,'2022_PAPI_Indicators'!A13:BH193,59,FALSE)</f>
        <v>0.47403484582901001</v>
      </c>
      <c r="BJ18" s="133">
        <f>VLOOKUP(A18,'2022_PAPI_Indicators'!A13:BI193,60,FALSE)</f>
        <v>0.59213095903396606</v>
      </c>
      <c r="BK18" s="133">
        <f>VLOOKUP(A18,'2022_PAPI_Indicators'!A13:BJ193,61,FALSE)</f>
        <v>0.47905722260475159</v>
      </c>
      <c r="BL18" s="133">
        <f>VLOOKUP(A18,'2022_PAPI_Indicators'!A13:BK193,62,FALSE)</f>
        <v>0</v>
      </c>
      <c r="BM18" s="133">
        <f>VLOOKUP(A18,'2022_PAPI_Indicators'!A13:BL193,63,FALSE)</f>
        <v>0</v>
      </c>
      <c r="BN18" s="133">
        <f>VLOOKUP(A18,'2022_PAPI_Indicators'!A13:BM193,64,FALSE)</f>
        <v>0</v>
      </c>
    </row>
    <row r="19" spans="1:66" x14ac:dyDescent="0.2">
      <c r="A19" s="70" t="s">
        <v>101</v>
      </c>
      <c r="B19" s="70" t="s">
        <v>102</v>
      </c>
      <c r="C19" s="89" t="s">
        <v>90</v>
      </c>
      <c r="D19" s="133">
        <f>VLOOKUP(A19,'2022_PAPI_Indicators'!A14:B194,2,)</f>
        <v>0.74786281585693359</v>
      </c>
      <c r="E19" s="133">
        <f>VLOOKUP(A19,'2022_PAPI_Indicators'!A14:C194,3,FALSE)</f>
        <v>0.81020534038543701</v>
      </c>
      <c r="F19" s="133">
        <f>VLOOKUP(A19,'2022_PAPI_Indicators'!A14:D194,4,FALSE)</f>
        <v>0.65154463052749634</v>
      </c>
      <c r="G19" s="133">
        <f>VLOOKUP(A19,'2022_PAPI_Indicators'!A14:E194,5,FALSE)</f>
        <v>0.7971348762512207</v>
      </c>
      <c r="H19" s="133">
        <f>VLOOKUP(A19,'2022_PAPI_Indicators'!A14:F194,6,FALSE)</f>
        <v>0.640281081199646</v>
      </c>
      <c r="I19" s="133">
        <f>VLOOKUP(A19,'2022_PAPI_Indicators'!A14:G194,7,FALSE)</f>
        <v>0.63832634687423706</v>
      </c>
      <c r="J19" s="133">
        <f>VLOOKUP(A19,'2022_PAPI_Indicators'!A14:H194,8,FALSE)</f>
        <v>0.6530224084854126</v>
      </c>
      <c r="K19" s="133">
        <f>VLOOKUP(A19,'2022_PAPI_Indicators'!A14:I194,9,FALSE)</f>
        <v>0.68732178211212158</v>
      </c>
      <c r="L19" s="133">
        <f>VLOOKUP(A19,'2022_PAPI_Indicators'!A14:J194,10,FALSE)</f>
        <v>0.57294529676437378</v>
      </c>
      <c r="M19" s="133">
        <f>VLOOKUP(A19,'2022_PAPI_Indicators'!A14:K194,11,FALSE)</f>
        <v>0.63508313894271851</v>
      </c>
      <c r="N19" s="133">
        <f>VLOOKUP(A19,'2022_PAPI_Indicators'!A14:L194,12,FALSE)</f>
        <v>0.73902440071105957</v>
      </c>
      <c r="O19" s="133">
        <f>VLOOKUP(A19,'2022_PAPI_Indicators'!A14:M194,13,FALSE)</f>
        <v>0.70200347900390625</v>
      </c>
      <c r="P19" s="133">
        <f>VLOOKUP(A19,'2022_PAPI_Indicators'!A14:N194,14,FALSE)</f>
        <v>0.8723568320274353</v>
      </c>
      <c r="Q19" s="133">
        <f>VLOOKUP(A19,'2022_PAPI_Indicators'!A14:O194,15,FALSE)</f>
        <v>0.71905934810638428</v>
      </c>
      <c r="R19" s="135">
        <f>VLOOKUP(A19,'2022_PAPI_Indicators'!A14:P194,16,FALSE)</f>
        <v>0</v>
      </c>
      <c r="S19" s="133">
        <f>VLOOKUP(A19,'2022_PAPI_Indicators'!A14:R194,17,FALSE)</f>
        <v>0.66345316171646118</v>
      </c>
      <c r="T19" s="133">
        <f>VLOOKUP(A19,'2022_PAPI_Indicators'!A14:S194,18,FALSE)</f>
        <v>0.66774159669876099</v>
      </c>
      <c r="U19" s="135">
        <f>VLOOKUP(A19,'2022_PAPI_Indicators'!A14:T194,19,FALSE)</f>
        <v>0.66360032558441162</v>
      </c>
      <c r="V19" s="133">
        <f>VLOOKUP(A19,'2022_PAPI_Indicators'!A14:U194,20,FALSE)</f>
        <v>0.69982826709747314</v>
      </c>
      <c r="W19" s="133">
        <f>VLOOKUP(A19,'2022_PAPI_Indicators'!A14:V194,21,FALSE)</f>
        <v>0.63248181343078613</v>
      </c>
      <c r="X19" s="133">
        <f>VLOOKUP(A19,'2022_PAPI_Indicators'!A14:W194,22,FALSE)</f>
        <v>0.81698119640350342</v>
      </c>
      <c r="Y19" s="133">
        <f>VLOOKUP(A19,'2022_PAPI_Indicators'!A14:X194,23,FALSE)</f>
        <v>0.60431832075119019</v>
      </c>
      <c r="Z19" s="133">
        <f>VLOOKUP(A19,'2022_PAPI_Indicators'!A14:Y194,24,FALSE)</f>
        <v>0.78528416156768799</v>
      </c>
      <c r="AA19" s="133">
        <f>VLOOKUP(A19,'2022_PAPI_Indicators'!A14:Z194,25,FALSE)</f>
        <v>0.5956529974937439</v>
      </c>
      <c r="AB19" s="133">
        <f>VLOOKUP(A19,'2022_PAPI_Indicators'!A14:AA194,26,FALSE)</f>
        <v>0.62172561883926392</v>
      </c>
      <c r="AC19" s="133">
        <f>VLOOKUP(A19,'2022_PAPI_Indicators'!A14:AB194,27,FALSE)</f>
        <v>0.53379136323928833</v>
      </c>
      <c r="AD19" s="133">
        <f>VLOOKUP(A19,'2022_PAPI_Indicators'!A14:AC194,28,FALSE)</f>
        <v>0.62806379795074463</v>
      </c>
      <c r="AE19" s="133">
        <f>VLOOKUP(A19,'2022_PAPI_Indicators'!A14:AD194,29,FALSE)</f>
        <v>0.7345956563949585</v>
      </c>
      <c r="AF19" s="133">
        <f>VLOOKUP(A19,'2022_PAPI_Indicators'!A14:AE194,30,FALSE)</f>
        <v>0.53900277614593506</v>
      </c>
      <c r="AG19" s="133">
        <f>VLOOKUP(A19,'2022_PAPI_Indicators'!A14:AF194,31,FALSE)</f>
        <v>0.64591604471206665</v>
      </c>
      <c r="AH19" s="133">
        <f>VLOOKUP(A19,'2022_PAPI_Indicators'!A14:AG194,32,FALSE)</f>
        <v>0.5900646448135376</v>
      </c>
      <c r="AI19" s="133">
        <f>VLOOKUP(A19,'2022_PAPI_Indicators'!A14:AH194,33,FALSE)</f>
        <v>0.50648635625839233</v>
      </c>
      <c r="AJ19" s="133">
        <f>VLOOKUP(A19,'2022_PAPI_Indicators'!A14:AI194,34,FALSE)</f>
        <v>0.52722281217575073</v>
      </c>
      <c r="AK19" s="133">
        <f>VLOOKUP(A19,'2022_PAPI_Indicators'!A14:AJ194,35,FALSE)</f>
        <v>0.59253489971160889</v>
      </c>
      <c r="AL19" s="133">
        <f>VLOOKUP(A19,'2022_PAPI_Indicators'!A14:AK194,36,FALSE)</f>
        <v>0.7200162410736084</v>
      </c>
      <c r="AM19" s="133">
        <f>VLOOKUP(A19,'2022_PAPI_Indicators'!A14:AL194,37,FALSE)</f>
        <v>0.640330970287323</v>
      </c>
      <c r="AN19" s="133">
        <f>VLOOKUP(A19,'2022_PAPI_Indicators'!A14:AM194,38,FALSE)</f>
        <v>0.50780099630355835</v>
      </c>
      <c r="AO19" s="133">
        <f>VLOOKUP(A19,'2022_PAPI_Indicators'!A14:AN194,39,FALSE)</f>
        <v>0.58055680990219116</v>
      </c>
      <c r="AP19" s="133">
        <f>VLOOKUP(A19,'2022_PAPI_Indicators'!A14:AO194,40,FALSE)</f>
        <v>0.59338021278381348</v>
      </c>
      <c r="AQ19" s="133">
        <f>VLOOKUP(A19,'2022_PAPI_Indicators'!A14:AP194,41,FALSE)</f>
        <v>0.59001821279525757</v>
      </c>
      <c r="AR19" s="133">
        <f>VLOOKUP(A19,'2022_PAPI_Indicators'!A14:AQ194,42,FALSE)</f>
        <v>0.77508091926574707</v>
      </c>
      <c r="AS19" s="133">
        <f>VLOOKUP(A19,'2022_PAPI_Indicators'!A14:AR194,43,FALSE)</f>
        <v>0.60980206727981567</v>
      </c>
      <c r="AT19" s="133">
        <f>VLOOKUP(A19,'2022_PAPI_Indicators'!A14:AS194,44,FALSE)</f>
        <v>0.60837554931640625</v>
      </c>
      <c r="AU19" s="133">
        <f>VLOOKUP(A19,'2022_PAPI_Indicators'!A14:AT194,45,FALSE)</f>
        <v>0.79589575529098511</v>
      </c>
      <c r="AV19" s="133">
        <f>VLOOKUP(A19,'2022_PAPI_Indicators'!A14:AU194,46,FALSE)</f>
        <v>0.58272933959960938</v>
      </c>
      <c r="AW19" s="133">
        <f>VLOOKUP(A19,'2022_PAPI_Indicators'!A14:AV194,47,FALSE)</f>
        <v>0.5129774808883667</v>
      </c>
      <c r="AX19" s="133">
        <f>VLOOKUP(A19,'2022_PAPI_Indicators'!A14:AW194,48,FALSE)</f>
        <v>0.56269955635070801</v>
      </c>
      <c r="AY19" s="133">
        <f>VLOOKUP(A19,'2022_PAPI_Indicators'!A14:AX194,49,FALSE)</f>
        <v>0.58700370788574219</v>
      </c>
      <c r="AZ19" s="133">
        <f>VLOOKUP(A19,'2022_PAPI_Indicators'!A14:AY194,50,FALSE)</f>
        <v>0.44138121604919434</v>
      </c>
      <c r="BA19" s="133">
        <f>VLOOKUP(A19,'2022_PAPI_Indicators'!A14:AZ194,51,FALSE)</f>
        <v>0.49736574292182922</v>
      </c>
      <c r="BB19" s="133">
        <f>VLOOKUP(A19,'2022_PAPI_Indicators'!A14:BA194,52,FALSE)</f>
        <v>0.41325011849403381</v>
      </c>
      <c r="BC19" s="133">
        <f>VLOOKUP(A19,'2022_PAPI_Indicators'!A14:BB194,53,FALSE)</f>
        <v>0.47878551483154297</v>
      </c>
      <c r="BD19" s="133">
        <f>VLOOKUP(A19,'2022_PAPI_Indicators'!A14:BC194,54,FALSE)</f>
        <v>0.49789798259735107</v>
      </c>
      <c r="BE19" s="133">
        <f>VLOOKUP(A19,'2022_PAPI_Indicators'!A14:BD194,55,FALSE)</f>
        <v>0.59215062856674194</v>
      </c>
      <c r="BF19" s="133">
        <f>VLOOKUP(A19,'2022_PAPI_Indicators'!A14:BE194,56,FALSE)</f>
        <v>0.48060467839241028</v>
      </c>
      <c r="BG19" s="133">
        <f>VLOOKUP(A19,'2022_PAPI_Indicators'!A14:BF194,57,FALSE)</f>
        <v>0.40239909291267395</v>
      </c>
      <c r="BH19" s="133">
        <f>VLOOKUP(A19,'2022_PAPI_Indicators'!A14:BG194,58,FALSE)</f>
        <v>0.4556100070476532</v>
      </c>
      <c r="BI19" s="133">
        <f>VLOOKUP(A19,'2022_PAPI_Indicators'!A14:BH194,59,FALSE)</f>
        <v>0.55975407361984253</v>
      </c>
      <c r="BJ19" s="133">
        <f>VLOOKUP(A19,'2022_PAPI_Indicators'!A14:BI194,60,FALSE)</f>
        <v>0.657520592212677</v>
      </c>
      <c r="BK19" s="133">
        <f>VLOOKUP(A19,'2022_PAPI_Indicators'!A14:BJ194,61,FALSE)</f>
        <v>0.49570414423942566</v>
      </c>
      <c r="BL19" s="133">
        <f>VLOOKUP(A19,'2022_PAPI_Indicators'!A14:BK194,62,FALSE)</f>
        <v>0</v>
      </c>
      <c r="BM19" s="133">
        <f>VLOOKUP(A19,'2022_PAPI_Indicators'!A14:BL194,63,FALSE)</f>
        <v>0</v>
      </c>
      <c r="BN19" s="133">
        <f>VLOOKUP(A19,'2022_PAPI_Indicators'!A14:BM194,64,FALSE)</f>
        <v>0</v>
      </c>
    </row>
    <row r="20" spans="1:66" x14ac:dyDescent="0.2">
      <c r="A20" s="70" t="s">
        <v>103</v>
      </c>
      <c r="B20" s="70" t="s">
        <v>104</v>
      </c>
      <c r="C20" s="89" t="s">
        <v>90</v>
      </c>
      <c r="D20" s="133">
        <f>VLOOKUP(A20,'2022_PAPI_Indicators'!A15:B195,2,)</f>
        <v>0.86841863393783569</v>
      </c>
      <c r="E20" s="133">
        <f>VLOOKUP(A20,'2022_PAPI_Indicators'!A15:C195,3,FALSE)</f>
        <v>0.79100942611694336</v>
      </c>
      <c r="F20" s="133">
        <f>VLOOKUP(A20,'2022_PAPI_Indicators'!A15:D195,4,FALSE)</f>
        <v>0.79261016845703125</v>
      </c>
      <c r="G20" s="133">
        <f>VLOOKUP(A20,'2022_PAPI_Indicators'!A15:E195,5,FALSE)</f>
        <v>0.92215698957443237</v>
      </c>
      <c r="H20" s="133">
        <f>VLOOKUP(A20,'2022_PAPI_Indicators'!A15:F195,6,FALSE)</f>
        <v>0.87788784503936768</v>
      </c>
      <c r="I20" s="133">
        <f>VLOOKUP(A20,'2022_PAPI_Indicators'!A15:G195,7,FALSE)</f>
        <v>0.86809897422790527</v>
      </c>
      <c r="J20" s="133">
        <f>VLOOKUP(A20,'2022_PAPI_Indicators'!A15:H195,8,FALSE)</f>
        <v>0.86338818073272705</v>
      </c>
      <c r="K20" s="133">
        <f>VLOOKUP(A20,'2022_PAPI_Indicators'!A15:I195,9,FALSE)</f>
        <v>0.83012336492538452</v>
      </c>
      <c r="L20" s="133">
        <f>VLOOKUP(A20,'2022_PAPI_Indicators'!A15:J195,10,FALSE)</f>
        <v>0.83767026662826538</v>
      </c>
      <c r="M20" s="133">
        <f>VLOOKUP(A20,'2022_PAPI_Indicators'!A15:K195,11,FALSE)</f>
        <v>0.84792077541351318</v>
      </c>
      <c r="N20" s="133">
        <f>VLOOKUP(A20,'2022_PAPI_Indicators'!A15:L195,12,FALSE)</f>
        <v>0.7813035249710083</v>
      </c>
      <c r="O20" s="133">
        <f>VLOOKUP(A20,'2022_PAPI_Indicators'!A15:M195,13,FALSE)</f>
        <v>0.89617025852203369</v>
      </c>
      <c r="P20" s="133">
        <f>VLOOKUP(A20,'2022_PAPI_Indicators'!A15:N195,14,FALSE)</f>
        <v>0.88557583093643188</v>
      </c>
      <c r="Q20" s="133">
        <f>VLOOKUP(A20,'2022_PAPI_Indicators'!A15:O195,15,FALSE)</f>
        <v>0.95623272657394409</v>
      </c>
      <c r="R20" s="135">
        <f>VLOOKUP(A20,'2022_PAPI_Indicators'!A15:P195,16,FALSE)</f>
        <v>0</v>
      </c>
      <c r="S20" s="133">
        <f>VLOOKUP(A20,'2022_PAPI_Indicators'!A15:R195,17,FALSE)</f>
        <v>0.92063790559768677</v>
      </c>
      <c r="T20" s="133">
        <f>VLOOKUP(A20,'2022_PAPI_Indicators'!A15:S195,18,FALSE)</f>
        <v>0.91736865043640137</v>
      </c>
      <c r="U20" s="135">
        <f>VLOOKUP(A20,'2022_PAPI_Indicators'!A15:T195,19,FALSE)</f>
        <v>0.91506880521774292</v>
      </c>
      <c r="V20" s="133">
        <f>VLOOKUP(A20,'2022_PAPI_Indicators'!A15:U195,20,FALSE)</f>
        <v>0.89457482099533081</v>
      </c>
      <c r="W20" s="133">
        <f>VLOOKUP(A20,'2022_PAPI_Indicators'!A15:V195,21,FALSE)</f>
        <v>0.95623517036437988</v>
      </c>
      <c r="X20" s="133">
        <f>VLOOKUP(A20,'2022_PAPI_Indicators'!A15:W195,22,FALSE)</f>
        <v>0.84585517644882202</v>
      </c>
      <c r="Y20" s="133">
        <f>VLOOKUP(A20,'2022_PAPI_Indicators'!A15:X195,23,FALSE)</f>
        <v>0.93753015995025635</v>
      </c>
      <c r="Z20" s="133">
        <f>VLOOKUP(A20,'2022_PAPI_Indicators'!A15:Y195,24,FALSE)</f>
        <v>0.85152840614318848</v>
      </c>
      <c r="AA20" s="133">
        <f>VLOOKUP(A20,'2022_PAPI_Indicators'!A15:Z195,25,FALSE)</f>
        <v>0.8828510046005249</v>
      </c>
      <c r="AB20" s="133">
        <f>VLOOKUP(A20,'2022_PAPI_Indicators'!A15:AA195,26,FALSE)</f>
        <v>0.93203443288803101</v>
      </c>
      <c r="AC20" s="133">
        <f>VLOOKUP(A20,'2022_PAPI_Indicators'!A15:AB195,27,FALSE)</f>
        <v>0.91861081123352051</v>
      </c>
      <c r="AD20" s="133">
        <f>VLOOKUP(A20,'2022_PAPI_Indicators'!A15:AC195,28,FALSE)</f>
        <v>0.93023455142974854</v>
      </c>
      <c r="AE20" s="133">
        <f>VLOOKUP(A20,'2022_PAPI_Indicators'!A15:AD195,29,FALSE)</f>
        <v>0.89456784725189209</v>
      </c>
      <c r="AF20" s="133">
        <f>VLOOKUP(A20,'2022_PAPI_Indicators'!A15:AE195,30,FALSE)</f>
        <v>0.90103036165237427</v>
      </c>
      <c r="AG20" s="133">
        <f>VLOOKUP(A20,'2022_PAPI_Indicators'!A15:AF195,31,FALSE)</f>
        <v>0.86782675981521606</v>
      </c>
      <c r="AH20" s="133">
        <f>VLOOKUP(A20,'2022_PAPI_Indicators'!A15:AG195,32,FALSE)</f>
        <v>0.9066544771194458</v>
      </c>
      <c r="AI20" s="133">
        <f>VLOOKUP(A20,'2022_PAPI_Indicators'!A15:AH195,33,FALSE)</f>
        <v>0.88017266988754272</v>
      </c>
      <c r="AJ20" s="133">
        <f>VLOOKUP(A20,'2022_PAPI_Indicators'!A15:AI195,34,FALSE)</f>
        <v>0.91964417695999146</v>
      </c>
      <c r="AK20" s="133">
        <f>VLOOKUP(A20,'2022_PAPI_Indicators'!A15:AJ195,35,FALSE)</f>
        <v>0.85373198986053467</v>
      </c>
      <c r="AL20" s="133">
        <f>VLOOKUP(A20,'2022_PAPI_Indicators'!A15:AK195,36,FALSE)</f>
        <v>0.83606439828872681</v>
      </c>
      <c r="AM20" s="133">
        <f>VLOOKUP(A20,'2022_PAPI_Indicators'!A15:AL195,37,FALSE)</f>
        <v>0.80147171020507813</v>
      </c>
      <c r="AN20" s="133">
        <f>VLOOKUP(A20,'2022_PAPI_Indicators'!A15:AM195,38,FALSE)</f>
        <v>0.84614408016204834</v>
      </c>
      <c r="AO20" s="133">
        <f>VLOOKUP(A20,'2022_PAPI_Indicators'!A15:AN195,39,FALSE)</f>
        <v>0.85885632038116455</v>
      </c>
      <c r="AP20" s="133">
        <f>VLOOKUP(A20,'2022_PAPI_Indicators'!A15:AO195,40,FALSE)</f>
        <v>0.85326123237609863</v>
      </c>
      <c r="AQ20" s="133">
        <f>VLOOKUP(A20,'2022_PAPI_Indicators'!A15:AP195,41,FALSE)</f>
        <v>0.87643986940383911</v>
      </c>
      <c r="AR20" s="133">
        <f>VLOOKUP(A20,'2022_PAPI_Indicators'!A15:AQ195,42,FALSE)</f>
        <v>0.88775342702865601</v>
      </c>
      <c r="AS20" s="133">
        <f>VLOOKUP(A20,'2022_PAPI_Indicators'!A15:AR195,43,FALSE)</f>
        <v>0.86428683996200562</v>
      </c>
      <c r="AT20" s="133">
        <f>VLOOKUP(A20,'2022_PAPI_Indicators'!A15:AS195,44,FALSE)</f>
        <v>0.83208423852920532</v>
      </c>
      <c r="AU20" s="133">
        <f>VLOOKUP(A20,'2022_PAPI_Indicators'!A15:AT195,45,FALSE)</f>
        <v>0.79304695129394531</v>
      </c>
      <c r="AV20" s="133">
        <f>VLOOKUP(A20,'2022_PAPI_Indicators'!A15:AU195,46,FALSE)</f>
        <v>0.83342790603637695</v>
      </c>
      <c r="AW20" s="133">
        <f>VLOOKUP(A20,'2022_PAPI_Indicators'!A15:AV195,47,FALSE)</f>
        <v>0.76661068201065063</v>
      </c>
      <c r="AX20" s="133">
        <f>VLOOKUP(A20,'2022_PAPI_Indicators'!A15:AW195,48,FALSE)</f>
        <v>0.88706272840499878</v>
      </c>
      <c r="AY20" s="133">
        <f>VLOOKUP(A20,'2022_PAPI_Indicators'!A15:AX195,49,FALSE)</f>
        <v>0.74251306056976318</v>
      </c>
      <c r="AZ20" s="133">
        <f>VLOOKUP(A20,'2022_PAPI_Indicators'!A15:AY195,50,FALSE)</f>
        <v>0.79556155204772949</v>
      </c>
      <c r="BA20" s="133">
        <f>VLOOKUP(A20,'2022_PAPI_Indicators'!A15:AZ195,51,FALSE)</f>
        <v>0.64379507303237915</v>
      </c>
      <c r="BB20" s="133">
        <f>VLOOKUP(A20,'2022_PAPI_Indicators'!A15:BA195,52,FALSE)</f>
        <v>0.72860729694366455</v>
      </c>
      <c r="BC20" s="133">
        <f>VLOOKUP(A20,'2022_PAPI_Indicators'!A15:BB195,53,FALSE)</f>
        <v>0.78942537307739258</v>
      </c>
      <c r="BD20" s="133">
        <f>VLOOKUP(A20,'2022_PAPI_Indicators'!A15:BC195,54,FALSE)</f>
        <v>0.7408212423324585</v>
      </c>
      <c r="BE20" s="133">
        <f>VLOOKUP(A20,'2022_PAPI_Indicators'!A15:BD195,55,FALSE)</f>
        <v>0.79280751943588257</v>
      </c>
      <c r="BF20" s="133">
        <f>VLOOKUP(A20,'2022_PAPI_Indicators'!A15:BE195,56,FALSE)</f>
        <v>0.84337717294692993</v>
      </c>
      <c r="BG20" s="133">
        <f>VLOOKUP(A20,'2022_PAPI_Indicators'!A15:BF195,57,FALSE)</f>
        <v>0.73692154884338379</v>
      </c>
      <c r="BH20" s="133">
        <f>VLOOKUP(A20,'2022_PAPI_Indicators'!A15:BG195,58,FALSE)</f>
        <v>0.81287127733230591</v>
      </c>
      <c r="BI20" s="133">
        <f>VLOOKUP(A20,'2022_PAPI_Indicators'!A15:BH195,59,FALSE)</f>
        <v>0.74273955821990967</v>
      </c>
      <c r="BJ20" s="133">
        <f>VLOOKUP(A20,'2022_PAPI_Indicators'!A15:BI195,60,FALSE)</f>
        <v>0.79330426454544067</v>
      </c>
      <c r="BK20" s="133">
        <f>VLOOKUP(A20,'2022_PAPI_Indicators'!A15:BJ195,61,FALSE)</f>
        <v>0.76446980237960815</v>
      </c>
      <c r="BL20" s="133">
        <f>VLOOKUP(A20,'2022_PAPI_Indicators'!A15:BK195,62,FALSE)</f>
        <v>0.78372502326965332</v>
      </c>
      <c r="BM20" s="133">
        <f>VLOOKUP(A20,'2022_PAPI_Indicators'!A15:BL195,63,FALSE)</f>
        <v>0.87556231021881104</v>
      </c>
      <c r="BN20" s="133">
        <f>VLOOKUP(A20,'2022_PAPI_Indicators'!A15:BM195,64,FALSE)</f>
        <v>0.77537405490875244</v>
      </c>
    </row>
    <row r="21" spans="1:66" x14ac:dyDescent="0.2">
      <c r="A21" s="70" t="s">
        <v>105</v>
      </c>
      <c r="B21" s="70" t="s">
        <v>106</v>
      </c>
      <c r="C21" s="89" t="s">
        <v>90</v>
      </c>
      <c r="D21" s="133">
        <f>VLOOKUP(A21,'2022_PAPI_Indicators'!A16:B196,2,)</f>
        <v>0.66519659757614136</v>
      </c>
      <c r="E21" s="133">
        <f>VLOOKUP(A21,'2022_PAPI_Indicators'!A16:C196,3,FALSE)</f>
        <v>0.63672322034835815</v>
      </c>
      <c r="F21" s="133">
        <f>VLOOKUP(A21,'2022_PAPI_Indicators'!A16:D196,4,FALSE)</f>
        <v>0.75196129083633423</v>
      </c>
      <c r="G21" s="133">
        <f>VLOOKUP(A21,'2022_PAPI_Indicators'!A16:E196,5,FALSE)</f>
        <v>0.62307429313659668</v>
      </c>
      <c r="H21" s="133">
        <f>VLOOKUP(A21,'2022_PAPI_Indicators'!A16:F196,6,FALSE)</f>
        <v>0.56721341609954834</v>
      </c>
      <c r="I21" s="133">
        <f>VLOOKUP(A21,'2022_PAPI_Indicators'!A16:G196,7,FALSE)</f>
        <v>0.65176492929458618</v>
      </c>
      <c r="J21" s="133">
        <f>VLOOKUP(A21,'2022_PAPI_Indicators'!A16:H196,8,FALSE)</f>
        <v>0.70107913017272949</v>
      </c>
      <c r="K21" s="133">
        <f>VLOOKUP(A21,'2022_PAPI_Indicators'!A16:I196,9,FALSE)</f>
        <v>0.7829059362411499</v>
      </c>
      <c r="L21" s="133">
        <f>VLOOKUP(A21,'2022_PAPI_Indicators'!A16:J196,10,FALSE)</f>
        <v>0.64704716205596924</v>
      </c>
      <c r="M21" s="133">
        <f>VLOOKUP(A21,'2022_PAPI_Indicators'!A16:K196,11,FALSE)</f>
        <v>0.64127576351165771</v>
      </c>
      <c r="N21" s="133">
        <f>VLOOKUP(A21,'2022_PAPI_Indicators'!A16:L196,12,FALSE)</f>
        <v>0.60073399543762207</v>
      </c>
      <c r="O21" s="133">
        <f>VLOOKUP(A21,'2022_PAPI_Indicators'!A16:M196,13,FALSE)</f>
        <v>0.60382378101348877</v>
      </c>
      <c r="P21" s="133">
        <f>VLOOKUP(A21,'2022_PAPI_Indicators'!A16:N196,14,FALSE)</f>
        <v>0.69285917282104492</v>
      </c>
      <c r="Q21" s="133">
        <f>VLOOKUP(A21,'2022_PAPI_Indicators'!A16:O196,15,FALSE)</f>
        <v>0.69863998889923096</v>
      </c>
      <c r="R21" s="135">
        <f>VLOOKUP(A21,'2022_PAPI_Indicators'!A16:P196,16,FALSE)</f>
        <v>0</v>
      </c>
      <c r="S21" s="133">
        <f>VLOOKUP(A21,'2022_PAPI_Indicators'!A16:R196,17,FALSE)</f>
        <v>0.53766196966171265</v>
      </c>
      <c r="T21" s="133">
        <f>VLOOKUP(A21,'2022_PAPI_Indicators'!A16:S196,18,FALSE)</f>
        <v>0.72016352415084839</v>
      </c>
      <c r="U21" s="135">
        <f>VLOOKUP(A21,'2022_PAPI_Indicators'!A16:T196,19,FALSE)</f>
        <v>0.77022594213485718</v>
      </c>
      <c r="V21" s="133">
        <f>VLOOKUP(A21,'2022_PAPI_Indicators'!A16:U196,20,FALSE)</f>
        <v>0.66666668653488159</v>
      </c>
      <c r="W21" s="133">
        <f>VLOOKUP(A21,'2022_PAPI_Indicators'!A16:V196,21,FALSE)</f>
        <v>0.64929252862930298</v>
      </c>
      <c r="X21" s="133">
        <f>VLOOKUP(A21,'2022_PAPI_Indicators'!A16:W196,22,FALSE)</f>
        <v>0.67914336919784546</v>
      </c>
      <c r="Y21" s="133">
        <f>VLOOKUP(A21,'2022_PAPI_Indicators'!A16:X196,23,FALSE)</f>
        <v>0.74724221229553223</v>
      </c>
      <c r="Z21" s="133">
        <f>VLOOKUP(A21,'2022_PAPI_Indicators'!A16:Y196,24,FALSE)</f>
        <v>0.63288187980651855</v>
      </c>
      <c r="AA21" s="133">
        <f>VLOOKUP(A21,'2022_PAPI_Indicators'!A16:Z196,25,FALSE)</f>
        <v>0.64689916372299194</v>
      </c>
      <c r="AB21" s="133">
        <f>VLOOKUP(A21,'2022_PAPI_Indicators'!A16:AA196,26,FALSE)</f>
        <v>0.64767730236053467</v>
      </c>
      <c r="AC21" s="133">
        <f>VLOOKUP(A21,'2022_PAPI_Indicators'!A16:AB196,27,FALSE)</f>
        <v>0.68651551008224487</v>
      </c>
      <c r="AD21" s="133">
        <f>VLOOKUP(A21,'2022_PAPI_Indicators'!A16:AC196,28,FALSE)</f>
        <v>0.70454365015029907</v>
      </c>
      <c r="AE21" s="133">
        <f>VLOOKUP(A21,'2022_PAPI_Indicators'!A16:AD196,29,FALSE)</f>
        <v>0.60355722904205322</v>
      </c>
      <c r="AF21" s="133">
        <f>VLOOKUP(A21,'2022_PAPI_Indicators'!A16:AE196,30,FALSE)</f>
        <v>0.61232644319534302</v>
      </c>
      <c r="AG21" s="133">
        <f>VLOOKUP(A21,'2022_PAPI_Indicators'!A16:AF196,31,FALSE)</f>
        <v>0.68768888711929321</v>
      </c>
      <c r="AH21" s="133">
        <f>VLOOKUP(A21,'2022_PAPI_Indicators'!A16:AG196,32,FALSE)</f>
        <v>0.65703439712524414</v>
      </c>
      <c r="AI21" s="133">
        <f>VLOOKUP(A21,'2022_PAPI_Indicators'!A16:AH196,33,FALSE)</f>
        <v>0.5623319149017334</v>
      </c>
      <c r="AJ21" s="133">
        <f>VLOOKUP(A21,'2022_PAPI_Indicators'!A16:AI196,34,FALSE)</f>
        <v>0.6818615198135376</v>
      </c>
      <c r="AK21" s="133">
        <f>VLOOKUP(A21,'2022_PAPI_Indicators'!A16:AJ196,35,FALSE)</f>
        <v>0.73341280221939087</v>
      </c>
      <c r="AL21" s="133">
        <f>VLOOKUP(A21,'2022_PAPI_Indicators'!A16:AK196,36,FALSE)</f>
        <v>0.72657406330108643</v>
      </c>
      <c r="AM21" s="133">
        <f>VLOOKUP(A21,'2022_PAPI_Indicators'!A16:AL196,37,FALSE)</f>
        <v>0.69053477048873901</v>
      </c>
      <c r="AN21" s="133">
        <f>VLOOKUP(A21,'2022_PAPI_Indicators'!A16:AM196,38,FALSE)</f>
        <v>0.56208455562591553</v>
      </c>
      <c r="AO21" s="133">
        <f>VLOOKUP(A21,'2022_PAPI_Indicators'!A16:AN196,39,FALSE)</f>
        <v>0.73108965158462524</v>
      </c>
      <c r="AP21" s="133">
        <f>VLOOKUP(A21,'2022_PAPI_Indicators'!A16:AO196,40,FALSE)</f>
        <v>0.8075869083404541</v>
      </c>
      <c r="AQ21" s="133">
        <f>VLOOKUP(A21,'2022_PAPI_Indicators'!A16:AP196,41,FALSE)</f>
        <v>0.69507920742034912</v>
      </c>
      <c r="AR21" s="133">
        <f>VLOOKUP(A21,'2022_PAPI_Indicators'!A16:AQ196,42,FALSE)</f>
        <v>0.6075434684753418</v>
      </c>
      <c r="AS21" s="133">
        <f>VLOOKUP(A21,'2022_PAPI_Indicators'!A16:AR196,43,FALSE)</f>
        <v>0.58688431978225708</v>
      </c>
      <c r="AT21" s="133">
        <f>VLOOKUP(A21,'2022_PAPI_Indicators'!A16:AS196,44,FALSE)</f>
        <v>0.64359015226364136</v>
      </c>
      <c r="AU21" s="133">
        <f>VLOOKUP(A21,'2022_PAPI_Indicators'!A16:AT196,45,FALSE)</f>
        <v>0.76414096355438232</v>
      </c>
      <c r="AV21" s="133">
        <f>VLOOKUP(A21,'2022_PAPI_Indicators'!A16:AU196,46,FALSE)</f>
        <v>0.65574705600738525</v>
      </c>
      <c r="AW21" s="133">
        <f>VLOOKUP(A21,'2022_PAPI_Indicators'!A16:AV196,47,FALSE)</f>
        <v>0.72671622037887573</v>
      </c>
      <c r="AX21" s="133">
        <f>VLOOKUP(A21,'2022_PAPI_Indicators'!A16:AW196,48,FALSE)</f>
        <v>0.76275360584259033</v>
      </c>
      <c r="AY21" s="133">
        <f>VLOOKUP(A21,'2022_PAPI_Indicators'!A16:AX196,49,FALSE)</f>
        <v>0.70866477489471436</v>
      </c>
      <c r="AZ21" s="133">
        <f>VLOOKUP(A21,'2022_PAPI_Indicators'!A16:AY196,50,FALSE)</f>
        <v>0.73915892839431763</v>
      </c>
      <c r="BA21" s="133">
        <f>VLOOKUP(A21,'2022_PAPI_Indicators'!A16:AZ196,51,FALSE)</f>
        <v>0.74930495023727417</v>
      </c>
      <c r="BB21" s="133">
        <f>VLOOKUP(A21,'2022_PAPI_Indicators'!A16:BA196,52,FALSE)</f>
        <v>0.71157586574554443</v>
      </c>
      <c r="BC21" s="133">
        <f>VLOOKUP(A21,'2022_PAPI_Indicators'!A16:BB196,53,FALSE)</f>
        <v>0.56058335304260254</v>
      </c>
      <c r="BD21" s="133">
        <f>VLOOKUP(A21,'2022_PAPI_Indicators'!A16:BC196,54,FALSE)</f>
        <v>0.63682317733764648</v>
      </c>
      <c r="BE21" s="133">
        <f>VLOOKUP(A21,'2022_PAPI_Indicators'!A16:BD196,55,FALSE)</f>
        <v>0.65179085731506348</v>
      </c>
      <c r="BF21" s="133">
        <f>VLOOKUP(A21,'2022_PAPI_Indicators'!A16:BE196,56,FALSE)</f>
        <v>0.65227454900741577</v>
      </c>
      <c r="BG21" s="133">
        <f>VLOOKUP(A21,'2022_PAPI_Indicators'!A16:BF196,57,FALSE)</f>
        <v>0.49787572026252747</v>
      </c>
      <c r="BH21" s="133">
        <f>VLOOKUP(A21,'2022_PAPI_Indicators'!A16:BG196,58,FALSE)</f>
        <v>0.61846923828125</v>
      </c>
      <c r="BI21" s="133">
        <f>VLOOKUP(A21,'2022_PAPI_Indicators'!A16:BH196,59,FALSE)</f>
        <v>0.70756250619888306</v>
      </c>
      <c r="BJ21" s="133">
        <f>VLOOKUP(A21,'2022_PAPI_Indicators'!A16:BI196,60,FALSE)</f>
        <v>0.64835351705551147</v>
      </c>
      <c r="BK21" s="133">
        <f>VLOOKUP(A21,'2022_PAPI_Indicators'!A16:BJ196,61,FALSE)</f>
        <v>0.62529921531677246</v>
      </c>
      <c r="BL21" s="133">
        <f>VLOOKUP(A21,'2022_PAPI_Indicators'!A16:BK196,62,FALSE)</f>
        <v>0.46180751919746399</v>
      </c>
      <c r="BM21" s="133">
        <f>VLOOKUP(A21,'2022_PAPI_Indicators'!A16:BL196,63,FALSE)</f>
        <v>0.76559585332870483</v>
      </c>
      <c r="BN21" s="133">
        <f>VLOOKUP(A21,'2022_PAPI_Indicators'!A16:BM196,64,FALSE)</f>
        <v>0.62808263301849365</v>
      </c>
    </row>
    <row r="22" spans="1:66" s="77" customFormat="1" x14ac:dyDescent="0.2">
      <c r="A22" s="77" t="s">
        <v>107</v>
      </c>
      <c r="B22" s="77" t="s">
        <v>108</v>
      </c>
      <c r="C22" s="92" t="s">
        <v>448</v>
      </c>
      <c r="D22" s="131">
        <v>1.57</v>
      </c>
      <c r="E22" s="138">
        <v>1.4906291961669922</v>
      </c>
      <c r="F22" s="138">
        <v>1.3542999029159546</v>
      </c>
      <c r="G22" s="138">
        <v>1.5870527029037476</v>
      </c>
      <c r="H22" s="138">
        <v>1.6415494680404663</v>
      </c>
      <c r="I22" s="138">
        <v>1.5213792324066162</v>
      </c>
      <c r="J22" s="138">
        <v>1.5614796876907349</v>
      </c>
      <c r="K22" s="138">
        <v>1.657256007194519</v>
      </c>
      <c r="L22" s="138">
        <v>1.5888326168060303</v>
      </c>
      <c r="M22" s="138">
        <v>1.5982706546783447</v>
      </c>
      <c r="N22" s="138">
        <v>1.6678363084793091</v>
      </c>
      <c r="O22" s="138">
        <v>1.5258307456970215</v>
      </c>
      <c r="P22" s="138">
        <v>1.6278514862060547</v>
      </c>
      <c r="Q22" s="138">
        <v>1.6884691715240479</v>
      </c>
      <c r="R22" s="132">
        <v>0</v>
      </c>
      <c r="S22" s="138">
        <v>1.6228774785995483</v>
      </c>
      <c r="T22" s="138">
        <v>1.5597567558288574</v>
      </c>
      <c r="U22" s="139">
        <v>1.5488507747650146</v>
      </c>
      <c r="V22" s="138">
        <v>1.4370353221893311</v>
      </c>
      <c r="W22" s="138">
        <v>1.7062480449676514</v>
      </c>
      <c r="X22" s="138">
        <v>1.463469386100769</v>
      </c>
      <c r="Y22" s="138">
        <v>1.6134048700332642</v>
      </c>
      <c r="Z22" s="138">
        <v>1.5275014638900757</v>
      </c>
      <c r="AA22" s="138">
        <v>1.7182655334472656</v>
      </c>
      <c r="AB22" s="138">
        <v>1.8106496334075928</v>
      </c>
      <c r="AC22" s="138">
        <v>1.6811701059341431</v>
      </c>
      <c r="AD22" s="138">
        <v>1.6509941816329956</v>
      </c>
      <c r="AE22" s="138">
        <v>1.5570337772369385</v>
      </c>
      <c r="AF22" s="138">
        <v>1.5893121957778931</v>
      </c>
      <c r="AG22" s="138">
        <v>1.5230404138565063</v>
      </c>
      <c r="AH22" s="138">
        <v>1.6185718774795532</v>
      </c>
      <c r="AI22" s="138">
        <v>1.518226146697998</v>
      </c>
      <c r="AJ22" s="138">
        <v>1.5303782224655151</v>
      </c>
      <c r="AK22" s="138">
        <v>1.535237193107605</v>
      </c>
      <c r="AL22" s="138">
        <v>1.2414790391921997</v>
      </c>
      <c r="AM22" s="138">
        <v>1.3686321973800659</v>
      </c>
      <c r="AN22" s="138">
        <v>1.4414080381393433</v>
      </c>
      <c r="AO22" s="138">
        <v>1.4235345125198364</v>
      </c>
      <c r="AP22" s="138">
        <v>1.4136414527893066</v>
      </c>
      <c r="AQ22" s="138">
        <v>1.4477218389511108</v>
      </c>
      <c r="AR22" s="138">
        <v>1.6083517074584961</v>
      </c>
      <c r="AS22" s="138">
        <v>1.4718841314315796</v>
      </c>
      <c r="AT22" s="138">
        <v>1.4108942747116089</v>
      </c>
      <c r="AU22" s="138">
        <v>1.5181446075439453</v>
      </c>
      <c r="AV22" s="138">
        <v>1.5657416582107544</v>
      </c>
      <c r="AW22" s="138">
        <v>1.320792555809021</v>
      </c>
      <c r="AX22" s="138">
        <v>1.5259820222854614</v>
      </c>
      <c r="AY22" s="138">
        <v>1.3610219955444336</v>
      </c>
      <c r="AZ22" s="138">
        <v>1.4413326978683472</v>
      </c>
      <c r="BA22" s="138">
        <v>1.3544250726699829</v>
      </c>
      <c r="BB22" s="138">
        <v>1.3185577392578125</v>
      </c>
      <c r="BC22" s="138">
        <v>1.1143624782562256</v>
      </c>
      <c r="BD22" s="138">
        <v>1.1160730123519897</v>
      </c>
      <c r="BE22" s="138">
        <v>1.3639845848083496</v>
      </c>
      <c r="BF22" s="138">
        <v>1.2757531404495239</v>
      </c>
      <c r="BG22" s="138">
        <v>1.5323896408081055</v>
      </c>
      <c r="BH22" s="138">
        <v>1.3957666158676147</v>
      </c>
      <c r="BI22" s="138">
        <v>1.1265089511871338</v>
      </c>
      <c r="BJ22" s="138">
        <v>1.0979491472244263</v>
      </c>
      <c r="BK22" s="138">
        <v>1.2464674711227417</v>
      </c>
      <c r="BL22" s="138">
        <v>1.3379437923431396</v>
      </c>
      <c r="BM22" s="138">
        <v>1.2676732540130615</v>
      </c>
      <c r="BN22" s="138">
        <v>1.3707789182662964</v>
      </c>
    </row>
    <row r="23" spans="1:66" x14ac:dyDescent="0.2">
      <c r="A23" s="70" t="s">
        <v>109</v>
      </c>
      <c r="B23" s="70" t="s">
        <v>110</v>
      </c>
      <c r="C23" s="89" t="s">
        <v>90</v>
      </c>
      <c r="D23" s="133">
        <f>VLOOKUP(A23,'2022_PAPI_Indicators'!A18:B198,2,)</f>
        <v>0.47496506571769714</v>
      </c>
      <c r="E23" s="133">
        <f>VLOOKUP(A23,'2022_PAPI_Indicators'!A18:C198,3,FALSE)</f>
        <v>0.34724214673042297</v>
      </c>
      <c r="F23" s="133">
        <f>VLOOKUP(A23,'2022_PAPI_Indicators'!A18:D198,4,FALSE)</f>
        <v>0.28284242749214172</v>
      </c>
      <c r="G23" s="133">
        <f>VLOOKUP(A23,'2022_PAPI_Indicators'!A18:E198,5,FALSE)</f>
        <v>0.56758052110671997</v>
      </c>
      <c r="H23" s="133">
        <f>VLOOKUP(A23,'2022_PAPI_Indicators'!A18:F198,6,FALSE)</f>
        <v>0.56160616874694824</v>
      </c>
      <c r="I23" s="133">
        <f>VLOOKUP(A23,'2022_PAPI_Indicators'!A18:G198,7,FALSE)</f>
        <v>0.42795103788375854</v>
      </c>
      <c r="J23" s="133">
        <f>VLOOKUP(A23,'2022_PAPI_Indicators'!A18:H198,8,FALSE)</f>
        <v>0.51302963495254517</v>
      </c>
      <c r="K23" s="133">
        <f>VLOOKUP(A23,'2022_PAPI_Indicators'!A18:I198,9,FALSE)</f>
        <v>0.63742345571517944</v>
      </c>
      <c r="L23" s="133">
        <f>VLOOKUP(A23,'2022_PAPI_Indicators'!A18:J198,10,FALSE)</f>
        <v>0.50815904140472412</v>
      </c>
      <c r="M23" s="133">
        <f>VLOOKUP(A23,'2022_PAPI_Indicators'!A18:K198,11,FALSE)</f>
        <v>0.54509657621383667</v>
      </c>
      <c r="N23" s="133">
        <f>VLOOKUP(A23,'2022_PAPI_Indicators'!A18:L198,12,FALSE)</f>
        <v>0.58060699701309204</v>
      </c>
      <c r="O23" s="133">
        <f>VLOOKUP(A23,'2022_PAPI_Indicators'!A18:M198,13,FALSE)</f>
        <v>0.44983822107315063</v>
      </c>
      <c r="P23" s="133">
        <f>VLOOKUP(A23,'2022_PAPI_Indicators'!A18:N198,14,FALSE)</f>
        <v>0.54860818386077881</v>
      </c>
      <c r="Q23" s="133">
        <f>VLOOKUP(A23,'2022_PAPI_Indicators'!A18:O198,15,FALSE)</f>
        <v>0.57543843984603882</v>
      </c>
      <c r="R23" s="135">
        <f>VLOOKUP(A23,'2022_PAPI_Indicators'!A18:P198,16,FALSE)</f>
        <v>0</v>
      </c>
      <c r="S23" s="133">
        <f>VLOOKUP(A23,'2022_PAPI_Indicators'!A18:R198,17,FALSE)</f>
        <v>0.50146585702896118</v>
      </c>
      <c r="T23" s="133">
        <f>VLOOKUP(A23,'2022_PAPI_Indicators'!A18:S198,18,FALSE)</f>
        <v>0.55993199348449707</v>
      </c>
      <c r="U23" s="135">
        <f>VLOOKUP(A23,'2022_PAPI_Indicators'!A18:T198,19,FALSE)</f>
        <v>0.63951587677001953</v>
      </c>
      <c r="V23" s="133">
        <f>VLOOKUP(A23,'2022_PAPI_Indicators'!A18:U198,20,FALSE)</f>
        <v>0.4668828547000885</v>
      </c>
      <c r="W23" s="133">
        <f>VLOOKUP(A23,'2022_PAPI_Indicators'!A18:V198,21,FALSE)</f>
        <v>0.65859293937683105</v>
      </c>
      <c r="X23" s="133">
        <f>VLOOKUP(A23,'2022_PAPI_Indicators'!A18:W198,22,FALSE)</f>
        <v>0.39671283960342407</v>
      </c>
      <c r="Y23" s="133">
        <f>VLOOKUP(A23,'2022_PAPI_Indicators'!A18:X198,23,FALSE)</f>
        <v>0.56613403558731079</v>
      </c>
      <c r="Z23" s="133">
        <f>VLOOKUP(A23,'2022_PAPI_Indicators'!A18:Y198,24,FALSE)</f>
        <v>0.42241382598876953</v>
      </c>
      <c r="AA23" s="133">
        <f>VLOOKUP(A23,'2022_PAPI_Indicators'!A18:Z198,25,FALSE)</f>
        <v>0.6434398889541626</v>
      </c>
      <c r="AB23" s="133">
        <f>VLOOKUP(A23,'2022_PAPI_Indicators'!A18:AA198,26,FALSE)</f>
        <v>0.7146989107131958</v>
      </c>
      <c r="AC23" s="133">
        <f>VLOOKUP(A23,'2022_PAPI_Indicators'!A18:AB198,27,FALSE)</f>
        <v>0.636607825756073</v>
      </c>
      <c r="AD23" s="133">
        <f>VLOOKUP(A23,'2022_PAPI_Indicators'!A18:AC198,28,FALSE)</f>
        <v>0.60084819793701172</v>
      </c>
      <c r="AE23" s="133">
        <f>VLOOKUP(A23,'2022_PAPI_Indicators'!A18:AD198,29,FALSE)</f>
        <v>0.5439910888671875</v>
      </c>
      <c r="AF23" s="133">
        <f>VLOOKUP(A23,'2022_PAPI_Indicators'!A18:AE198,30,FALSE)</f>
        <v>0.62677884101867676</v>
      </c>
      <c r="AG23" s="133">
        <f>VLOOKUP(A23,'2022_PAPI_Indicators'!A18:AF198,31,FALSE)</f>
        <v>0.59197390079498291</v>
      </c>
      <c r="AH23" s="133">
        <f>VLOOKUP(A23,'2022_PAPI_Indicators'!A18:AG198,32,FALSE)</f>
        <v>0.63903188705444336</v>
      </c>
      <c r="AI23" s="133">
        <f>VLOOKUP(A23,'2022_PAPI_Indicators'!A18:AH198,33,FALSE)</f>
        <v>0.54137158393859863</v>
      </c>
      <c r="AJ23" s="133">
        <f>VLOOKUP(A23,'2022_PAPI_Indicators'!A18:AI198,34,FALSE)</f>
        <v>0.57283788919448853</v>
      </c>
      <c r="AK23" s="133">
        <f>VLOOKUP(A23,'2022_PAPI_Indicators'!A18:AJ198,35,FALSE)</f>
        <v>0.49849081039428711</v>
      </c>
      <c r="AL23" s="133">
        <f>VLOOKUP(A23,'2022_PAPI_Indicators'!A18:AK198,36,FALSE)</f>
        <v>0.38908493518829346</v>
      </c>
      <c r="AM23" s="133">
        <f>VLOOKUP(A23,'2022_PAPI_Indicators'!A18:AL198,37,FALSE)</f>
        <v>0.40318551659584045</v>
      </c>
      <c r="AN23" s="133">
        <f>VLOOKUP(A23,'2022_PAPI_Indicators'!A18:AM198,38,FALSE)</f>
        <v>0.3720436692237854</v>
      </c>
      <c r="AO23" s="133">
        <f>VLOOKUP(A23,'2022_PAPI_Indicators'!A18:AN198,39,FALSE)</f>
        <v>0.53304314613342285</v>
      </c>
      <c r="AP23" s="133">
        <f>VLOOKUP(A23,'2022_PAPI_Indicators'!A18:AO198,40,FALSE)</f>
        <v>0.49230104684829712</v>
      </c>
      <c r="AQ23" s="133">
        <f>VLOOKUP(A23,'2022_PAPI_Indicators'!A18:AP198,41,FALSE)</f>
        <v>0.46067789196968079</v>
      </c>
      <c r="AR23" s="133">
        <f>VLOOKUP(A23,'2022_PAPI_Indicators'!A18:AQ198,42,FALSE)</f>
        <v>0.53116565942764282</v>
      </c>
      <c r="AS23" s="133">
        <f>VLOOKUP(A23,'2022_PAPI_Indicators'!A18:AR198,43,FALSE)</f>
        <v>0.43949636816978455</v>
      </c>
      <c r="AT23" s="133">
        <f>VLOOKUP(A23,'2022_PAPI_Indicators'!A18:AS198,44,FALSE)</f>
        <v>0.46742960810661316</v>
      </c>
      <c r="AU23" s="133">
        <f>VLOOKUP(A23,'2022_PAPI_Indicators'!A18:AT198,45,FALSE)</f>
        <v>0.50445747375488281</v>
      </c>
      <c r="AV23" s="133">
        <f>VLOOKUP(A23,'2022_PAPI_Indicators'!A18:AU198,46,FALSE)</f>
        <v>0.46728339791297913</v>
      </c>
      <c r="AW23" s="133">
        <f>VLOOKUP(A23,'2022_PAPI_Indicators'!A18:AV198,47,FALSE)</f>
        <v>0.26250135898590088</v>
      </c>
      <c r="AX23" s="133">
        <f>VLOOKUP(A23,'2022_PAPI_Indicators'!A18:AW198,48,FALSE)</f>
        <v>0.63730251789093018</v>
      </c>
      <c r="AY23" s="133">
        <f>VLOOKUP(A23,'2022_PAPI_Indicators'!A18:AX198,49,FALSE)</f>
        <v>0.32003402709960938</v>
      </c>
      <c r="AZ23" s="133">
        <f>VLOOKUP(A23,'2022_PAPI_Indicators'!A18:AY198,50,FALSE)</f>
        <v>0.51563882827758789</v>
      </c>
      <c r="BA23" s="133">
        <f>VLOOKUP(A23,'2022_PAPI_Indicators'!A18:AZ198,51,FALSE)</f>
        <v>0.24404644966125488</v>
      </c>
      <c r="BB23" s="133">
        <f>VLOOKUP(A23,'2022_PAPI_Indicators'!A18:BA198,52,FALSE)</f>
        <v>0.33738762140274048</v>
      </c>
      <c r="BC23" s="133">
        <f>VLOOKUP(A23,'2022_PAPI_Indicators'!A18:BB198,53,FALSE)</f>
        <v>0.23846633732318878</v>
      </c>
      <c r="BD23" s="133">
        <f>VLOOKUP(A23,'2022_PAPI_Indicators'!A18:BC198,54,FALSE)</f>
        <v>0.23540125787258148</v>
      </c>
      <c r="BE23" s="133">
        <f>VLOOKUP(A23,'2022_PAPI_Indicators'!A18:BD198,55,FALSE)</f>
        <v>0.53747403621673584</v>
      </c>
      <c r="BF23" s="133">
        <f>VLOOKUP(A23,'2022_PAPI_Indicators'!A18:BE198,56,FALSE)</f>
        <v>0.48977366089820862</v>
      </c>
      <c r="BG23" s="133">
        <f>VLOOKUP(A23,'2022_PAPI_Indicators'!A18:BF198,57,FALSE)</f>
        <v>0.39546653628349304</v>
      </c>
      <c r="BH23" s="133">
        <f>VLOOKUP(A23,'2022_PAPI_Indicators'!A18:BG198,58,FALSE)</f>
        <v>0.57574355602264404</v>
      </c>
      <c r="BI23" s="133">
        <f>VLOOKUP(A23,'2022_PAPI_Indicators'!A18:BH198,59,FALSE)</f>
        <v>0.30913588404655457</v>
      </c>
      <c r="BJ23" s="133">
        <f>VLOOKUP(A23,'2022_PAPI_Indicators'!A18:BI198,60,FALSE)</f>
        <v>0.24468235671520233</v>
      </c>
      <c r="BK23" s="133">
        <f>VLOOKUP(A23,'2022_PAPI_Indicators'!A18:BJ198,61,FALSE)</f>
        <v>0.32154145836830139</v>
      </c>
      <c r="BL23" s="133">
        <f>VLOOKUP(A23,'2022_PAPI_Indicators'!A18:BK198,62,FALSE)</f>
        <v>0.56858241558074951</v>
      </c>
      <c r="BM23" s="133">
        <f>VLOOKUP(A23,'2022_PAPI_Indicators'!A18:BL198,63,FALSE)</f>
        <v>0.47554567456245422</v>
      </c>
      <c r="BN23" s="133">
        <f>VLOOKUP(A23,'2022_PAPI_Indicators'!A18:BM198,64,FALSE)</f>
        <v>0.53378033638000488</v>
      </c>
    </row>
    <row r="24" spans="1:66" x14ac:dyDescent="0.2">
      <c r="A24" s="70" t="s">
        <v>111</v>
      </c>
      <c r="B24" s="70" t="s">
        <v>112</v>
      </c>
      <c r="C24" s="89" t="s">
        <v>90</v>
      </c>
      <c r="D24" s="133">
        <f>VLOOKUP(A24,'2022_PAPI_Indicators'!A19:B199,2,)</f>
        <v>0.5543065071105957</v>
      </c>
      <c r="E24" s="133">
        <f>VLOOKUP(A24,'2022_PAPI_Indicators'!A19:C199,3,FALSE)</f>
        <v>0.41778010129928589</v>
      </c>
      <c r="F24" s="133">
        <f>VLOOKUP(A24,'2022_PAPI_Indicators'!A19:D199,4,FALSE)</f>
        <v>0.33414357900619507</v>
      </c>
      <c r="G24" s="133">
        <f>VLOOKUP(A24,'2022_PAPI_Indicators'!A19:E199,5,FALSE)</f>
        <v>0.61308318376541138</v>
      </c>
      <c r="H24" s="133">
        <f>VLOOKUP(A24,'2022_PAPI_Indicators'!A19:F199,6,FALSE)</f>
        <v>0.67106747627258301</v>
      </c>
      <c r="I24" s="133">
        <f>VLOOKUP(A24,'2022_PAPI_Indicators'!A19:G199,7,FALSE)</f>
        <v>0.50878578424453735</v>
      </c>
      <c r="J24" s="133">
        <f>VLOOKUP(A24,'2022_PAPI_Indicators'!A19:H199,8,FALSE)</f>
        <v>0.65204936265945435</v>
      </c>
      <c r="K24" s="133">
        <f>VLOOKUP(A24,'2022_PAPI_Indicators'!A19:I199,9,FALSE)</f>
        <v>0.72957193851470947</v>
      </c>
      <c r="L24" s="133">
        <f>VLOOKUP(A24,'2022_PAPI_Indicators'!A19:J199,10,FALSE)</f>
        <v>0.60798877477645874</v>
      </c>
      <c r="M24" s="133">
        <f>VLOOKUP(A24,'2022_PAPI_Indicators'!A19:K199,11,FALSE)</f>
        <v>0.59973311424255371</v>
      </c>
      <c r="N24" s="133">
        <f>VLOOKUP(A24,'2022_PAPI_Indicators'!A19:L199,12,FALSE)</f>
        <v>0.73679083585739136</v>
      </c>
      <c r="O24" s="133">
        <f>VLOOKUP(A24,'2022_PAPI_Indicators'!A19:M199,13,FALSE)</f>
        <v>0.59879159927368164</v>
      </c>
      <c r="P24" s="133">
        <f>VLOOKUP(A24,'2022_PAPI_Indicators'!A19:N199,14,FALSE)</f>
        <v>0.68702250719070435</v>
      </c>
      <c r="Q24" s="133">
        <f>VLOOKUP(A24,'2022_PAPI_Indicators'!A19:O199,15,FALSE)</f>
        <v>0.74699944257736206</v>
      </c>
      <c r="R24" s="135">
        <f>VLOOKUP(A24,'2022_PAPI_Indicators'!A19:P199,16,FALSE)</f>
        <v>0</v>
      </c>
      <c r="S24" s="133">
        <f>VLOOKUP(A24,'2022_PAPI_Indicators'!A19:R199,17,FALSE)</f>
        <v>0.76709085702896118</v>
      </c>
      <c r="T24" s="133">
        <f>VLOOKUP(A24,'2022_PAPI_Indicators'!A19:S199,18,FALSE)</f>
        <v>0.67409431934356689</v>
      </c>
      <c r="U24" s="135">
        <f>VLOOKUP(A24,'2022_PAPI_Indicators'!A19:T199,19,FALSE)</f>
        <v>0.70879709720611572</v>
      </c>
      <c r="V24" s="133">
        <f>VLOOKUP(A24,'2022_PAPI_Indicators'!A19:U199,20,FALSE)</f>
        <v>0.74396747350692749</v>
      </c>
      <c r="W24" s="133">
        <f>VLOOKUP(A24,'2022_PAPI_Indicators'!A19:V199,21,FALSE)</f>
        <v>0.86726635694503784</v>
      </c>
      <c r="X24" s="133">
        <f>VLOOKUP(A24,'2022_PAPI_Indicators'!A19:W199,22,FALSE)</f>
        <v>0.60042101144790649</v>
      </c>
      <c r="Y24" s="133">
        <f>VLOOKUP(A24,'2022_PAPI_Indicators'!A19:X199,23,FALSE)</f>
        <v>0.65217971801757813</v>
      </c>
      <c r="Z24" s="133">
        <f>VLOOKUP(A24,'2022_PAPI_Indicators'!A19:Y199,24,FALSE)</f>
        <v>0.51701557636260986</v>
      </c>
      <c r="AA24" s="133">
        <f>VLOOKUP(A24,'2022_PAPI_Indicators'!A19:Z199,25,FALSE)</f>
        <v>0.76169949769973755</v>
      </c>
      <c r="AB24" s="133">
        <f>VLOOKUP(A24,'2022_PAPI_Indicators'!A19:AA199,26,FALSE)</f>
        <v>0.84992283582687378</v>
      </c>
      <c r="AC24" s="133">
        <f>VLOOKUP(A24,'2022_PAPI_Indicators'!A19:AB199,27,FALSE)</f>
        <v>0.75453066825866699</v>
      </c>
      <c r="AD24" s="133">
        <f>VLOOKUP(A24,'2022_PAPI_Indicators'!A19:AC199,28,FALSE)</f>
        <v>0.74071502685546875</v>
      </c>
      <c r="AE24" s="133">
        <f>VLOOKUP(A24,'2022_PAPI_Indicators'!A19:AD199,29,FALSE)</f>
        <v>0.66504824161529541</v>
      </c>
      <c r="AF24" s="133">
        <f>VLOOKUP(A24,'2022_PAPI_Indicators'!A19:AE199,30,FALSE)</f>
        <v>0.69574028253555298</v>
      </c>
      <c r="AG24" s="133">
        <f>VLOOKUP(A24,'2022_PAPI_Indicators'!A19:AF199,31,FALSE)</f>
        <v>0.67904824018478394</v>
      </c>
      <c r="AH24" s="133">
        <f>VLOOKUP(A24,'2022_PAPI_Indicators'!A19:AG199,32,FALSE)</f>
        <v>0.6843574047088623</v>
      </c>
      <c r="AI24" s="133">
        <f>VLOOKUP(A24,'2022_PAPI_Indicators'!A19:AH199,33,FALSE)</f>
        <v>0.67762625217437744</v>
      </c>
      <c r="AJ24" s="133">
        <f>VLOOKUP(A24,'2022_PAPI_Indicators'!A19:AI199,34,FALSE)</f>
        <v>0.72023719549179077</v>
      </c>
      <c r="AK24" s="133">
        <f>VLOOKUP(A24,'2022_PAPI_Indicators'!A19:AJ199,35,FALSE)</f>
        <v>0.62614011764526367</v>
      </c>
      <c r="AL24" s="133">
        <f>VLOOKUP(A24,'2022_PAPI_Indicators'!A19:AK199,36,FALSE)</f>
        <v>0.42954453825950623</v>
      </c>
      <c r="AM24" s="133">
        <f>VLOOKUP(A24,'2022_PAPI_Indicators'!A19:AL199,37,FALSE)</f>
        <v>0.49203619360923767</v>
      </c>
      <c r="AN24" s="133">
        <f>VLOOKUP(A24,'2022_PAPI_Indicators'!A19:AM199,38,FALSE)</f>
        <v>0.46931225061416626</v>
      </c>
      <c r="AO24" s="133">
        <f>VLOOKUP(A24,'2022_PAPI_Indicators'!A19:AN199,39,FALSE)</f>
        <v>0.55654466152191162</v>
      </c>
      <c r="AP24" s="133">
        <f>VLOOKUP(A24,'2022_PAPI_Indicators'!A19:AO199,40,FALSE)</f>
        <v>0.49547144770622253</v>
      </c>
      <c r="AQ24" s="133">
        <f>VLOOKUP(A24,'2022_PAPI_Indicators'!A19:AP199,41,FALSE)</f>
        <v>0.52694952487945557</v>
      </c>
      <c r="AR24" s="133">
        <f>VLOOKUP(A24,'2022_PAPI_Indicators'!A19:AQ199,42,FALSE)</f>
        <v>0.74569261074066162</v>
      </c>
      <c r="AS24" s="133">
        <f>VLOOKUP(A24,'2022_PAPI_Indicators'!A19:AR199,43,FALSE)</f>
        <v>0.54579776525497437</v>
      </c>
      <c r="AT24" s="133">
        <f>VLOOKUP(A24,'2022_PAPI_Indicators'!A19:AS199,44,FALSE)</f>
        <v>0.49491250514984131</v>
      </c>
      <c r="AU24" s="133">
        <f>VLOOKUP(A24,'2022_PAPI_Indicators'!A19:AT199,45,FALSE)</f>
        <v>0.58031582832336426</v>
      </c>
      <c r="AV24" s="133">
        <f>VLOOKUP(A24,'2022_PAPI_Indicators'!A19:AU199,46,FALSE)</f>
        <v>0.49719089269638062</v>
      </c>
      <c r="AW24" s="133">
        <f>VLOOKUP(A24,'2022_PAPI_Indicators'!A19:AV199,47,FALSE)</f>
        <v>0.29983195662498474</v>
      </c>
      <c r="AX24" s="133">
        <f>VLOOKUP(A24,'2022_PAPI_Indicators'!A19:AW199,48,FALSE)</f>
        <v>0.66221928596496582</v>
      </c>
      <c r="AY24" s="133">
        <f>VLOOKUP(A24,'2022_PAPI_Indicators'!A19:AX199,49,FALSE)</f>
        <v>0.3826259970664978</v>
      </c>
      <c r="AZ24" s="133">
        <f>VLOOKUP(A24,'2022_PAPI_Indicators'!A19:AY199,50,FALSE)</f>
        <v>0.54988104104995728</v>
      </c>
      <c r="BA24" s="133">
        <f>VLOOKUP(A24,'2022_PAPI_Indicators'!A19:AZ199,51,FALSE)</f>
        <v>0.2792644202709198</v>
      </c>
      <c r="BB24" s="133">
        <f>VLOOKUP(A24,'2022_PAPI_Indicators'!A19:BA199,52,FALSE)</f>
        <v>0.35778266191482544</v>
      </c>
      <c r="BC24" s="133">
        <f>VLOOKUP(A24,'2022_PAPI_Indicators'!A19:BB199,53,FALSE)</f>
        <v>0.24776357412338257</v>
      </c>
      <c r="BD24" s="133">
        <f>VLOOKUP(A24,'2022_PAPI_Indicators'!A19:BC199,54,FALSE)</f>
        <v>0.25098916888237</v>
      </c>
      <c r="BE24" s="133">
        <f>VLOOKUP(A24,'2022_PAPI_Indicators'!A19:BD199,55,FALSE)</f>
        <v>0.57911181449890137</v>
      </c>
      <c r="BF24" s="133">
        <f>VLOOKUP(A24,'2022_PAPI_Indicators'!A19:BE199,56,FALSE)</f>
        <v>0.54004639387130737</v>
      </c>
      <c r="BG24" s="133">
        <f>VLOOKUP(A24,'2022_PAPI_Indicators'!A19:BF199,57,FALSE)</f>
        <v>0.48097962141036987</v>
      </c>
      <c r="BH24" s="133">
        <f>VLOOKUP(A24,'2022_PAPI_Indicators'!A19:BG199,58,FALSE)</f>
        <v>0.6915859580039978</v>
      </c>
      <c r="BI24" s="133">
        <f>VLOOKUP(A24,'2022_PAPI_Indicators'!A19:BH199,59,FALSE)</f>
        <v>0.34392169117927551</v>
      </c>
      <c r="BJ24" s="133">
        <f>VLOOKUP(A24,'2022_PAPI_Indicators'!A19:BI199,60,FALSE)</f>
        <v>0.2800559401512146</v>
      </c>
      <c r="BK24" s="133">
        <f>VLOOKUP(A24,'2022_PAPI_Indicators'!A19:BJ199,61,FALSE)</f>
        <v>0.3368147611618042</v>
      </c>
      <c r="BL24" s="133">
        <f>VLOOKUP(A24,'2022_PAPI_Indicators'!A19:BK199,62,FALSE)</f>
        <v>0.74520349502563477</v>
      </c>
      <c r="BM24" s="133">
        <f>VLOOKUP(A24,'2022_PAPI_Indicators'!A19:BL199,63,FALSE)</f>
        <v>0.5062260627746582</v>
      </c>
      <c r="BN24" s="133">
        <f>VLOOKUP(A24,'2022_PAPI_Indicators'!A19:BM199,64,FALSE)</f>
        <v>0.60396724939346313</v>
      </c>
    </row>
    <row r="25" spans="1:66" x14ac:dyDescent="0.2">
      <c r="A25" s="70" t="s">
        <v>113</v>
      </c>
      <c r="B25" s="70" t="s">
        <v>114</v>
      </c>
      <c r="C25" s="89" t="s">
        <v>90</v>
      </c>
      <c r="D25" s="133">
        <f>VLOOKUP(A25,'2022_PAPI_Indicators'!A20:B200,2,)</f>
        <v>0.67463439702987671</v>
      </c>
      <c r="E25" s="133">
        <f>VLOOKUP(A25,'2022_PAPI_Indicators'!A20:C200,3,FALSE)</f>
        <v>0.5791860818862915</v>
      </c>
      <c r="F25" s="133">
        <f>VLOOKUP(A25,'2022_PAPI_Indicators'!A20:D200,4,FALSE)</f>
        <v>0.72131401300430298</v>
      </c>
      <c r="G25" s="133">
        <f>VLOOKUP(A25,'2022_PAPI_Indicators'!A20:E200,5,FALSE)</f>
        <v>0.81807905435562134</v>
      </c>
      <c r="H25" s="133">
        <f>VLOOKUP(A25,'2022_PAPI_Indicators'!A20:F200,6,FALSE)</f>
        <v>0.62283158302307129</v>
      </c>
      <c r="I25" s="133">
        <f>VLOOKUP(A25,'2022_PAPI_Indicators'!A20:G200,7,FALSE)</f>
        <v>0.58603119850158691</v>
      </c>
      <c r="J25" s="133">
        <f>VLOOKUP(A25,'2022_PAPI_Indicators'!A20:H200,8,FALSE)</f>
        <v>0.67265599966049194</v>
      </c>
      <c r="K25" s="133">
        <f>VLOOKUP(A25,'2022_PAPI_Indicators'!A20:I200,9,FALSE)</f>
        <v>0.80011892318725586</v>
      </c>
      <c r="L25" s="133">
        <f>VLOOKUP(A25,'2022_PAPI_Indicators'!A20:J200,10,FALSE)</f>
        <v>0.73918956518173218</v>
      </c>
      <c r="M25" s="133">
        <f>VLOOKUP(A25,'2022_PAPI_Indicators'!A20:K200,11,FALSE)</f>
        <v>0.67290860414505005</v>
      </c>
      <c r="N25" s="133">
        <f>VLOOKUP(A25,'2022_PAPI_Indicators'!A20:L200,12,FALSE)</f>
        <v>0.74945348501205444</v>
      </c>
      <c r="O25" s="133">
        <f>VLOOKUP(A25,'2022_PAPI_Indicators'!A20:M200,13,FALSE)</f>
        <v>0.54883182048797607</v>
      </c>
      <c r="P25" s="133">
        <f>VLOOKUP(A25,'2022_PAPI_Indicators'!A20:N200,14,FALSE)</f>
        <v>0.44197580218315125</v>
      </c>
      <c r="Q25" s="133">
        <f>VLOOKUP(A25,'2022_PAPI_Indicators'!A20:O200,15,FALSE)</f>
        <v>0.83793467283248901</v>
      </c>
      <c r="R25" s="135">
        <f>VLOOKUP(A25,'2022_PAPI_Indicators'!A20:P200,16,FALSE)</f>
        <v>0</v>
      </c>
      <c r="S25" s="133">
        <f>VLOOKUP(A25,'2022_PAPI_Indicators'!A20:R200,17,FALSE)</f>
        <v>0.40173408389091492</v>
      </c>
      <c r="T25" s="133">
        <f>VLOOKUP(A25,'2022_PAPI_Indicators'!A20:S200,18,FALSE)</f>
        <v>0.9188113808631897</v>
      </c>
      <c r="U25" s="135">
        <f>VLOOKUP(A25,'2022_PAPI_Indicators'!A20:T200,19,FALSE)</f>
        <v>0.94912040233612061</v>
      </c>
      <c r="V25" s="133">
        <f>VLOOKUP(A25,'2022_PAPI_Indicators'!A20:U200,20,FALSE)</f>
        <v>0.96756565570831299</v>
      </c>
      <c r="W25" s="133">
        <f>VLOOKUP(A25,'2022_PAPI_Indicators'!A20:V200,21,FALSE)</f>
        <v>0.5099714994430542</v>
      </c>
      <c r="X25" s="133">
        <f>VLOOKUP(A25,'2022_PAPI_Indicators'!A20:W200,22,FALSE)</f>
        <v>0.94861865043640137</v>
      </c>
      <c r="Y25" s="133">
        <f>VLOOKUP(A25,'2022_PAPI_Indicators'!A20:X200,23,FALSE)</f>
        <v>0.95734447240829468</v>
      </c>
      <c r="Z25" s="133">
        <f>VLOOKUP(A25,'2022_PAPI_Indicators'!A20:Y200,24,FALSE)</f>
        <v>0.80971002578735352</v>
      </c>
      <c r="AA25" s="133">
        <f>VLOOKUP(A25,'2022_PAPI_Indicators'!A20:Z200,25,FALSE)</f>
        <v>0.81995892524719238</v>
      </c>
      <c r="AB25" s="133">
        <f>VLOOKUP(A25,'2022_PAPI_Indicators'!A20:AA200,26,FALSE)</f>
        <v>0.86800611019134521</v>
      </c>
      <c r="AC25" s="133">
        <f>VLOOKUP(A25,'2022_PAPI_Indicators'!A20:AB200,27,FALSE)</f>
        <v>0.79832345247268677</v>
      </c>
      <c r="AD25" s="133">
        <f>VLOOKUP(A25,'2022_PAPI_Indicators'!A20:AC200,28,FALSE)</f>
        <v>0.74655020236968994</v>
      </c>
      <c r="AE25" s="133">
        <f>VLOOKUP(A25,'2022_PAPI_Indicators'!A20:AD200,29,FALSE)</f>
        <v>0.84593003988265991</v>
      </c>
      <c r="AF25" s="133">
        <f>VLOOKUP(A25,'2022_PAPI_Indicators'!A20:AE200,30,FALSE)</f>
        <v>0.83036541938781738</v>
      </c>
      <c r="AG25" s="133">
        <f>VLOOKUP(A25,'2022_PAPI_Indicators'!A20:AF200,31,FALSE)</f>
        <v>0.9078330397605896</v>
      </c>
      <c r="AH25" s="133">
        <f>VLOOKUP(A25,'2022_PAPI_Indicators'!A20:AG200,32,FALSE)</f>
        <v>0.92520064115524292</v>
      </c>
      <c r="AI25" s="133">
        <f>VLOOKUP(A25,'2022_PAPI_Indicators'!A20:AH200,33,FALSE)</f>
        <v>0.25622627139091492</v>
      </c>
      <c r="AJ25" s="133">
        <f>VLOOKUP(A25,'2022_PAPI_Indicators'!A20:AI200,34,FALSE)</f>
        <v>0.96783733367919922</v>
      </c>
      <c r="AK25" s="133">
        <f>VLOOKUP(A25,'2022_PAPI_Indicators'!A20:AJ200,35,FALSE)</f>
        <v>0.77025419473648071</v>
      </c>
      <c r="AL25" s="133">
        <f>VLOOKUP(A25,'2022_PAPI_Indicators'!A20:AK200,36,FALSE)</f>
        <v>0.97273999452590942</v>
      </c>
      <c r="AM25" s="133">
        <f>VLOOKUP(A25,'2022_PAPI_Indicators'!A20:AL200,37,FALSE)</f>
        <v>0.97926121950149536</v>
      </c>
      <c r="AN25" s="133">
        <f>VLOOKUP(A25,'2022_PAPI_Indicators'!A20:AM200,38,FALSE)</f>
        <v>0.86606621742248535</v>
      </c>
      <c r="AO25" s="133">
        <f>VLOOKUP(A25,'2022_PAPI_Indicators'!A20:AN200,39,FALSE)</f>
        <v>0.95747494697570801</v>
      </c>
      <c r="AP25" s="133">
        <f>VLOOKUP(A25,'2022_PAPI_Indicators'!A20:AO200,40,FALSE)</f>
        <v>0.98245620727539063</v>
      </c>
      <c r="AQ25" s="133">
        <f>VLOOKUP(A25,'2022_PAPI_Indicators'!A20:AP200,41,FALSE)</f>
        <v>0.581440269947052</v>
      </c>
      <c r="AR25" s="133">
        <f>VLOOKUP(A25,'2022_PAPI_Indicators'!A20:AQ200,42,FALSE)</f>
        <v>0.70861274003982544</v>
      </c>
      <c r="AS25" s="133">
        <f>VLOOKUP(A25,'2022_PAPI_Indicators'!A20:AR200,43,FALSE)</f>
        <v>0.5971827507019043</v>
      </c>
      <c r="AT25" s="133">
        <f>VLOOKUP(A25,'2022_PAPI_Indicators'!A20:AS200,44,FALSE)</f>
        <v>0.86218315362930298</v>
      </c>
      <c r="AU25" s="133">
        <f>VLOOKUP(A25,'2022_PAPI_Indicators'!A20:AT200,45,FALSE)</f>
        <v>0.80231428146362305</v>
      </c>
      <c r="AV25" s="133">
        <f>VLOOKUP(A25,'2022_PAPI_Indicators'!A20:AU200,46,FALSE)</f>
        <v>0.96956771612167358</v>
      </c>
      <c r="AW25" s="133">
        <f>VLOOKUP(A25,'2022_PAPI_Indicators'!A20:AV200,47,FALSE)</f>
        <v>0.85344284772872925</v>
      </c>
      <c r="AX25" s="133">
        <f>VLOOKUP(A25,'2022_PAPI_Indicators'!A20:AW200,48,FALSE)</f>
        <v>0.94970822334289551</v>
      </c>
      <c r="AY25" s="133">
        <f>VLOOKUP(A25,'2022_PAPI_Indicators'!A20:AX200,49,FALSE)</f>
        <v>0.82316869497299194</v>
      </c>
      <c r="AZ25" s="133">
        <f>VLOOKUP(A25,'2022_PAPI_Indicators'!A20:AY200,50,FALSE)</f>
        <v>0.93587774038314819</v>
      </c>
      <c r="BA25" s="133">
        <f>VLOOKUP(A25,'2022_PAPI_Indicators'!A20:AZ200,51,FALSE)</f>
        <v>0.67983180284500122</v>
      </c>
      <c r="BB25" s="133">
        <f>VLOOKUP(A25,'2022_PAPI_Indicators'!A20:BA200,52,FALSE)</f>
        <v>0.95442211627960205</v>
      </c>
      <c r="BC25" s="133">
        <f>VLOOKUP(A25,'2022_PAPI_Indicators'!A20:BB200,53,FALSE)</f>
        <v>0.99233585596084595</v>
      </c>
      <c r="BD25" s="133">
        <f>VLOOKUP(A25,'2022_PAPI_Indicators'!A20:BC200,54,FALSE)</f>
        <v>0.9950491189956665</v>
      </c>
      <c r="BE25" s="133">
        <f>VLOOKUP(A25,'2022_PAPI_Indicators'!A20:BD200,55,FALSE)</f>
        <v>0.99507743120193481</v>
      </c>
      <c r="BF25" s="133">
        <f>VLOOKUP(A25,'2022_PAPI_Indicators'!A20:BE200,56,FALSE)</f>
        <v>0.97743988037109375</v>
      </c>
      <c r="BG25" s="133">
        <f>VLOOKUP(A25,'2022_PAPI_Indicators'!A20:BF200,57,FALSE)</f>
        <v>0.93475121259689331</v>
      </c>
      <c r="BH25" s="133">
        <f>VLOOKUP(A25,'2022_PAPI_Indicators'!A20:BG200,58,FALSE)</f>
        <v>0.97916603088378906</v>
      </c>
      <c r="BI25" s="133">
        <f>VLOOKUP(A25,'2022_PAPI_Indicators'!A20:BH200,59,FALSE)</f>
        <v>1</v>
      </c>
      <c r="BJ25" s="133">
        <f>VLOOKUP(A25,'2022_PAPI_Indicators'!A20:BI200,60,FALSE)</f>
        <v>0.99245059490203857</v>
      </c>
      <c r="BK25" s="133">
        <f>VLOOKUP(A25,'2022_PAPI_Indicators'!A20:BJ200,61,FALSE)</f>
        <v>1</v>
      </c>
      <c r="BL25" s="133">
        <f>VLOOKUP(A25,'2022_PAPI_Indicators'!A20:BK200,62,FALSE)</f>
        <v>0.99728387594223022</v>
      </c>
      <c r="BM25" s="133">
        <f>VLOOKUP(A25,'2022_PAPI_Indicators'!A20:BL200,63,FALSE)</f>
        <v>0.9641450047492981</v>
      </c>
      <c r="BN25" s="133">
        <f>VLOOKUP(A25,'2022_PAPI_Indicators'!A20:BM200,64,FALSE)</f>
        <v>0.99571830034255981</v>
      </c>
    </row>
    <row r="26" spans="1:66" x14ac:dyDescent="0.2">
      <c r="A26" s="70" t="s">
        <v>115</v>
      </c>
      <c r="B26" s="70" t="s">
        <v>116</v>
      </c>
      <c r="C26" s="89" t="s">
        <v>90</v>
      </c>
      <c r="D26" s="133">
        <f>VLOOKUP(A26,'2022_PAPI_Indicators'!A21:B201,2,)</f>
        <v>0.88301670551300049</v>
      </c>
      <c r="E26" s="133">
        <f>VLOOKUP(A26,'2022_PAPI_Indicators'!A21:C201,3,FALSE)</f>
        <v>0.88455724716186523</v>
      </c>
      <c r="F26" s="133">
        <f>VLOOKUP(A26,'2022_PAPI_Indicators'!A21:D201,4,FALSE)</f>
        <v>0.96597117185592651</v>
      </c>
      <c r="G26" s="133">
        <f>VLOOKUP(A26,'2022_PAPI_Indicators'!A21:E201,5,FALSE)</f>
        <v>0.94044095277786255</v>
      </c>
      <c r="H26" s="133">
        <f>VLOOKUP(A26,'2022_PAPI_Indicators'!A21:F201,6,FALSE)</f>
        <v>0.91618496179580688</v>
      </c>
      <c r="I26" s="133">
        <f>VLOOKUP(A26,'2022_PAPI_Indicators'!A21:G201,7,FALSE)</f>
        <v>0.8721960186958313</v>
      </c>
      <c r="J26" s="133">
        <f>VLOOKUP(A26,'2022_PAPI_Indicators'!A21:H201,8,FALSE)</f>
        <v>0.91367202997207642</v>
      </c>
      <c r="K26" s="133">
        <f>VLOOKUP(A26,'2022_PAPI_Indicators'!A21:I201,9,FALSE)</f>
        <v>0.75450998544692993</v>
      </c>
      <c r="L26" s="133">
        <f>VLOOKUP(A26,'2022_PAPI_Indicators'!A21:J201,10,FALSE)</f>
        <v>0.8843693733215332</v>
      </c>
      <c r="M26" s="133">
        <f>VLOOKUP(A26,'2022_PAPI_Indicators'!A21:K201,11,FALSE)</f>
        <v>0.97851711511611938</v>
      </c>
      <c r="N26" s="133">
        <f>VLOOKUP(A26,'2022_PAPI_Indicators'!A21:L201,12,FALSE)</f>
        <v>0.85002094507217407</v>
      </c>
      <c r="O26" s="133">
        <f>VLOOKUP(A26,'2022_PAPI_Indicators'!A21:M201,13,FALSE)</f>
        <v>0.91674476861953735</v>
      </c>
      <c r="P26" s="133">
        <f>VLOOKUP(A26,'2022_PAPI_Indicators'!A21:N201,14,FALSE)</f>
        <v>0.9297059178352356</v>
      </c>
      <c r="Q26" s="133">
        <f>VLOOKUP(A26,'2022_PAPI_Indicators'!A21:O201,15,FALSE)</f>
        <v>0.61854100227355957</v>
      </c>
      <c r="R26" s="135">
        <f>VLOOKUP(A26,'2022_PAPI_Indicators'!A21:P201,16,FALSE)</f>
        <v>0</v>
      </c>
      <c r="S26" s="133">
        <f>VLOOKUP(A26,'2022_PAPI_Indicators'!A21:R201,17,FALSE)</f>
        <v>0.96511483192443848</v>
      </c>
      <c r="T26" s="133">
        <f>VLOOKUP(A26,'2022_PAPI_Indicators'!A21:S201,18,FALSE)</f>
        <v>0.79115593433380127</v>
      </c>
      <c r="U26" s="135">
        <f>VLOOKUP(A26,'2022_PAPI_Indicators'!A21:T201,19,FALSE)</f>
        <v>0.71445876359939575</v>
      </c>
      <c r="V26" s="133">
        <f>VLOOKUP(A26,'2022_PAPI_Indicators'!A21:U201,20,FALSE)</f>
        <v>0.62766879796981812</v>
      </c>
      <c r="W26" s="133">
        <f>VLOOKUP(A26,'2022_PAPI_Indicators'!A21:V201,21,FALSE)</f>
        <v>0.89530855417251587</v>
      </c>
      <c r="X26" s="133">
        <f>VLOOKUP(A26,'2022_PAPI_Indicators'!A21:W201,22,FALSE)</f>
        <v>0.68269497156143188</v>
      </c>
      <c r="Y26" s="133">
        <f>VLOOKUP(A26,'2022_PAPI_Indicators'!A21:X201,23,FALSE)</f>
        <v>0.60960942506790161</v>
      </c>
      <c r="Z26" s="133">
        <f>VLOOKUP(A26,'2022_PAPI_Indicators'!A21:Y201,24,FALSE)</f>
        <v>0.79947078227996826</v>
      </c>
      <c r="AA26" s="133">
        <f>VLOOKUP(A26,'2022_PAPI_Indicators'!A21:Z201,25,FALSE)</f>
        <v>0.88112556934356689</v>
      </c>
      <c r="AB26" s="133">
        <f>VLOOKUP(A26,'2022_PAPI_Indicators'!A21:AA201,26,FALSE)</f>
        <v>0.7841373085975647</v>
      </c>
      <c r="AC26" s="133">
        <f>VLOOKUP(A26,'2022_PAPI_Indicators'!A21:AB201,27,FALSE)</f>
        <v>0.9103359580039978</v>
      </c>
      <c r="AD26" s="133">
        <f>VLOOKUP(A26,'2022_PAPI_Indicators'!A21:AC201,28,FALSE)</f>
        <v>0.87070059776306152</v>
      </c>
      <c r="AE26" s="133">
        <f>VLOOKUP(A26,'2022_PAPI_Indicators'!A21:AD201,29,FALSE)</f>
        <v>0.93096834421157837</v>
      </c>
      <c r="AF26" s="133">
        <f>VLOOKUP(A26,'2022_PAPI_Indicators'!A21:AE201,30,FALSE)</f>
        <v>0.90568888187408447</v>
      </c>
      <c r="AG26" s="133">
        <f>VLOOKUP(A26,'2022_PAPI_Indicators'!A21:AF201,31,FALSE)</f>
        <v>0.72958129644393921</v>
      </c>
      <c r="AH26" s="133">
        <f>VLOOKUP(A26,'2022_PAPI_Indicators'!A21:AG201,32,FALSE)</f>
        <v>0.82439804077148438</v>
      </c>
      <c r="AI26" s="133">
        <f>VLOOKUP(A26,'2022_PAPI_Indicators'!A21:AH201,33,FALSE)</f>
        <v>0.91048258543014526</v>
      </c>
      <c r="AJ26" s="133">
        <f>VLOOKUP(A26,'2022_PAPI_Indicators'!A21:AI201,34,FALSE)</f>
        <v>0.53469055891036987</v>
      </c>
      <c r="AK26" s="133">
        <f>VLOOKUP(A26,'2022_PAPI_Indicators'!A21:AJ201,35,FALSE)</f>
        <v>0.76316356658935547</v>
      </c>
      <c r="AL26" s="133">
        <f>VLOOKUP(A26,'2022_PAPI_Indicators'!A21:AK201,36,FALSE)</f>
        <v>0.52460116147994995</v>
      </c>
      <c r="AM26" s="133">
        <f>VLOOKUP(A26,'2022_PAPI_Indicators'!A21:AL201,37,FALSE)</f>
        <v>0.51487904787063599</v>
      </c>
      <c r="AN26" s="133">
        <f>VLOOKUP(A26,'2022_PAPI_Indicators'!A21:AM201,38,FALSE)</f>
        <v>0.51493686437606812</v>
      </c>
      <c r="AO26" s="133">
        <f>VLOOKUP(A26,'2022_PAPI_Indicators'!A21:AN201,39,FALSE)</f>
        <v>0.54427981376647949</v>
      </c>
      <c r="AP26" s="133">
        <f>VLOOKUP(A26,'2022_PAPI_Indicators'!A21:AO201,40,FALSE)</f>
        <v>0.66044223308563232</v>
      </c>
      <c r="AQ26" s="133">
        <f>VLOOKUP(A26,'2022_PAPI_Indicators'!A21:AP201,41,FALSE)</f>
        <v>0.77764827013015747</v>
      </c>
      <c r="AR26" s="133">
        <f>VLOOKUP(A26,'2022_PAPI_Indicators'!A21:AQ201,42,FALSE)</f>
        <v>0.72073119878768921</v>
      </c>
      <c r="AS26" s="133">
        <f>VLOOKUP(A26,'2022_PAPI_Indicators'!A21:AR201,43,FALSE)</f>
        <v>0.79084157943725586</v>
      </c>
      <c r="AT26" s="133">
        <f>VLOOKUP(A26,'2022_PAPI_Indicators'!A21:AS201,44,FALSE)</f>
        <v>0.71871048212051392</v>
      </c>
      <c r="AU26" s="133">
        <f>VLOOKUP(A26,'2022_PAPI_Indicators'!A21:AT201,45,FALSE)</f>
        <v>0.67179602384567261</v>
      </c>
      <c r="AV26" s="133">
        <f>VLOOKUP(A26,'2022_PAPI_Indicators'!A21:AU201,46,FALSE)</f>
        <v>0.64168840646743774</v>
      </c>
      <c r="AW26" s="133">
        <f>VLOOKUP(A26,'2022_PAPI_Indicators'!A21:AV201,47,FALSE)</f>
        <v>0.37718462944030762</v>
      </c>
      <c r="AX26" s="133">
        <f>VLOOKUP(A26,'2022_PAPI_Indicators'!A21:AW201,48,FALSE)</f>
        <v>0.59378296136856079</v>
      </c>
      <c r="AY26" s="133">
        <f>VLOOKUP(A26,'2022_PAPI_Indicators'!A21:AX201,49,FALSE)</f>
        <v>0.67173522710800171</v>
      </c>
      <c r="AZ26" s="133">
        <f>VLOOKUP(A26,'2022_PAPI_Indicators'!A21:AY201,50,FALSE)</f>
        <v>0.6363864541053772</v>
      </c>
      <c r="BA26" s="133">
        <f>VLOOKUP(A26,'2022_PAPI_Indicators'!A21:AZ201,51,FALSE)</f>
        <v>0.6651691198348999</v>
      </c>
      <c r="BB26" s="133">
        <f>VLOOKUP(A26,'2022_PAPI_Indicators'!A21:BA201,52,FALSE)</f>
        <v>0.56729549169540405</v>
      </c>
      <c r="BC26" s="133">
        <f>VLOOKUP(A26,'2022_PAPI_Indicators'!A21:BB201,53,FALSE)</f>
        <v>0.45886656641960144</v>
      </c>
      <c r="BD26" s="133">
        <f>VLOOKUP(A26,'2022_PAPI_Indicators'!A21:BC201,54,FALSE)</f>
        <v>0.44133594632148743</v>
      </c>
      <c r="BE26" s="133">
        <f>VLOOKUP(A26,'2022_PAPI_Indicators'!A21:BD201,55,FALSE)</f>
        <v>0.36521074175834656</v>
      </c>
      <c r="BF26" s="133">
        <f>VLOOKUP(A26,'2022_PAPI_Indicators'!A21:BE201,56,FALSE)</f>
        <v>0.42687389254570007</v>
      </c>
      <c r="BG26" s="133">
        <f>VLOOKUP(A26,'2022_PAPI_Indicators'!A21:BF201,57,FALSE)</f>
        <v>0.514900803565979</v>
      </c>
      <c r="BH26" s="133">
        <f>VLOOKUP(A26,'2022_PAPI_Indicators'!A21:BG201,58,FALSE)</f>
        <v>0.39120545983314514</v>
      </c>
      <c r="BI26" s="133">
        <f>VLOOKUP(A26,'2022_PAPI_Indicators'!A21:BH201,59,FALSE)</f>
        <v>0.62212878465652466</v>
      </c>
      <c r="BJ26" s="133">
        <f>VLOOKUP(A26,'2022_PAPI_Indicators'!A21:BI201,60,FALSE)</f>
        <v>0.47402283549308777</v>
      </c>
      <c r="BK26" s="133">
        <f>VLOOKUP(A26,'2022_PAPI_Indicators'!A21:BJ201,61,FALSE)</f>
        <v>0.46183133125305176</v>
      </c>
      <c r="BL26" s="133">
        <f>VLOOKUP(A26,'2022_PAPI_Indicators'!A21:BK201,62,FALSE)</f>
        <v>0.4155828058719635</v>
      </c>
      <c r="BM26" s="133">
        <f>VLOOKUP(A26,'2022_PAPI_Indicators'!A21:BL201,63,FALSE)</f>
        <v>0.41746324300765991</v>
      </c>
      <c r="BN26" s="133">
        <f>VLOOKUP(A26,'2022_PAPI_Indicators'!A21:BM201,64,FALSE)</f>
        <v>0.70747935771942139</v>
      </c>
    </row>
    <row r="27" spans="1:66" x14ac:dyDescent="0.2">
      <c r="A27" s="70" t="s">
        <v>117</v>
      </c>
      <c r="B27" s="70" t="s">
        <v>118</v>
      </c>
      <c r="C27" s="89" t="s">
        <v>90</v>
      </c>
      <c r="D27" s="133">
        <f>VLOOKUP(A27,'2022_PAPI_Indicators'!A22:B202,2,)</f>
        <v>0.12670376896858215</v>
      </c>
      <c r="E27" s="133">
        <f>VLOOKUP(A27,'2022_PAPI_Indicators'!A22:C202,3,FALSE)</f>
        <v>0</v>
      </c>
      <c r="F27" s="133">
        <f>VLOOKUP(A27,'2022_PAPI_Indicators'!A22:D202,4,FALSE)</f>
        <v>0.46187397837638855</v>
      </c>
      <c r="G27" s="133">
        <f>VLOOKUP(A27,'2022_PAPI_Indicators'!A22:E202,5,FALSE)</f>
        <v>0.50825875997543335</v>
      </c>
      <c r="H27" s="133">
        <f>VLOOKUP(A27,'2022_PAPI_Indicators'!A22:F202,6,FALSE)</f>
        <v>6.1151262372732162E-2</v>
      </c>
      <c r="I27" s="133">
        <f>VLOOKUP(A27,'2022_PAPI_Indicators'!A22:G202,7,FALSE)</f>
        <v>0.16582493484020233</v>
      </c>
      <c r="J27" s="133">
        <f>VLOOKUP(A27,'2022_PAPI_Indicators'!A22:H202,8,FALSE)</f>
        <v>0.35266232490539551</v>
      </c>
      <c r="K27" s="133">
        <f>VLOOKUP(A27,'2022_PAPI_Indicators'!A22:I202,9,FALSE)</f>
        <v>0.3936973512172699</v>
      </c>
      <c r="L27" s="133">
        <f>VLOOKUP(A27,'2022_PAPI_Indicators'!A22:J202,10,FALSE)</f>
        <v>0.27396309375762939</v>
      </c>
      <c r="M27" s="133">
        <f>VLOOKUP(A27,'2022_PAPI_Indicators'!A22:K202,11,FALSE)</f>
        <v>0.25693172216415405</v>
      </c>
      <c r="N27" s="133">
        <f>VLOOKUP(A27,'2022_PAPI_Indicators'!A22:L202,12,FALSE)</f>
        <v>0.1860787570476532</v>
      </c>
      <c r="O27" s="133">
        <f>VLOOKUP(A27,'2022_PAPI_Indicators'!A22:M202,13,FALSE)</f>
        <v>0.12974941730499268</v>
      </c>
      <c r="P27" s="133">
        <f>VLOOKUP(A27,'2022_PAPI_Indicators'!A22:N202,14,FALSE)</f>
        <v>2.6604022830724716E-2</v>
      </c>
      <c r="Q27" s="133">
        <f>VLOOKUP(A27,'2022_PAPI_Indicators'!A22:O202,15,FALSE)</f>
        <v>1.9271122291684151E-2</v>
      </c>
      <c r="R27" s="135">
        <f>VLOOKUP(A27,'2022_PAPI_Indicators'!A22:P202,16,FALSE)</f>
        <v>0</v>
      </c>
      <c r="S27" s="133">
        <f>VLOOKUP(A27,'2022_PAPI_Indicators'!A22:R202,17,FALSE)</f>
        <v>0</v>
      </c>
      <c r="T27" s="133">
        <f>VLOOKUP(A27,'2022_PAPI_Indicators'!A22:S202,18,FALSE)</f>
        <v>0.54113763570785522</v>
      </c>
      <c r="U27" s="135">
        <f>VLOOKUP(A27,'2022_PAPI_Indicators'!A22:T202,19,FALSE)</f>
        <v>0.56169265508651733</v>
      </c>
      <c r="V27" s="133">
        <f>VLOOKUP(A27,'2022_PAPI_Indicators'!A22:U202,20,FALSE)</f>
        <v>0.81570172309875488</v>
      </c>
      <c r="W27" s="133">
        <f>VLOOKUP(A27,'2022_PAPI_Indicators'!A22:V202,21,FALSE)</f>
        <v>4.982072114944458E-2</v>
      </c>
      <c r="X27" s="133">
        <f>VLOOKUP(A27,'2022_PAPI_Indicators'!A22:W202,22,FALSE)</f>
        <v>0.6486583948135376</v>
      </c>
      <c r="Y27" s="133">
        <f>VLOOKUP(A27,'2022_PAPI_Indicators'!A22:X202,23,FALSE)</f>
        <v>0.51124125719070435</v>
      </c>
      <c r="Z27" s="133">
        <f>VLOOKUP(A27,'2022_PAPI_Indicators'!A22:Y202,24,FALSE)</f>
        <v>0.25995516777038574</v>
      </c>
      <c r="AA27" s="133">
        <f>VLOOKUP(A27,'2022_PAPI_Indicators'!A22:Z202,25,FALSE)</f>
        <v>0.26049494743347168</v>
      </c>
      <c r="AB27" s="133">
        <f>VLOOKUP(A27,'2022_PAPI_Indicators'!A22:AA202,26,FALSE)</f>
        <v>0.1666666716337204</v>
      </c>
      <c r="AC27" s="133">
        <f>VLOOKUP(A27,'2022_PAPI_Indicators'!A22:AB202,27,FALSE)</f>
        <v>0.28919407725334167</v>
      </c>
      <c r="AD27" s="133">
        <f>VLOOKUP(A27,'2022_PAPI_Indicators'!A22:AC202,28,FALSE)</f>
        <v>0.27694264054298401</v>
      </c>
      <c r="AE27" s="133">
        <f>VLOOKUP(A27,'2022_PAPI_Indicators'!A22:AD202,29,FALSE)</f>
        <v>0.53087788820266724</v>
      </c>
      <c r="AF27" s="133">
        <f>VLOOKUP(A27,'2022_PAPI_Indicators'!A22:AE202,30,FALSE)</f>
        <v>0.53433531522750854</v>
      </c>
      <c r="AG27" s="133">
        <f>VLOOKUP(A27,'2022_PAPI_Indicators'!A22:AF202,31,FALSE)</f>
        <v>0.55669450759887695</v>
      </c>
      <c r="AH27" s="133">
        <f>VLOOKUP(A27,'2022_PAPI_Indicators'!A22:AG202,32,FALSE)</f>
        <v>0.61123472452163696</v>
      </c>
      <c r="AI27" s="133">
        <f>VLOOKUP(A27,'2022_PAPI_Indicators'!A22:AH202,33,FALSE)</f>
        <v>4.8518616706132889E-2</v>
      </c>
      <c r="AJ27" s="133">
        <f>VLOOKUP(A27,'2022_PAPI_Indicators'!A22:AI202,34,FALSE)</f>
        <v>0.47954723238945007</v>
      </c>
      <c r="AK27" s="133">
        <f>VLOOKUP(A27,'2022_PAPI_Indicators'!A22:AJ202,35,FALSE)</f>
        <v>0.31866079568862915</v>
      </c>
      <c r="AL27" s="133">
        <f>VLOOKUP(A27,'2022_PAPI_Indicators'!A22:AK202,36,FALSE)</f>
        <v>0.77348864078521729</v>
      </c>
      <c r="AM27" s="133">
        <f>VLOOKUP(A27,'2022_PAPI_Indicators'!A22:AL202,37,FALSE)</f>
        <v>0.5</v>
      </c>
      <c r="AN27" s="133">
        <f>VLOOKUP(A27,'2022_PAPI_Indicators'!A22:AM202,38,FALSE)</f>
        <v>0.25959718227386475</v>
      </c>
      <c r="AO27" s="133">
        <f>VLOOKUP(A27,'2022_PAPI_Indicators'!A22:AN202,39,FALSE)</f>
        <v>0.61161404848098755</v>
      </c>
      <c r="AP27" s="133">
        <f>VLOOKUP(A27,'2022_PAPI_Indicators'!A22:AO202,40,FALSE)</f>
        <v>0.66666668653488159</v>
      </c>
      <c r="AQ27" s="133">
        <f>VLOOKUP(A27,'2022_PAPI_Indicators'!A22:AP202,41,FALSE)</f>
        <v>0.23118950426578522</v>
      </c>
      <c r="AR27" s="133">
        <f>VLOOKUP(A27,'2022_PAPI_Indicators'!A22:AQ202,42,FALSE)</f>
        <v>0.15467800199985504</v>
      </c>
      <c r="AS27" s="133">
        <f>VLOOKUP(A27,'2022_PAPI_Indicators'!A22:AR202,43,FALSE)</f>
        <v>0.16859249770641327</v>
      </c>
      <c r="AT27" s="133">
        <f>VLOOKUP(A27,'2022_PAPI_Indicators'!A22:AS202,44,FALSE)</f>
        <v>0.51309847831726074</v>
      </c>
      <c r="AU27" s="133">
        <f>VLOOKUP(A27,'2022_PAPI_Indicators'!A22:AT202,45,FALSE)</f>
        <v>0.32592839002609253</v>
      </c>
      <c r="AV27" s="133">
        <f>VLOOKUP(A27,'2022_PAPI_Indicators'!A22:AU202,46,FALSE)</f>
        <v>8.2240030169487E-2</v>
      </c>
      <c r="AW27" s="133">
        <f>VLOOKUP(A27,'2022_PAPI_Indicators'!A22:AV202,47,FALSE)</f>
        <v>0.18560776114463806</v>
      </c>
      <c r="AX27" s="133">
        <f>VLOOKUP(A27,'2022_PAPI_Indicators'!A22:AW202,48,FALSE)</f>
        <v>0.52309566736221313</v>
      </c>
      <c r="AY27" s="133">
        <f>VLOOKUP(A27,'2022_PAPI_Indicators'!A22:AX202,49,FALSE)</f>
        <v>0.3649027943611145</v>
      </c>
      <c r="AZ27" s="133">
        <f>VLOOKUP(A27,'2022_PAPI_Indicators'!A22:AY202,50,FALSE)</f>
        <v>0.63157892227172852</v>
      </c>
      <c r="BA27" s="133">
        <f>VLOOKUP(A27,'2022_PAPI_Indicators'!A22:AZ202,51,FALSE)</f>
        <v>0.13379012048244476</v>
      </c>
      <c r="BB27" s="133">
        <f>VLOOKUP(A27,'2022_PAPI_Indicators'!A22:BA202,52,FALSE)</f>
        <v>0.5</v>
      </c>
      <c r="BC27" s="133">
        <f>VLOOKUP(A27,'2022_PAPI_Indicators'!A22:BB202,53,FALSE)</f>
        <v>0.93088150024414063</v>
      </c>
      <c r="BD27" s="133">
        <f>VLOOKUP(A27,'2022_PAPI_Indicators'!A22:BC202,54,FALSE)</f>
        <v>0.94923436641693115</v>
      </c>
      <c r="BE27" s="133">
        <f>VLOOKUP(A27,'2022_PAPI_Indicators'!A22:BD202,55,FALSE)</f>
        <v>0.92275327444076538</v>
      </c>
      <c r="BF27" s="133">
        <f>VLOOKUP(A27,'2022_PAPI_Indicators'!A22:BE202,56,FALSE)</f>
        <v>0.76578575372695923</v>
      </c>
      <c r="BG27" s="133">
        <f>VLOOKUP(A27,'2022_PAPI_Indicators'!A22:BF202,57,FALSE)</f>
        <v>0</v>
      </c>
      <c r="BH27" s="133">
        <f>VLOOKUP(A27,'2022_PAPI_Indicators'!A22:BG202,58,FALSE)</f>
        <v>0.69999998807907104</v>
      </c>
      <c r="BI27" s="133">
        <f>VLOOKUP(A27,'2022_PAPI_Indicators'!A22:BH202,59,FALSE)</f>
        <v>1</v>
      </c>
      <c r="BJ27" s="133">
        <f>VLOOKUP(A27,'2022_PAPI_Indicators'!A22:BI202,60,FALSE)</f>
        <v>0.93595582246780396</v>
      </c>
      <c r="BK27" s="133">
        <f>VLOOKUP(A27,'2022_PAPI_Indicators'!A22:BJ202,61,FALSE)</f>
        <v>0.96325069665908813</v>
      </c>
      <c r="BL27" s="133">
        <f>VLOOKUP(A27,'2022_PAPI_Indicators'!A22:BK202,62,FALSE)</f>
        <v>0.75</v>
      </c>
      <c r="BM27" s="133">
        <f>VLOOKUP(A27,'2022_PAPI_Indicators'!A22:BL202,63,FALSE)</f>
        <v>0.95898789167404175</v>
      </c>
      <c r="BN27" s="133">
        <f>VLOOKUP(A27,'2022_PAPI_Indicators'!A22:BM202,64,FALSE)</f>
        <v>0</v>
      </c>
    </row>
    <row r="28" spans="1:66" x14ac:dyDescent="0.2">
      <c r="A28" s="70" t="s">
        <v>119</v>
      </c>
      <c r="B28" s="70" t="s">
        <v>120</v>
      </c>
      <c r="C28" s="89" t="s">
        <v>90</v>
      </c>
      <c r="D28" s="133">
        <f>VLOOKUP(A28,'2022_PAPI_Indicators'!A23:B203,2,)</f>
        <v>0.93147224187850952</v>
      </c>
      <c r="E28" s="133">
        <f>VLOOKUP(A28,'2022_PAPI_Indicators'!A23:C203,3,FALSE)</f>
        <v>0.90700805187225342</v>
      </c>
      <c r="F28" s="133">
        <f>VLOOKUP(A28,'2022_PAPI_Indicators'!A23:D203,4,FALSE)</f>
        <v>0.9366614818572998</v>
      </c>
      <c r="G28" s="133">
        <f>VLOOKUP(A28,'2022_PAPI_Indicators'!A23:E203,5,FALSE)</f>
        <v>0.95609456300735474</v>
      </c>
      <c r="H28" s="133">
        <f>VLOOKUP(A28,'2022_PAPI_Indicators'!A23:F203,6,FALSE)</f>
        <v>0.92485576868057251</v>
      </c>
      <c r="I28" s="133">
        <f>VLOOKUP(A28,'2022_PAPI_Indicators'!A23:G203,7,FALSE)</f>
        <v>0.86346548795700073</v>
      </c>
      <c r="J28" s="133">
        <f>VLOOKUP(A28,'2022_PAPI_Indicators'!A23:H203,8,FALSE)</f>
        <v>0.96581995487213135</v>
      </c>
      <c r="K28" s="133">
        <f>VLOOKUP(A28,'2022_PAPI_Indicators'!A23:I203,9,FALSE)</f>
        <v>0.8906092643737793</v>
      </c>
      <c r="L28" s="133">
        <f>VLOOKUP(A28,'2022_PAPI_Indicators'!A23:J203,10,FALSE)</f>
        <v>0.93778008222579956</v>
      </c>
      <c r="M28" s="133">
        <f>VLOOKUP(A28,'2022_PAPI_Indicators'!A23:K203,11,FALSE)</f>
        <v>0.95440113544464111</v>
      </c>
      <c r="N28" s="133">
        <f>VLOOKUP(A28,'2022_PAPI_Indicators'!A23:L203,12,FALSE)</f>
        <v>0.93309974670410156</v>
      </c>
      <c r="O28" s="133">
        <f>VLOOKUP(A28,'2022_PAPI_Indicators'!A23:M203,13,FALSE)</f>
        <v>0.95932996273040771</v>
      </c>
      <c r="P28" s="133">
        <f>VLOOKUP(A28,'2022_PAPI_Indicators'!A23:N203,14,FALSE)</f>
        <v>0.90152513980865479</v>
      </c>
      <c r="Q28" s="133">
        <f>VLOOKUP(A28,'2022_PAPI_Indicators'!A23:O203,15,FALSE)</f>
        <v>0.89455032348632813</v>
      </c>
      <c r="R28" s="135">
        <f>VLOOKUP(A28,'2022_PAPI_Indicators'!A23:P203,16,FALSE)</f>
        <v>0</v>
      </c>
      <c r="S28" s="133">
        <f>VLOOKUP(A28,'2022_PAPI_Indicators'!A23:R203,17,FALSE)</f>
        <v>0.93022966384887695</v>
      </c>
      <c r="T28" s="133">
        <f>VLOOKUP(A28,'2022_PAPI_Indicators'!A23:S203,18,FALSE)</f>
        <v>0.92553287744522095</v>
      </c>
      <c r="U28" s="135">
        <f>VLOOKUP(A28,'2022_PAPI_Indicators'!A23:T203,19,FALSE)</f>
        <v>0.9697721004486084</v>
      </c>
      <c r="V28" s="133">
        <f>VLOOKUP(A28,'2022_PAPI_Indicators'!A23:U203,20,FALSE)</f>
        <v>0.89889156818389893</v>
      </c>
      <c r="W28" s="133">
        <f>VLOOKUP(A28,'2022_PAPI_Indicators'!A23:V203,21,FALSE)</f>
        <v>0.99936103820800781</v>
      </c>
      <c r="X28" s="133">
        <f>VLOOKUP(A28,'2022_PAPI_Indicators'!A23:W203,22,FALSE)</f>
        <v>0.94532233476638794</v>
      </c>
      <c r="Y28" s="133">
        <f>VLOOKUP(A28,'2022_PAPI_Indicators'!A23:X203,23,FALSE)</f>
        <v>0.95167797803878784</v>
      </c>
      <c r="Z28" s="133">
        <f>VLOOKUP(A28,'2022_PAPI_Indicators'!A23:Y203,24,FALSE)</f>
        <v>0.97169804573059082</v>
      </c>
      <c r="AA28" s="133">
        <f>VLOOKUP(A28,'2022_PAPI_Indicators'!A23:Z203,25,FALSE)</f>
        <v>0.9320717453956604</v>
      </c>
      <c r="AB28" s="133">
        <f>VLOOKUP(A28,'2022_PAPI_Indicators'!A23:AA203,26,FALSE)</f>
        <v>0.87921977043151855</v>
      </c>
      <c r="AC28" s="133">
        <f>VLOOKUP(A28,'2022_PAPI_Indicators'!A23:AB203,27,FALSE)</f>
        <v>0.97074025869369507</v>
      </c>
      <c r="AD28" s="133">
        <f>VLOOKUP(A28,'2022_PAPI_Indicators'!A23:AC203,28,FALSE)</f>
        <v>0.95771831274032593</v>
      </c>
      <c r="AE28" s="133">
        <f>VLOOKUP(A28,'2022_PAPI_Indicators'!A23:AD203,29,FALSE)</f>
        <v>0.93915408849716187</v>
      </c>
      <c r="AF28" s="133">
        <f>VLOOKUP(A28,'2022_PAPI_Indicators'!A23:AE203,30,FALSE)</f>
        <v>0.89879441261291504</v>
      </c>
      <c r="AG28" s="133">
        <f>VLOOKUP(A28,'2022_PAPI_Indicators'!A23:AF203,31,FALSE)</f>
        <v>0.87711071968078613</v>
      </c>
      <c r="AH28" s="133">
        <f>VLOOKUP(A28,'2022_PAPI_Indicators'!A23:AG203,32,FALSE)</f>
        <v>0.93279826641082764</v>
      </c>
      <c r="AI28" s="133">
        <f>VLOOKUP(A28,'2022_PAPI_Indicators'!A23:AH203,33,FALSE)</f>
        <v>0.92487066984176636</v>
      </c>
      <c r="AJ28" s="133">
        <f>VLOOKUP(A28,'2022_PAPI_Indicators'!A23:AI203,34,FALSE)</f>
        <v>0.90983164310455322</v>
      </c>
      <c r="AK28" s="133">
        <f>VLOOKUP(A28,'2022_PAPI_Indicators'!A23:AJ203,35,FALSE)</f>
        <v>0.94956064224243164</v>
      </c>
      <c r="AL28" s="133">
        <f>VLOOKUP(A28,'2022_PAPI_Indicators'!A23:AK203,36,FALSE)</f>
        <v>0.95079761743545532</v>
      </c>
      <c r="AM28" s="133">
        <f>VLOOKUP(A28,'2022_PAPI_Indicators'!A23:AL203,37,FALSE)</f>
        <v>0.9242546558380127</v>
      </c>
      <c r="AN28" s="133">
        <f>VLOOKUP(A28,'2022_PAPI_Indicators'!A23:AM203,38,FALSE)</f>
        <v>0.88047027587890625</v>
      </c>
      <c r="AO28" s="133">
        <f>VLOOKUP(A28,'2022_PAPI_Indicators'!A23:AN203,39,FALSE)</f>
        <v>0.89368730783462524</v>
      </c>
      <c r="AP28" s="133">
        <f>VLOOKUP(A28,'2022_PAPI_Indicators'!A23:AO203,40,FALSE)</f>
        <v>0.87323200702667236</v>
      </c>
      <c r="AQ28" s="133">
        <f>VLOOKUP(A28,'2022_PAPI_Indicators'!A23:AP203,41,FALSE)</f>
        <v>0.94492954015731812</v>
      </c>
      <c r="AR28" s="133">
        <f>VLOOKUP(A28,'2022_PAPI_Indicators'!A23:AQ203,42,FALSE)</f>
        <v>0.88087248802185059</v>
      </c>
      <c r="AS28" s="133">
        <f>VLOOKUP(A28,'2022_PAPI_Indicators'!A23:AR203,43,FALSE)</f>
        <v>0.93882596492767334</v>
      </c>
      <c r="AT28" s="133">
        <f>VLOOKUP(A28,'2022_PAPI_Indicators'!A23:AS203,44,FALSE)</f>
        <v>0.95119178295135498</v>
      </c>
      <c r="AU28" s="133">
        <f>VLOOKUP(A28,'2022_PAPI_Indicators'!A23:AT203,45,FALSE)</f>
        <v>0.87038117647171021</v>
      </c>
      <c r="AV28" s="133">
        <f>VLOOKUP(A28,'2022_PAPI_Indicators'!A23:AU203,46,FALSE)</f>
        <v>0.83606034517288208</v>
      </c>
      <c r="AW28" s="133">
        <f>VLOOKUP(A28,'2022_PAPI_Indicators'!A23:AV203,47,FALSE)</f>
        <v>0.88684463500976563</v>
      </c>
      <c r="AX28" s="133">
        <f>VLOOKUP(A28,'2022_PAPI_Indicators'!A23:AW203,48,FALSE)</f>
        <v>0.91419243812561035</v>
      </c>
      <c r="AY28" s="133">
        <f>VLOOKUP(A28,'2022_PAPI_Indicators'!A23:AX203,49,FALSE)</f>
        <v>0.87724637985229492</v>
      </c>
      <c r="AZ28" s="133">
        <f>VLOOKUP(A28,'2022_PAPI_Indicators'!A23:AY203,50,FALSE)</f>
        <v>0.89287543296813965</v>
      </c>
      <c r="BA28" s="133">
        <f>VLOOKUP(A28,'2022_PAPI_Indicators'!A23:AZ203,51,FALSE)</f>
        <v>0.79101943969726563</v>
      </c>
      <c r="BB28" s="133">
        <f>VLOOKUP(A28,'2022_PAPI_Indicators'!A23:BA203,52,FALSE)</f>
        <v>0.87748432159423828</v>
      </c>
      <c r="BC28" s="133">
        <f>VLOOKUP(A28,'2022_PAPI_Indicators'!A23:BB203,53,FALSE)</f>
        <v>0.93306148052215576</v>
      </c>
      <c r="BD28" s="133">
        <f>VLOOKUP(A28,'2022_PAPI_Indicators'!A23:BC203,54,FALSE)</f>
        <v>0.89752453565597534</v>
      </c>
      <c r="BE28" s="133">
        <f>VLOOKUP(A28,'2022_PAPI_Indicators'!A23:BD203,55,FALSE)</f>
        <v>0.90929031372070313</v>
      </c>
      <c r="BF28" s="133">
        <f>VLOOKUP(A28,'2022_PAPI_Indicators'!A23:BE203,56,FALSE)</f>
        <v>0.88111728429794312</v>
      </c>
      <c r="BG28" s="133">
        <f>VLOOKUP(A28,'2022_PAPI_Indicators'!A23:BF203,57,FALSE)</f>
        <v>0.86241298913955688</v>
      </c>
      <c r="BH28" s="133">
        <f>VLOOKUP(A28,'2022_PAPI_Indicators'!A23:BG203,58,FALSE)</f>
        <v>0.87384003400802612</v>
      </c>
      <c r="BI28" s="133">
        <f>VLOOKUP(A28,'2022_PAPI_Indicators'!A23:BH203,59,FALSE)</f>
        <v>0.90553218126296997</v>
      </c>
      <c r="BJ28" s="133">
        <f>VLOOKUP(A28,'2022_PAPI_Indicators'!A23:BI203,60,FALSE)</f>
        <v>0.86998093128204346</v>
      </c>
      <c r="BK28" s="133">
        <f>VLOOKUP(A28,'2022_PAPI_Indicators'!A23:BJ203,61,FALSE)</f>
        <v>0.89312982559204102</v>
      </c>
      <c r="BL28" s="133">
        <f>VLOOKUP(A28,'2022_PAPI_Indicators'!A23:BK203,62,FALSE)</f>
        <v>0.9342387318611145</v>
      </c>
      <c r="BM28" s="133">
        <f>VLOOKUP(A28,'2022_PAPI_Indicators'!A23:BL203,63,FALSE)</f>
        <v>0.90663647651672363</v>
      </c>
      <c r="BN28" s="133">
        <f>VLOOKUP(A28,'2022_PAPI_Indicators'!A23:BM203,64,FALSE)</f>
        <v>0.92365860939025879</v>
      </c>
    </row>
    <row r="29" spans="1:66" s="77" customFormat="1" x14ac:dyDescent="0.2">
      <c r="A29" s="77" t="s">
        <v>121</v>
      </c>
      <c r="B29" s="77" t="s">
        <v>122</v>
      </c>
      <c r="C29" s="92" t="s">
        <v>448</v>
      </c>
      <c r="D29" s="131">
        <v>1.28</v>
      </c>
      <c r="E29" s="138">
        <v>0.97940629720687866</v>
      </c>
      <c r="F29" s="138">
        <v>0.80511766672134399</v>
      </c>
      <c r="G29" s="138">
        <v>1.0044847726821899</v>
      </c>
      <c r="H29" s="138">
        <v>1.2247974872589111</v>
      </c>
      <c r="I29" s="138">
        <v>1.0431187152862549</v>
      </c>
      <c r="J29" s="138">
        <v>0.75831985473632813</v>
      </c>
      <c r="K29" s="138">
        <v>1.1589204072952271</v>
      </c>
      <c r="L29" s="138">
        <v>0.79783248901367188</v>
      </c>
      <c r="M29" s="138">
        <v>0.97365665435791016</v>
      </c>
      <c r="N29" s="138">
        <v>0.92516833543777466</v>
      </c>
      <c r="O29" s="138">
        <v>1.0993419885635376</v>
      </c>
      <c r="P29" s="138">
        <v>1.2296795845031738</v>
      </c>
      <c r="Q29" s="138">
        <v>0.9425615668296814</v>
      </c>
      <c r="R29" s="132">
        <v>0</v>
      </c>
      <c r="S29" s="138">
        <v>1.2670700550079346</v>
      </c>
      <c r="T29" s="138">
        <v>1.1092987060546875</v>
      </c>
      <c r="U29" s="139">
        <v>1.262264609336853</v>
      </c>
      <c r="V29" s="138">
        <v>1.286683201789856</v>
      </c>
      <c r="W29" s="138">
        <v>1.0359441041946411</v>
      </c>
      <c r="X29" s="138">
        <v>1.179573655128479</v>
      </c>
      <c r="Y29" s="138">
        <v>0.99524104595184326</v>
      </c>
      <c r="Z29" s="138">
        <v>1.1924055814743042</v>
      </c>
      <c r="AA29" s="138">
        <v>1.0389417409896851</v>
      </c>
      <c r="AB29" s="138">
        <v>0.83281064033508301</v>
      </c>
      <c r="AC29" s="138">
        <v>1.2961041927337646</v>
      </c>
      <c r="AD29" s="138">
        <v>1.16609787940979</v>
      </c>
      <c r="AE29" s="138">
        <v>1.2461912631988525</v>
      </c>
      <c r="AF29" s="138">
        <v>0.94477176666259766</v>
      </c>
      <c r="AG29" s="138">
        <v>0.89244246482849121</v>
      </c>
      <c r="AH29" s="138">
        <v>1.2708672285079956</v>
      </c>
      <c r="AI29" s="138">
        <v>0.63921356201171875</v>
      </c>
      <c r="AJ29" s="138">
        <v>0.65492928028106689</v>
      </c>
      <c r="AK29" s="138">
        <v>1.0419068336486816</v>
      </c>
      <c r="AL29" s="138">
        <v>0.96019667387008667</v>
      </c>
      <c r="AM29" s="138">
        <v>0.87005263566970825</v>
      </c>
      <c r="AN29" s="138">
        <v>0.71708709001541138</v>
      </c>
      <c r="AO29" s="138">
        <v>1.2052446603775024</v>
      </c>
      <c r="AP29" s="138">
        <v>1.583074688911438</v>
      </c>
      <c r="AQ29" s="138">
        <v>1.1932834386825562</v>
      </c>
      <c r="AR29" s="138">
        <v>1.1337742805480957</v>
      </c>
      <c r="AS29" s="138">
        <v>1.3773525953292847</v>
      </c>
      <c r="AT29" s="138">
        <v>1.0929514169692993</v>
      </c>
      <c r="AU29" s="138">
        <v>0.92108845710754395</v>
      </c>
      <c r="AV29" s="138">
        <v>0.9847298264503479</v>
      </c>
      <c r="AW29" s="138">
        <v>0.77349215745925903</v>
      </c>
      <c r="AX29" s="138">
        <v>1.4828119277954102</v>
      </c>
      <c r="AY29" s="138">
        <v>1.1236087083816528</v>
      </c>
      <c r="AZ29" s="138">
        <v>0.60141563415527344</v>
      </c>
      <c r="BA29" s="138">
        <v>1.1866391897201538</v>
      </c>
      <c r="BB29" s="138">
        <v>1.3578896522521973</v>
      </c>
      <c r="BC29" s="138">
        <v>1.0894062519073486</v>
      </c>
      <c r="BD29" s="138">
        <v>1.1539642810821533</v>
      </c>
      <c r="BE29" s="138">
        <v>0.86388516426086426</v>
      </c>
      <c r="BF29" s="138">
        <v>1.061409592628479</v>
      </c>
      <c r="BG29" s="138">
        <v>0.98520588874816895</v>
      </c>
      <c r="BH29" s="138">
        <v>1.112024188041687</v>
      </c>
      <c r="BI29" s="138">
        <v>0.85265451669692993</v>
      </c>
      <c r="BJ29" s="138">
        <v>0.96793383359909058</v>
      </c>
      <c r="BK29" s="138">
        <v>1.0104784965515137</v>
      </c>
      <c r="BL29" s="138">
        <v>1.2469751834869385</v>
      </c>
      <c r="BM29" s="138">
        <v>1.2533687353134155</v>
      </c>
      <c r="BN29" s="138">
        <v>0.73371785879135132</v>
      </c>
    </row>
    <row r="30" spans="1:66" x14ac:dyDescent="0.2">
      <c r="A30" s="70" t="s">
        <v>123</v>
      </c>
      <c r="B30" s="70" t="s">
        <v>124</v>
      </c>
      <c r="C30" s="89" t="s">
        <v>90</v>
      </c>
      <c r="D30" s="133">
        <f>VLOOKUP(A30,'2022_PAPI_Indicators'!A25:B205,2,)</f>
        <v>0.58849573135375977</v>
      </c>
      <c r="E30" s="133">
        <f>VLOOKUP(A30,'2022_PAPI_Indicators'!A25:C205,3,FALSE)</f>
        <v>0.37862792611122131</v>
      </c>
      <c r="F30" s="133">
        <f>VLOOKUP(A30,'2022_PAPI_Indicators'!A25:D205,4,FALSE)</f>
        <v>0.28059014678001404</v>
      </c>
      <c r="G30" s="133">
        <f>VLOOKUP(A30,'2022_PAPI_Indicators'!A25:E205,5,FALSE)</f>
        <v>0.25244885683059692</v>
      </c>
      <c r="H30" s="133">
        <f>VLOOKUP(A30,'2022_PAPI_Indicators'!A25:F205,6,FALSE)</f>
        <v>0.42699706554412842</v>
      </c>
      <c r="I30" s="133">
        <f>VLOOKUP(A30,'2022_PAPI_Indicators'!A25:G205,7,FALSE)</f>
        <v>0.48971730470657349</v>
      </c>
      <c r="J30" s="133">
        <f>VLOOKUP(A30,'2022_PAPI_Indicators'!A25:H205,8,FALSE)</f>
        <v>0.23008304834365845</v>
      </c>
      <c r="K30" s="133">
        <f>VLOOKUP(A30,'2022_PAPI_Indicators'!A25:I205,9,FALSE)</f>
        <v>0.50510138273239136</v>
      </c>
      <c r="L30" s="133">
        <f>VLOOKUP(A30,'2022_PAPI_Indicators'!A25:J205,10,FALSE)</f>
        <v>0.2481379508972168</v>
      </c>
      <c r="M30" s="133">
        <f>VLOOKUP(A30,'2022_PAPI_Indicators'!A25:K205,11,FALSE)</f>
        <v>0.24803151190280914</v>
      </c>
      <c r="N30" s="133">
        <f>VLOOKUP(A30,'2022_PAPI_Indicators'!A25:L205,12,FALSE)</f>
        <v>0.23572145402431488</v>
      </c>
      <c r="O30" s="133">
        <f>VLOOKUP(A30,'2022_PAPI_Indicators'!A25:M205,13,FALSE)</f>
        <v>0.35144838690757751</v>
      </c>
      <c r="P30" s="133">
        <f>VLOOKUP(A30,'2022_PAPI_Indicators'!A25:N205,14,FALSE)</f>
        <v>0.52885788679122925</v>
      </c>
      <c r="Q30" s="133">
        <f>VLOOKUP(A30,'2022_PAPI_Indicators'!A25:O205,15,FALSE)</f>
        <v>0.4824562668800354</v>
      </c>
      <c r="R30" s="135">
        <f>VLOOKUP(A30,'2022_PAPI_Indicators'!A25:P205,16,FALSE)</f>
        <v>0</v>
      </c>
      <c r="S30" s="133">
        <f>VLOOKUP(A30,'2022_PAPI_Indicators'!A25:R205,17,FALSE)</f>
        <v>0.59767425060272217</v>
      </c>
      <c r="T30" s="133">
        <f>VLOOKUP(A30,'2022_PAPI_Indicators'!A25:S205,18,FALSE)</f>
        <v>0.4641459584236145</v>
      </c>
      <c r="U30" s="135">
        <f>VLOOKUP(A30,'2022_PAPI_Indicators'!A25:T205,19,FALSE)</f>
        <v>0.49026459455490112</v>
      </c>
      <c r="V30" s="133">
        <f>VLOOKUP(A30,'2022_PAPI_Indicators'!A25:U205,20,FALSE)</f>
        <v>0.52997767925262451</v>
      </c>
      <c r="W30" s="133">
        <f>VLOOKUP(A30,'2022_PAPI_Indicators'!A25:V205,21,FALSE)</f>
        <v>0.48554310202598572</v>
      </c>
      <c r="X30" s="133">
        <f>VLOOKUP(A30,'2022_PAPI_Indicators'!A25:W205,22,FALSE)</f>
        <v>0.55848103761672974</v>
      </c>
      <c r="Y30" s="133">
        <f>VLOOKUP(A30,'2022_PAPI_Indicators'!A25:X205,23,FALSE)</f>
        <v>0.39286091923713684</v>
      </c>
      <c r="Z30" s="133">
        <f>VLOOKUP(A30,'2022_PAPI_Indicators'!A25:Y205,24,FALSE)</f>
        <v>0.43077546358108521</v>
      </c>
      <c r="AA30" s="133">
        <f>VLOOKUP(A30,'2022_PAPI_Indicators'!A25:Z205,25,FALSE)</f>
        <v>0.50416040420532227</v>
      </c>
      <c r="AB30" s="133">
        <f>VLOOKUP(A30,'2022_PAPI_Indicators'!A25:AA205,26,FALSE)</f>
        <v>0.24758791923522949</v>
      </c>
      <c r="AC30" s="133">
        <f>VLOOKUP(A30,'2022_PAPI_Indicators'!A25:AB205,27,FALSE)</f>
        <v>0.49301156401634216</v>
      </c>
      <c r="AD30" s="133">
        <f>VLOOKUP(A30,'2022_PAPI_Indicators'!A25:AC205,28,FALSE)</f>
        <v>0.46432587504386902</v>
      </c>
      <c r="AE30" s="133">
        <f>VLOOKUP(A30,'2022_PAPI_Indicators'!A25:AD205,29,FALSE)</f>
        <v>0.42633870244026184</v>
      </c>
      <c r="AF30" s="133">
        <f>VLOOKUP(A30,'2022_PAPI_Indicators'!A25:AE205,30,FALSE)</f>
        <v>0.28972810506820679</v>
      </c>
      <c r="AG30" s="133">
        <f>VLOOKUP(A30,'2022_PAPI_Indicators'!A25:AF205,31,FALSE)</f>
        <v>0.24958562850952148</v>
      </c>
      <c r="AH30" s="133">
        <f>VLOOKUP(A30,'2022_PAPI_Indicators'!A25:AG205,32,FALSE)</f>
        <v>0.5310741662979126</v>
      </c>
      <c r="AI30" s="133">
        <f>VLOOKUP(A30,'2022_PAPI_Indicators'!A25:AH205,33,FALSE)</f>
        <v>0.1600823849439621</v>
      </c>
      <c r="AJ30" s="133">
        <f>VLOOKUP(A30,'2022_PAPI_Indicators'!A25:AI205,34,FALSE)</f>
        <v>0.1477733850479126</v>
      </c>
      <c r="AK30" s="133">
        <f>VLOOKUP(A30,'2022_PAPI_Indicators'!A25:AJ205,35,FALSE)</f>
        <v>0.40762788057327271</v>
      </c>
      <c r="AL30" s="133">
        <f>VLOOKUP(A30,'2022_PAPI_Indicators'!A25:AK205,36,FALSE)</f>
        <v>0.51456606388092041</v>
      </c>
      <c r="AM30" s="133">
        <f>VLOOKUP(A30,'2022_PAPI_Indicators'!A25:AL205,37,FALSE)</f>
        <v>0.30456799268722534</v>
      </c>
      <c r="AN30" s="133">
        <f>VLOOKUP(A30,'2022_PAPI_Indicators'!A25:AM205,38,FALSE)</f>
        <v>0.27796301245689392</v>
      </c>
      <c r="AO30" s="133">
        <f>VLOOKUP(A30,'2022_PAPI_Indicators'!A25:AN205,39,FALSE)</f>
        <v>0.49637195467948914</v>
      </c>
      <c r="AP30" s="133">
        <f>VLOOKUP(A30,'2022_PAPI_Indicators'!A25:AO205,40,FALSE)</f>
        <v>0.6483691930770874</v>
      </c>
      <c r="AQ30" s="133">
        <f>VLOOKUP(A30,'2022_PAPI_Indicators'!A25:AP205,41,FALSE)</f>
        <v>0.35938149690628052</v>
      </c>
      <c r="AR30" s="133">
        <f>VLOOKUP(A30,'2022_PAPI_Indicators'!A25:AQ205,42,FALSE)</f>
        <v>0.32956817746162415</v>
      </c>
      <c r="AS30" s="133">
        <f>VLOOKUP(A30,'2022_PAPI_Indicators'!A25:AR205,43,FALSE)</f>
        <v>0.49604150652885437</v>
      </c>
      <c r="AT30" s="133">
        <f>VLOOKUP(A30,'2022_PAPI_Indicators'!A25:AS205,44,FALSE)</f>
        <v>0.37751427292823792</v>
      </c>
      <c r="AU30" s="133">
        <f>VLOOKUP(A30,'2022_PAPI_Indicators'!A25:AT205,45,FALSE)</f>
        <v>0.46276336908340454</v>
      </c>
      <c r="AV30" s="133">
        <f>VLOOKUP(A30,'2022_PAPI_Indicators'!A25:AU205,46,FALSE)</f>
        <v>0.3824705183506012</v>
      </c>
      <c r="AW30" s="133">
        <f>VLOOKUP(A30,'2022_PAPI_Indicators'!A25:AV205,47,FALSE)</f>
        <v>0.25686800479888916</v>
      </c>
      <c r="AX30" s="133">
        <f>VLOOKUP(A30,'2022_PAPI_Indicators'!A25:AW205,48,FALSE)</f>
        <v>0.69298690557479858</v>
      </c>
      <c r="AY30" s="133">
        <f>VLOOKUP(A30,'2022_PAPI_Indicators'!A25:AX205,49,FALSE)</f>
        <v>0.396778404712677</v>
      </c>
      <c r="AZ30" s="133">
        <f>VLOOKUP(A30,'2022_PAPI_Indicators'!A25:AY205,50,FALSE)</f>
        <v>0.18852230906486511</v>
      </c>
      <c r="BA30" s="133">
        <f>VLOOKUP(A30,'2022_PAPI_Indicators'!A25:AZ205,51,FALSE)</f>
        <v>0.5527384877204895</v>
      </c>
      <c r="BB30" s="133">
        <f>VLOOKUP(A30,'2022_PAPI_Indicators'!A25:BA205,52,FALSE)</f>
        <v>0.48072290420532227</v>
      </c>
      <c r="BC30" s="133">
        <f>VLOOKUP(A30,'2022_PAPI_Indicators'!A25:BB205,53,FALSE)</f>
        <v>0.37194228172302246</v>
      </c>
      <c r="BD30" s="133">
        <f>VLOOKUP(A30,'2022_PAPI_Indicators'!A25:BC205,54,FALSE)</f>
        <v>0.38879552483558655</v>
      </c>
      <c r="BE30" s="133">
        <f>VLOOKUP(A30,'2022_PAPI_Indicators'!A25:BD205,55,FALSE)</f>
        <v>0.40772917866706848</v>
      </c>
      <c r="BF30" s="133">
        <f>VLOOKUP(A30,'2022_PAPI_Indicators'!A25:BE205,56,FALSE)</f>
        <v>0.54365891218185425</v>
      </c>
      <c r="BG30" s="133">
        <f>VLOOKUP(A30,'2022_PAPI_Indicators'!A25:BF205,57,FALSE)</f>
        <v>0.50549226999282837</v>
      </c>
      <c r="BH30" s="133">
        <f>VLOOKUP(A30,'2022_PAPI_Indicators'!A25:BG205,58,FALSE)</f>
        <v>0.49457874894142151</v>
      </c>
      <c r="BI30" s="133">
        <f>VLOOKUP(A30,'2022_PAPI_Indicators'!A25:BH205,59,FALSE)</f>
        <v>0.26196902990341187</v>
      </c>
      <c r="BJ30" s="133">
        <f>VLOOKUP(A30,'2022_PAPI_Indicators'!A25:BI205,60,FALSE)</f>
        <v>0.30276304483413696</v>
      </c>
      <c r="BK30" s="133">
        <f>VLOOKUP(A30,'2022_PAPI_Indicators'!A25:BJ205,61,FALSE)</f>
        <v>0.37727734446525574</v>
      </c>
      <c r="BL30" s="133">
        <f>VLOOKUP(A30,'2022_PAPI_Indicators'!A25:BK205,62,FALSE)</f>
        <v>0.61708080768585205</v>
      </c>
      <c r="BM30" s="133">
        <f>VLOOKUP(A30,'2022_PAPI_Indicators'!A25:BL205,63,FALSE)</f>
        <v>0.50372856855392456</v>
      </c>
      <c r="BN30" s="133">
        <f>VLOOKUP(A30,'2022_PAPI_Indicators'!A25:BM205,64,FALSE)</f>
        <v>0.253438800573349</v>
      </c>
    </row>
    <row r="31" spans="1:66" x14ac:dyDescent="0.2">
      <c r="A31" s="70" t="s">
        <v>125</v>
      </c>
      <c r="B31" s="70" t="s">
        <v>126</v>
      </c>
      <c r="C31" s="89" t="s">
        <v>90</v>
      </c>
      <c r="D31" s="133">
        <f>VLOOKUP(A31,'2022_PAPI_Indicators'!A26:B206,2,)</f>
        <v>0.46852630376815796</v>
      </c>
      <c r="E31" s="133">
        <f>VLOOKUP(A31,'2022_PAPI_Indicators'!A26:C206,3,FALSE)</f>
        <v>0.31188783049583435</v>
      </c>
      <c r="F31" s="133">
        <f>VLOOKUP(A31,'2022_PAPI_Indicators'!A26:D206,4,FALSE)</f>
        <v>0.2152286171913147</v>
      </c>
      <c r="G31" s="133">
        <f>VLOOKUP(A31,'2022_PAPI_Indicators'!A26:E206,5,FALSE)</f>
        <v>0.46817293763160706</v>
      </c>
      <c r="H31" s="133">
        <f>VLOOKUP(A31,'2022_PAPI_Indicators'!A26:F206,6,FALSE)</f>
        <v>0.45821860432624817</v>
      </c>
      <c r="I31" s="133">
        <f>VLOOKUP(A31,'2022_PAPI_Indicators'!A26:G206,7,FALSE)</f>
        <v>0.21782505512237549</v>
      </c>
      <c r="J31" s="133">
        <f>VLOOKUP(A31,'2022_PAPI_Indicators'!A26:H206,8,FALSE)</f>
        <v>0.23278667032718658</v>
      </c>
      <c r="K31" s="133">
        <f>VLOOKUP(A31,'2022_PAPI_Indicators'!A26:I206,9,FALSE)</f>
        <v>0.38873746991157532</v>
      </c>
      <c r="L31" s="133">
        <f>VLOOKUP(A31,'2022_PAPI_Indicators'!A26:J206,10,FALSE)</f>
        <v>0.17535622417926788</v>
      </c>
      <c r="M31" s="133">
        <f>VLOOKUP(A31,'2022_PAPI_Indicators'!A26:K206,11,FALSE)</f>
        <v>0.36527204513549805</v>
      </c>
      <c r="N31" s="133">
        <f>VLOOKUP(A31,'2022_PAPI_Indicators'!A26:L206,12,FALSE)</f>
        <v>0.33767777681350708</v>
      </c>
      <c r="O31" s="133">
        <f>VLOOKUP(A31,'2022_PAPI_Indicators'!A26:M206,13,FALSE)</f>
        <v>0.46926623582839966</v>
      </c>
      <c r="P31" s="133">
        <f>VLOOKUP(A31,'2022_PAPI_Indicators'!A26:N206,14,FALSE)</f>
        <v>0.40834218263626099</v>
      </c>
      <c r="Q31" s="133">
        <f>VLOOKUP(A31,'2022_PAPI_Indicators'!A26:O206,15,FALSE)</f>
        <v>0.27990391850471497</v>
      </c>
      <c r="R31" s="135">
        <f>VLOOKUP(A31,'2022_PAPI_Indicators'!A26:P206,16,FALSE)</f>
        <v>0</v>
      </c>
      <c r="S31" s="133">
        <f>VLOOKUP(A31,'2022_PAPI_Indicators'!A26:R206,17,FALSE)</f>
        <v>0.39023256301879883</v>
      </c>
      <c r="T31" s="133">
        <f>VLOOKUP(A31,'2022_PAPI_Indicators'!A26:S206,18,FALSE)</f>
        <v>0.39243790507316589</v>
      </c>
      <c r="U31" s="135">
        <f>VLOOKUP(A31,'2022_PAPI_Indicators'!A26:T206,19,FALSE)</f>
        <v>0.29825803637504578</v>
      </c>
      <c r="V31" s="133">
        <f>VLOOKUP(A31,'2022_PAPI_Indicators'!A26:U206,20,FALSE)</f>
        <v>0.45003724098205566</v>
      </c>
      <c r="W31" s="133">
        <f>VLOOKUP(A31,'2022_PAPI_Indicators'!A26:V206,21,FALSE)</f>
        <v>0.30567088723182678</v>
      </c>
      <c r="X31" s="133">
        <f>VLOOKUP(A31,'2022_PAPI_Indicators'!A26:W206,22,FALSE)</f>
        <v>0.36230701208114624</v>
      </c>
      <c r="Y31" s="133">
        <f>VLOOKUP(A31,'2022_PAPI_Indicators'!A26:X206,23,FALSE)</f>
        <v>0.33570599555969238</v>
      </c>
      <c r="Z31" s="133">
        <f>VLOOKUP(A31,'2022_PAPI_Indicators'!A26:Y206,24,FALSE)</f>
        <v>0.41196373105049133</v>
      </c>
      <c r="AA31" s="133">
        <f>VLOOKUP(A31,'2022_PAPI_Indicators'!A26:Z206,25,FALSE)</f>
        <v>0.37473157048225403</v>
      </c>
      <c r="AB31" s="133">
        <f>VLOOKUP(A31,'2022_PAPI_Indicators'!A26:AA206,26,FALSE)</f>
        <v>0.27595537900924683</v>
      </c>
      <c r="AC31" s="133">
        <f>VLOOKUP(A31,'2022_PAPI_Indicators'!A26:AB206,27,FALSE)</f>
        <v>0.39253687858581543</v>
      </c>
      <c r="AD31" s="133">
        <f>VLOOKUP(A31,'2022_PAPI_Indicators'!A26:AC206,28,FALSE)</f>
        <v>0.36247313022613525</v>
      </c>
      <c r="AE31" s="133">
        <f>VLOOKUP(A31,'2022_PAPI_Indicators'!A26:AD206,29,FALSE)</f>
        <v>0.40712529420852661</v>
      </c>
      <c r="AF31" s="133">
        <f>VLOOKUP(A31,'2022_PAPI_Indicators'!A26:AE206,30,FALSE)</f>
        <v>0.35725536942481995</v>
      </c>
      <c r="AG31" s="133">
        <f>VLOOKUP(A31,'2022_PAPI_Indicators'!A26:AF206,31,FALSE)</f>
        <v>0.31913810968399048</v>
      </c>
      <c r="AH31" s="133">
        <f>VLOOKUP(A31,'2022_PAPI_Indicators'!A26:AG206,32,FALSE)</f>
        <v>0.47084400057792664</v>
      </c>
      <c r="AI31" s="133">
        <f>VLOOKUP(A31,'2022_PAPI_Indicators'!A26:AH206,33,FALSE)</f>
        <v>0.24414429068565369</v>
      </c>
      <c r="AJ31" s="133">
        <f>VLOOKUP(A31,'2022_PAPI_Indicators'!A26:AI206,34,FALSE)</f>
        <v>0.23299604654312134</v>
      </c>
      <c r="AK31" s="133">
        <f>VLOOKUP(A31,'2022_PAPI_Indicators'!A26:AJ206,35,FALSE)</f>
        <v>0.43170210719108582</v>
      </c>
      <c r="AL31" s="133">
        <f>VLOOKUP(A31,'2022_PAPI_Indicators'!A26:AK206,36,FALSE)</f>
        <v>0.25728303194046021</v>
      </c>
      <c r="AM31" s="133">
        <f>VLOOKUP(A31,'2022_PAPI_Indicators'!A26:AL206,37,FALSE)</f>
        <v>0.34278646111488342</v>
      </c>
      <c r="AN31" s="133">
        <f>VLOOKUP(A31,'2022_PAPI_Indicators'!A26:AM206,38,FALSE)</f>
        <v>0.2237040102481842</v>
      </c>
      <c r="AO31" s="133">
        <f>VLOOKUP(A31,'2022_PAPI_Indicators'!A26:AN206,39,FALSE)</f>
        <v>0.41066351532936096</v>
      </c>
      <c r="AP31" s="133">
        <f>VLOOKUP(A31,'2022_PAPI_Indicators'!A26:AO206,40,FALSE)</f>
        <v>0.43993741273880005</v>
      </c>
      <c r="AQ31" s="133">
        <f>VLOOKUP(A31,'2022_PAPI_Indicators'!A26:AP206,41,FALSE)</f>
        <v>0.51824754476547241</v>
      </c>
      <c r="AR31" s="133">
        <f>VLOOKUP(A31,'2022_PAPI_Indicators'!A26:AQ206,42,FALSE)</f>
        <v>0.43588021397590637</v>
      </c>
      <c r="AS31" s="133">
        <f>VLOOKUP(A31,'2022_PAPI_Indicators'!A26:AR206,43,FALSE)</f>
        <v>0.51961058378219604</v>
      </c>
      <c r="AT31" s="133">
        <f>VLOOKUP(A31,'2022_PAPI_Indicators'!A26:AS206,44,FALSE)</f>
        <v>0.38454684615135193</v>
      </c>
      <c r="AU31" s="133">
        <f>VLOOKUP(A31,'2022_PAPI_Indicators'!A26:AT206,45,FALSE)</f>
        <v>0.32032236456871033</v>
      </c>
      <c r="AV31" s="133">
        <f>VLOOKUP(A31,'2022_PAPI_Indicators'!A26:AU206,46,FALSE)</f>
        <v>0.25782626867294312</v>
      </c>
      <c r="AW31" s="133">
        <f>VLOOKUP(A31,'2022_PAPI_Indicators'!A26:AV206,47,FALSE)</f>
        <v>0.17562800645828247</v>
      </c>
      <c r="AX31" s="133">
        <f>VLOOKUP(A31,'2022_PAPI_Indicators'!A26:AW206,48,FALSE)</f>
        <v>0.57753503322601318</v>
      </c>
      <c r="AY31" s="133">
        <f>VLOOKUP(A31,'2022_PAPI_Indicators'!A26:AX206,49,FALSE)</f>
        <v>0.38071593642234802</v>
      </c>
      <c r="AZ31" s="133">
        <f>VLOOKUP(A31,'2022_PAPI_Indicators'!A26:AY206,50,FALSE)</f>
        <v>0.1256815493106842</v>
      </c>
      <c r="BA31" s="133">
        <f>VLOOKUP(A31,'2022_PAPI_Indicators'!A26:AZ206,51,FALSE)</f>
        <v>0.41569787263870239</v>
      </c>
      <c r="BB31" s="133">
        <f>VLOOKUP(A31,'2022_PAPI_Indicators'!A26:BA206,52,FALSE)</f>
        <v>0.56453537940979004</v>
      </c>
      <c r="BC31" s="133">
        <f>VLOOKUP(A31,'2022_PAPI_Indicators'!A26:BB206,53,FALSE)</f>
        <v>0.42061531543731689</v>
      </c>
      <c r="BD31" s="133">
        <f>VLOOKUP(A31,'2022_PAPI_Indicators'!A26:BC206,54,FALSE)</f>
        <v>0.51465106010437012</v>
      </c>
      <c r="BE31" s="133">
        <f>VLOOKUP(A31,'2022_PAPI_Indicators'!A26:BD206,55,FALSE)</f>
        <v>0.25243750214576721</v>
      </c>
      <c r="BF31" s="133">
        <f>VLOOKUP(A31,'2022_PAPI_Indicators'!A26:BE206,56,FALSE)</f>
        <v>0.30236184597015381</v>
      </c>
      <c r="BG31" s="133">
        <f>VLOOKUP(A31,'2022_PAPI_Indicators'!A26:BF206,57,FALSE)</f>
        <v>0.17280308902263641</v>
      </c>
      <c r="BH31" s="133">
        <f>VLOOKUP(A31,'2022_PAPI_Indicators'!A26:BG206,58,FALSE)</f>
        <v>0.27255687117576599</v>
      </c>
      <c r="BI31" s="133">
        <f>VLOOKUP(A31,'2022_PAPI_Indicators'!A26:BH206,59,FALSE)</f>
        <v>0.38663160800933838</v>
      </c>
      <c r="BJ31" s="133">
        <f>VLOOKUP(A31,'2022_PAPI_Indicators'!A26:BI206,60,FALSE)</f>
        <v>0.34709623456001282</v>
      </c>
      <c r="BK31" s="133">
        <f>VLOOKUP(A31,'2022_PAPI_Indicators'!A26:BJ206,61,FALSE)</f>
        <v>0.35454964637756348</v>
      </c>
      <c r="BL31" s="133">
        <f>VLOOKUP(A31,'2022_PAPI_Indicators'!A26:BK206,62,FALSE)</f>
        <v>0.51397550106048584</v>
      </c>
      <c r="BM31" s="133">
        <f>VLOOKUP(A31,'2022_PAPI_Indicators'!A26:BL206,63,FALSE)</f>
        <v>0.42451098561286926</v>
      </c>
      <c r="BN31" s="133">
        <f>VLOOKUP(A31,'2022_PAPI_Indicators'!A26:BM206,64,FALSE)</f>
        <v>0.20735903084278107</v>
      </c>
    </row>
    <row r="32" spans="1:66" x14ac:dyDescent="0.2">
      <c r="A32" s="70" t="s">
        <v>127</v>
      </c>
      <c r="B32" s="70" t="s">
        <v>128</v>
      </c>
      <c r="C32" s="89" t="s">
        <v>90</v>
      </c>
      <c r="D32" s="133">
        <f>VLOOKUP(A32,'2022_PAPI_Indicators'!A27:B207,2,)</f>
        <v>0.76412314176559448</v>
      </c>
      <c r="E32" s="133">
        <f>VLOOKUP(A32,'2022_PAPI_Indicators'!A27:C207,3,FALSE)</f>
        <v>0.63385075330734253</v>
      </c>
      <c r="F32" s="133">
        <f>VLOOKUP(A32,'2022_PAPI_Indicators'!A27:D207,4,FALSE)</f>
        <v>0.53014963865280151</v>
      </c>
      <c r="G32" s="133">
        <f>VLOOKUP(A32,'2022_PAPI_Indicators'!A27:E207,5,FALSE)</f>
        <v>0.61079490184783936</v>
      </c>
      <c r="H32" s="133">
        <f>VLOOKUP(A32,'2022_PAPI_Indicators'!A27:F207,6,FALSE)</f>
        <v>0.76767683029174805</v>
      </c>
      <c r="I32" s="133">
        <f>VLOOKUP(A32,'2022_PAPI_Indicators'!A27:G207,7,FALSE)</f>
        <v>0.62871247529983521</v>
      </c>
      <c r="J32" s="133">
        <f>VLOOKUP(A32,'2022_PAPI_Indicators'!A27:H207,8,FALSE)</f>
        <v>0.56542927026748657</v>
      </c>
      <c r="K32" s="133">
        <f>VLOOKUP(A32,'2022_PAPI_Indicators'!A27:I207,9,FALSE)</f>
        <v>0.71240806579589844</v>
      </c>
      <c r="L32" s="133">
        <f>VLOOKUP(A32,'2022_PAPI_Indicators'!A27:J207,10,FALSE)</f>
        <v>0.53791558742523193</v>
      </c>
      <c r="M32" s="133">
        <f>VLOOKUP(A32,'2022_PAPI_Indicators'!A27:K207,11,FALSE)</f>
        <v>0.63790750503540039</v>
      </c>
      <c r="N32" s="133">
        <f>VLOOKUP(A32,'2022_PAPI_Indicators'!A27:L207,12,FALSE)</f>
        <v>0.66040593385696411</v>
      </c>
      <c r="O32" s="133">
        <f>VLOOKUP(A32,'2022_PAPI_Indicators'!A27:M207,13,FALSE)</f>
        <v>0.5976027250289917</v>
      </c>
      <c r="P32" s="133">
        <f>VLOOKUP(A32,'2022_PAPI_Indicators'!A27:N207,14,FALSE)</f>
        <v>0.73430001735687256</v>
      </c>
      <c r="Q32" s="133">
        <f>VLOOKUP(A32,'2022_PAPI_Indicators'!A27:O207,15,FALSE)</f>
        <v>0.48963293433189392</v>
      </c>
      <c r="R32" s="135">
        <f>VLOOKUP(A32,'2022_PAPI_Indicators'!A27:P207,16,FALSE)</f>
        <v>0</v>
      </c>
      <c r="S32" s="133">
        <f>VLOOKUP(A32,'2022_PAPI_Indicators'!A27:R207,17,FALSE)</f>
        <v>0.79255831241607666</v>
      </c>
      <c r="T32" s="133">
        <f>VLOOKUP(A32,'2022_PAPI_Indicators'!A27:S207,18,FALSE)</f>
        <v>0.64537256956100464</v>
      </c>
      <c r="U32" s="135">
        <f>VLOOKUP(A32,'2022_PAPI_Indicators'!A27:T207,19,FALSE)</f>
        <v>0.63471734523773193</v>
      </c>
      <c r="V32" s="133">
        <f>VLOOKUP(A32,'2022_PAPI_Indicators'!A27:U207,20,FALSE)</f>
        <v>0.73501116037368774</v>
      </c>
      <c r="W32" s="133">
        <f>VLOOKUP(A32,'2022_PAPI_Indicators'!A27:V207,21,FALSE)</f>
        <v>0.69057506322860718</v>
      </c>
      <c r="X32" s="133">
        <f>VLOOKUP(A32,'2022_PAPI_Indicators'!A27:W207,22,FALSE)</f>
        <v>0.66504192352294922</v>
      </c>
      <c r="Y32" s="133">
        <f>VLOOKUP(A32,'2022_PAPI_Indicators'!A27:X207,23,FALSE)</f>
        <v>0.45713379979133606</v>
      </c>
      <c r="Z32" s="133">
        <f>VLOOKUP(A32,'2022_PAPI_Indicators'!A27:Y207,24,FALSE)</f>
        <v>0.66111785173416138</v>
      </c>
      <c r="AA32" s="133">
        <f>VLOOKUP(A32,'2022_PAPI_Indicators'!A27:Z207,25,FALSE)</f>
        <v>0.64317154884338379</v>
      </c>
      <c r="AB32" s="133">
        <f>VLOOKUP(A32,'2022_PAPI_Indicators'!A27:AA207,26,FALSE)</f>
        <v>0.4722115695476532</v>
      </c>
      <c r="AC32" s="133">
        <f>VLOOKUP(A32,'2022_PAPI_Indicators'!A27:AB207,27,FALSE)</f>
        <v>0.80495107173919678</v>
      </c>
      <c r="AD32" s="133">
        <f>VLOOKUP(A32,'2022_PAPI_Indicators'!A27:AC207,28,FALSE)</f>
        <v>0.89814722537994385</v>
      </c>
      <c r="AE32" s="133">
        <f>VLOOKUP(A32,'2022_PAPI_Indicators'!A27:AD207,29,FALSE)</f>
        <v>0.74163103103637695</v>
      </c>
      <c r="AF32" s="133">
        <f>VLOOKUP(A32,'2022_PAPI_Indicators'!A27:AE207,30,FALSE)</f>
        <v>0.57221388816833496</v>
      </c>
      <c r="AG32" s="133">
        <f>VLOOKUP(A32,'2022_PAPI_Indicators'!A27:AF207,31,FALSE)</f>
        <v>0.57085305452346802</v>
      </c>
      <c r="AH32" s="133">
        <f>VLOOKUP(A32,'2022_PAPI_Indicators'!A27:AG207,32,FALSE)</f>
        <v>0.7920716404914856</v>
      </c>
      <c r="AI32" s="133">
        <f>VLOOKUP(A32,'2022_PAPI_Indicators'!A27:AH207,33,FALSE)</f>
        <v>0.31251221895217896</v>
      </c>
      <c r="AJ32" s="133">
        <f>VLOOKUP(A32,'2022_PAPI_Indicators'!A27:AI207,34,FALSE)</f>
        <v>0.44577828049659729</v>
      </c>
      <c r="AK32" s="133">
        <f>VLOOKUP(A32,'2022_PAPI_Indicators'!A27:AJ207,35,FALSE)</f>
        <v>0.80119055509567261</v>
      </c>
      <c r="AL32" s="133">
        <f>VLOOKUP(A32,'2022_PAPI_Indicators'!A27:AK207,36,FALSE)</f>
        <v>0.58322155475616455</v>
      </c>
      <c r="AM32" s="133">
        <f>VLOOKUP(A32,'2022_PAPI_Indicators'!A27:AL207,37,FALSE)</f>
        <v>0.50925010442733765</v>
      </c>
      <c r="AN32" s="133">
        <f>VLOOKUP(A32,'2022_PAPI_Indicators'!A27:AM207,38,FALSE)</f>
        <v>0.42654332518577576</v>
      </c>
      <c r="AO32" s="133">
        <f>VLOOKUP(A32,'2022_PAPI_Indicators'!A27:AN207,39,FALSE)</f>
        <v>0.75991177558898926</v>
      </c>
      <c r="AP32" s="133">
        <f>VLOOKUP(A32,'2022_PAPI_Indicators'!A27:AO207,40,FALSE)</f>
        <v>0.77486115694046021</v>
      </c>
      <c r="AQ32" s="133">
        <f>VLOOKUP(A32,'2022_PAPI_Indicators'!A27:AP207,41,FALSE)</f>
        <v>0.77257740497589111</v>
      </c>
      <c r="AR32" s="133">
        <f>VLOOKUP(A32,'2022_PAPI_Indicators'!A27:AQ207,42,FALSE)</f>
        <v>0.77641212940216064</v>
      </c>
      <c r="AS32" s="133">
        <f>VLOOKUP(A32,'2022_PAPI_Indicators'!A27:AR207,43,FALSE)</f>
        <v>0.76376378536224365</v>
      </c>
      <c r="AT32" s="133">
        <f>VLOOKUP(A32,'2022_PAPI_Indicators'!A27:AS207,44,FALSE)</f>
        <v>0.62718659639358521</v>
      </c>
      <c r="AU32" s="133">
        <f>VLOOKUP(A32,'2022_PAPI_Indicators'!A27:AT207,45,FALSE)</f>
        <v>0.69739782810211182</v>
      </c>
      <c r="AV32" s="133">
        <f>VLOOKUP(A32,'2022_PAPI_Indicators'!A27:AU207,46,FALSE)</f>
        <v>0.55924922227859497</v>
      </c>
      <c r="AW32" s="133">
        <f>VLOOKUP(A32,'2022_PAPI_Indicators'!A27:AV207,47,FALSE)</f>
        <v>0.46933311223983765</v>
      </c>
      <c r="AX32" s="133">
        <f>VLOOKUP(A32,'2022_PAPI_Indicators'!A27:AW207,48,FALSE)</f>
        <v>0.77631193399429321</v>
      </c>
      <c r="AY32" s="133">
        <f>VLOOKUP(A32,'2022_PAPI_Indicators'!A27:AX207,49,FALSE)</f>
        <v>0.67240214347839355</v>
      </c>
      <c r="AZ32" s="133">
        <f>VLOOKUP(A32,'2022_PAPI_Indicators'!A27:AY207,50,FALSE)</f>
        <v>0.31965619325637817</v>
      </c>
      <c r="BA32" s="133">
        <f>VLOOKUP(A32,'2022_PAPI_Indicators'!A27:AZ207,51,FALSE)</f>
        <v>0.78977662324905396</v>
      </c>
      <c r="BB32" s="133">
        <f>VLOOKUP(A32,'2022_PAPI_Indicators'!A27:BA207,52,FALSE)</f>
        <v>0.62695467472076416</v>
      </c>
      <c r="BC32" s="133">
        <f>VLOOKUP(A32,'2022_PAPI_Indicators'!A27:BB207,53,FALSE)</f>
        <v>0.67282688617706299</v>
      </c>
      <c r="BD32" s="133">
        <f>VLOOKUP(A32,'2022_PAPI_Indicators'!A27:BC207,54,FALSE)</f>
        <v>0.53620755672454834</v>
      </c>
      <c r="BE32" s="133">
        <f>VLOOKUP(A32,'2022_PAPI_Indicators'!A27:BD207,55,FALSE)</f>
        <v>0.41260418295860291</v>
      </c>
      <c r="BF32" s="133">
        <f>VLOOKUP(A32,'2022_PAPI_Indicators'!A27:BE207,56,FALSE)</f>
        <v>0.7778782844543457</v>
      </c>
      <c r="BG32" s="133">
        <f>VLOOKUP(A32,'2022_PAPI_Indicators'!A27:BF207,57,FALSE)</f>
        <v>0.67005693912506104</v>
      </c>
      <c r="BH32" s="133">
        <f>VLOOKUP(A32,'2022_PAPI_Indicators'!A27:BG207,58,FALSE)</f>
        <v>0.59205436706542969</v>
      </c>
      <c r="BI32" s="133">
        <f>VLOOKUP(A32,'2022_PAPI_Indicators'!A27:BH207,59,FALSE)</f>
        <v>0.34507742524147034</v>
      </c>
      <c r="BJ32" s="133">
        <f>VLOOKUP(A32,'2022_PAPI_Indicators'!A27:BI207,60,FALSE)</f>
        <v>0.63937544822692871</v>
      </c>
      <c r="BK32" s="133">
        <f>VLOOKUP(A32,'2022_PAPI_Indicators'!A27:BJ207,61,FALSE)</f>
        <v>0.4931829571723938</v>
      </c>
      <c r="BL32" s="133">
        <f>VLOOKUP(A32,'2022_PAPI_Indicators'!A27:BK207,62,FALSE)</f>
        <v>0.60527998208999634</v>
      </c>
      <c r="BM32" s="133">
        <f>VLOOKUP(A32,'2022_PAPI_Indicators'!A27:BL207,63,FALSE)</f>
        <v>0.66216373443603516</v>
      </c>
      <c r="BN32" s="133">
        <f>VLOOKUP(A32,'2022_PAPI_Indicators'!A27:BM207,64,FALSE)</f>
        <v>0.47157269716262817</v>
      </c>
    </row>
    <row r="33" spans="1:66" x14ac:dyDescent="0.2">
      <c r="A33" s="70" t="s">
        <v>129</v>
      </c>
      <c r="B33" s="70" t="s">
        <v>130</v>
      </c>
      <c r="C33" s="89" t="s">
        <v>90</v>
      </c>
      <c r="D33" s="133">
        <f>VLOOKUP(A33,'2022_PAPI_Indicators'!A28:B208,2,)</f>
        <v>0.62687480449676514</v>
      </c>
      <c r="E33" s="133">
        <f>VLOOKUP(A33,'2022_PAPI_Indicators'!A28:C208,3,FALSE)</f>
        <v>0.40552830696105957</v>
      </c>
      <c r="F33" s="133">
        <f>VLOOKUP(A33,'2022_PAPI_Indicators'!A28:D208,4,FALSE)</f>
        <v>0.46566915512084961</v>
      </c>
      <c r="G33" s="133">
        <f>VLOOKUP(A33,'2022_PAPI_Indicators'!A28:E208,5,FALSE)</f>
        <v>0.44892945885658264</v>
      </c>
      <c r="H33" s="133">
        <f>VLOOKUP(A33,'2022_PAPI_Indicators'!A28:F208,6,FALSE)</f>
        <v>0.62258970737457275</v>
      </c>
      <c r="I33" s="133">
        <f>VLOOKUP(A33,'2022_PAPI_Indicators'!A28:G208,7,FALSE)</f>
        <v>0.41431924700737</v>
      </c>
      <c r="J33" s="133">
        <f>VLOOKUP(A33,'2022_PAPI_Indicators'!A28:H208,8,FALSE)</f>
        <v>0.3549029529094696</v>
      </c>
      <c r="K33" s="133">
        <f>VLOOKUP(A33,'2022_PAPI_Indicators'!A28:I208,9,FALSE)</f>
        <v>0.57713437080383301</v>
      </c>
      <c r="L33" s="133">
        <f>VLOOKUP(A33,'2022_PAPI_Indicators'!A28:J208,10,FALSE)</f>
        <v>0.50744819641113281</v>
      </c>
      <c r="M33" s="133">
        <f>VLOOKUP(A33,'2022_PAPI_Indicators'!A28:K208,11,FALSE)</f>
        <v>0.43012511730194092</v>
      </c>
      <c r="N33" s="133">
        <f>VLOOKUP(A33,'2022_PAPI_Indicators'!A28:L208,12,FALSE)</f>
        <v>0.58758097887039185</v>
      </c>
      <c r="O33" s="133">
        <f>VLOOKUP(A33,'2022_PAPI_Indicators'!A28:M208,13,FALSE)</f>
        <v>0.53696274757385254</v>
      </c>
      <c r="P33" s="133">
        <f>VLOOKUP(A33,'2022_PAPI_Indicators'!A28:N208,14,FALSE)</f>
        <v>0.57640528678894043</v>
      </c>
      <c r="Q33" s="133">
        <f>VLOOKUP(A33,'2022_PAPI_Indicators'!A28:O208,15,FALSE)</f>
        <v>0.24481646716594696</v>
      </c>
      <c r="R33" s="135">
        <f>VLOOKUP(A33,'2022_PAPI_Indicators'!A28:P208,16,FALSE)</f>
        <v>0</v>
      </c>
      <c r="S33" s="133">
        <f>VLOOKUP(A33,'2022_PAPI_Indicators'!A28:R208,17,FALSE)</f>
        <v>0.53925544023513794</v>
      </c>
      <c r="T33" s="133">
        <f>VLOOKUP(A33,'2022_PAPI_Indicators'!A28:S208,18,FALSE)</f>
        <v>0.49413073062896729</v>
      </c>
      <c r="U33" s="135">
        <f>VLOOKUP(A33,'2022_PAPI_Indicators'!A28:T208,19,FALSE)</f>
        <v>0.4351496696472168</v>
      </c>
      <c r="V33" s="133">
        <f>VLOOKUP(A33,'2022_PAPI_Indicators'!A28:U208,20,FALSE)</f>
        <v>0.59832215309143066</v>
      </c>
      <c r="W33" s="133">
        <f>VLOOKUP(A33,'2022_PAPI_Indicators'!A28:V208,21,FALSE)</f>
        <v>0.46163472533226013</v>
      </c>
      <c r="X33" s="133">
        <f>VLOOKUP(A33,'2022_PAPI_Indicators'!A28:W208,22,FALSE)</f>
        <v>0.5989232063293457</v>
      </c>
      <c r="Y33" s="133">
        <f>VLOOKUP(A33,'2022_PAPI_Indicators'!A28:X208,23,FALSE)</f>
        <v>0.38930192589759827</v>
      </c>
      <c r="Z33" s="133">
        <f>VLOOKUP(A33,'2022_PAPI_Indicators'!A28:Y208,24,FALSE)</f>
        <v>0.49059411883354187</v>
      </c>
      <c r="AA33" s="133">
        <f>VLOOKUP(A33,'2022_PAPI_Indicators'!A28:Z208,25,FALSE)</f>
        <v>0.48102319240570068</v>
      </c>
      <c r="AB33" s="133">
        <f>VLOOKUP(A33,'2022_PAPI_Indicators'!A28:AA208,26,FALSE)</f>
        <v>0.31840983033180237</v>
      </c>
      <c r="AC33" s="133">
        <f>VLOOKUP(A33,'2022_PAPI_Indicators'!A28:AB208,27,FALSE)</f>
        <v>0.72024977207183838</v>
      </c>
      <c r="AD33" s="133">
        <f>VLOOKUP(A33,'2022_PAPI_Indicators'!A28:AC208,28,FALSE)</f>
        <v>0.71051281690597534</v>
      </c>
      <c r="AE33" s="133">
        <f>VLOOKUP(A33,'2022_PAPI_Indicators'!A28:AD208,29,FALSE)</f>
        <v>0.61208808422088623</v>
      </c>
      <c r="AF33" s="133">
        <f>VLOOKUP(A33,'2022_PAPI_Indicators'!A28:AE208,30,FALSE)</f>
        <v>0.47746258974075317</v>
      </c>
      <c r="AG33" s="133">
        <f>VLOOKUP(A33,'2022_PAPI_Indicators'!A28:AF208,31,FALSE)</f>
        <v>0.41897237300872803</v>
      </c>
      <c r="AH33" s="133">
        <f>VLOOKUP(A33,'2022_PAPI_Indicators'!A28:AG208,32,FALSE)</f>
        <v>0.55115091800689697</v>
      </c>
      <c r="AI33" s="133">
        <f>VLOOKUP(A33,'2022_PAPI_Indicators'!A28:AH208,33,FALSE)</f>
        <v>0.14545682072639465</v>
      </c>
      <c r="AJ33" s="133">
        <f>VLOOKUP(A33,'2022_PAPI_Indicators'!A28:AI208,34,FALSE)</f>
        <v>0.18519404530525208</v>
      </c>
      <c r="AK33" s="133">
        <f>VLOOKUP(A33,'2022_PAPI_Indicators'!A28:AJ208,35,FALSE)</f>
        <v>0.4176369309425354</v>
      </c>
      <c r="AL33" s="133">
        <f>VLOOKUP(A33,'2022_PAPI_Indicators'!A28:AK208,36,FALSE)</f>
        <v>0.49168086051940918</v>
      </c>
      <c r="AM33" s="133">
        <f>VLOOKUP(A33,'2022_PAPI_Indicators'!A28:AL208,37,FALSE)</f>
        <v>0.27990102767944336</v>
      </c>
      <c r="AN33" s="133">
        <f>VLOOKUP(A33,'2022_PAPI_Indicators'!A28:AM208,38,FALSE)</f>
        <v>0.31469133496284485</v>
      </c>
      <c r="AO33" s="133">
        <f>VLOOKUP(A33,'2022_PAPI_Indicators'!A28:AN208,39,FALSE)</f>
        <v>0.74455791711807251</v>
      </c>
      <c r="AP33" s="133">
        <f>VLOOKUP(A33,'2022_PAPI_Indicators'!A28:AO208,40,FALSE)</f>
        <v>0.69530695676803589</v>
      </c>
      <c r="AQ33" s="133">
        <f>VLOOKUP(A33,'2022_PAPI_Indicators'!A28:AP208,41,FALSE)</f>
        <v>0.60154628753662109</v>
      </c>
      <c r="AR33" s="133">
        <f>VLOOKUP(A33,'2022_PAPI_Indicators'!A28:AQ208,42,FALSE)</f>
        <v>0.49734199047088623</v>
      </c>
      <c r="AS33" s="133">
        <f>VLOOKUP(A33,'2022_PAPI_Indicators'!A28:AR208,43,FALSE)</f>
        <v>0.70852679014205933</v>
      </c>
      <c r="AT33" s="133">
        <f>VLOOKUP(A33,'2022_PAPI_Indicators'!A28:AS208,44,FALSE)</f>
        <v>0.4896259605884552</v>
      </c>
      <c r="AU33" s="133">
        <f>VLOOKUP(A33,'2022_PAPI_Indicators'!A28:AT208,45,FALSE)</f>
        <v>0.51121467351913452</v>
      </c>
      <c r="AV33" s="133">
        <f>VLOOKUP(A33,'2022_PAPI_Indicators'!A28:AU208,46,FALSE)</f>
        <v>0.36494103074073792</v>
      </c>
      <c r="AW33" s="133">
        <f>VLOOKUP(A33,'2022_PAPI_Indicators'!A28:AV208,47,FALSE)</f>
        <v>0.30784487724304199</v>
      </c>
      <c r="AX33" s="133">
        <f>VLOOKUP(A33,'2022_PAPI_Indicators'!A28:AW208,48,FALSE)</f>
        <v>0.54714900255203247</v>
      </c>
      <c r="AY33" s="133">
        <f>VLOOKUP(A33,'2022_PAPI_Indicators'!A28:AX208,49,FALSE)</f>
        <v>0.50173163414001465</v>
      </c>
      <c r="AZ33" s="133">
        <f>VLOOKUP(A33,'2022_PAPI_Indicators'!A28:AY208,50,FALSE)</f>
        <v>0.24863691627979279</v>
      </c>
      <c r="BA33" s="133">
        <f>VLOOKUP(A33,'2022_PAPI_Indicators'!A28:AZ208,51,FALSE)</f>
        <v>0.62933725118637085</v>
      </c>
      <c r="BB33" s="133">
        <f>VLOOKUP(A33,'2022_PAPI_Indicators'!A28:BA208,52,FALSE)</f>
        <v>0.51442807912826538</v>
      </c>
      <c r="BC33" s="133">
        <f>VLOOKUP(A33,'2022_PAPI_Indicators'!A28:BB208,53,FALSE)</f>
        <v>0.56767308712005615</v>
      </c>
      <c r="BD33" s="133">
        <f>VLOOKUP(A33,'2022_PAPI_Indicators'!A28:BC208,54,FALSE)</f>
        <v>0.46379247307777405</v>
      </c>
      <c r="BE33" s="133">
        <f>VLOOKUP(A33,'2022_PAPI_Indicators'!A28:BD208,55,FALSE)</f>
        <v>0.33495834469795227</v>
      </c>
      <c r="BF33" s="133">
        <f>VLOOKUP(A33,'2022_PAPI_Indicators'!A28:BE208,56,FALSE)</f>
        <v>0.48407518863677979</v>
      </c>
      <c r="BG33" s="133">
        <f>VLOOKUP(A33,'2022_PAPI_Indicators'!A28:BF208,57,FALSE)</f>
        <v>0.44670462608337402</v>
      </c>
      <c r="BH33" s="133">
        <f>VLOOKUP(A33,'2022_PAPI_Indicators'!A28:BG208,58,FALSE)</f>
        <v>0.29421812295913696</v>
      </c>
      <c r="BI33" s="133">
        <f>VLOOKUP(A33,'2022_PAPI_Indicators'!A28:BH208,59,FALSE)</f>
        <v>0.38030967116355896</v>
      </c>
      <c r="BJ33" s="133">
        <f>VLOOKUP(A33,'2022_PAPI_Indicators'!A28:BI208,60,FALSE)</f>
        <v>0.50111168622970581</v>
      </c>
      <c r="BK33" s="133">
        <f>VLOOKUP(A33,'2022_PAPI_Indicators'!A28:BJ208,61,FALSE)</f>
        <v>0.36818373203277588</v>
      </c>
      <c r="BL33" s="133">
        <f>VLOOKUP(A33,'2022_PAPI_Indicators'!A28:BK208,62,FALSE)</f>
        <v>0.42267102003097534</v>
      </c>
      <c r="BM33" s="133">
        <f>VLOOKUP(A33,'2022_PAPI_Indicators'!A28:BL208,63,FALSE)</f>
        <v>0.35275056958198547</v>
      </c>
      <c r="BN33" s="133">
        <f>VLOOKUP(A33,'2022_PAPI_Indicators'!A28:BM208,64,FALSE)</f>
        <v>0.32255849242210388</v>
      </c>
    </row>
    <row r="34" spans="1:66" x14ac:dyDescent="0.2">
      <c r="A34" s="70" t="s">
        <v>131</v>
      </c>
      <c r="B34" s="70" t="s">
        <v>132</v>
      </c>
      <c r="C34" s="89" t="s">
        <v>90</v>
      </c>
      <c r="D34" s="133">
        <f>VLOOKUP(A34,'2022_PAPI_Indicators'!A29:B209,2,)</f>
        <v>0.37770262360572815</v>
      </c>
      <c r="E34" s="133">
        <f>VLOOKUP(A34,'2022_PAPI_Indicators'!A29:C209,3,FALSE)</f>
        <v>0.26003006100654602</v>
      </c>
      <c r="F34" s="133">
        <f>VLOOKUP(A34,'2022_PAPI_Indicators'!A29:D209,4,FALSE)</f>
        <v>0.28059014678001404</v>
      </c>
      <c r="G34" s="133">
        <f>VLOOKUP(A34,'2022_PAPI_Indicators'!A29:E209,5,FALSE)</f>
        <v>0.28899994492530823</v>
      </c>
      <c r="H34" s="133">
        <f>VLOOKUP(A34,'2022_PAPI_Indicators'!A29:F209,6,FALSE)</f>
        <v>0.41230505704879761</v>
      </c>
      <c r="I34" s="133">
        <f>VLOOKUP(A34,'2022_PAPI_Indicators'!A29:G209,7,FALSE)</f>
        <v>0.33358848094940186</v>
      </c>
      <c r="J34" s="133">
        <f>VLOOKUP(A34,'2022_PAPI_Indicators'!A29:H209,8,FALSE)</f>
        <v>0.28271463513374329</v>
      </c>
      <c r="K34" s="133">
        <f>VLOOKUP(A34,'2022_PAPI_Indicators'!A29:I209,9,FALSE)</f>
        <v>0.33780229091644287</v>
      </c>
      <c r="L34" s="133">
        <f>VLOOKUP(A34,'2022_PAPI_Indicators'!A29:J209,10,FALSE)</f>
        <v>0.27984672784805298</v>
      </c>
      <c r="M34" s="133">
        <f>VLOOKUP(A34,'2022_PAPI_Indicators'!A29:K209,11,FALSE)</f>
        <v>0.33615127205848694</v>
      </c>
      <c r="N34" s="133">
        <f>VLOOKUP(A34,'2022_PAPI_Indicators'!A29:L209,12,FALSE)</f>
        <v>0.30279764533042908</v>
      </c>
      <c r="O34" s="133">
        <f>VLOOKUP(A34,'2022_PAPI_Indicators'!A29:M209,13,FALSE)</f>
        <v>0.32771015167236328</v>
      </c>
      <c r="P34" s="133">
        <f>VLOOKUP(A34,'2022_PAPI_Indicators'!A29:N209,14,FALSE)</f>
        <v>0.4250386655330658</v>
      </c>
      <c r="Q34" s="133">
        <f>VLOOKUP(A34,'2022_PAPI_Indicators'!A29:O209,15,FALSE)</f>
        <v>0.13317321240901947</v>
      </c>
      <c r="R34" s="135">
        <f>VLOOKUP(A34,'2022_PAPI_Indicators'!A29:P209,16,FALSE)</f>
        <v>0</v>
      </c>
      <c r="S34" s="133">
        <f>VLOOKUP(A34,'2022_PAPI_Indicators'!A29:R209,17,FALSE)</f>
        <v>0.380186527967453</v>
      </c>
      <c r="T34" s="133">
        <f>VLOOKUP(A34,'2022_PAPI_Indicators'!A29:S209,18,FALSE)</f>
        <v>0.28683224320411682</v>
      </c>
      <c r="U34" s="135">
        <f>VLOOKUP(A34,'2022_PAPI_Indicators'!A29:T209,19,FALSE)</f>
        <v>0.42380794882774353</v>
      </c>
      <c r="V34" s="133">
        <f>VLOOKUP(A34,'2022_PAPI_Indicators'!A29:U209,20,FALSE)</f>
        <v>0.53836685419082642</v>
      </c>
      <c r="W34" s="133">
        <f>VLOOKUP(A34,'2022_PAPI_Indicators'!A29:V209,21,FALSE)</f>
        <v>0.32957926392555237</v>
      </c>
      <c r="X34" s="133">
        <f>VLOOKUP(A34,'2022_PAPI_Indicators'!A29:W209,22,FALSE)</f>
        <v>0.42624354362487793</v>
      </c>
      <c r="Y34" s="133">
        <f>VLOOKUP(A34,'2022_PAPI_Indicators'!A29:X209,23,FALSE)</f>
        <v>0.24641461670398712</v>
      </c>
      <c r="Z34" s="133">
        <f>VLOOKUP(A34,'2022_PAPI_Indicators'!A29:Y209,24,FALSE)</f>
        <v>0.43077546358108521</v>
      </c>
      <c r="AA34" s="133">
        <f>VLOOKUP(A34,'2022_PAPI_Indicators'!A29:Z209,25,FALSE)</f>
        <v>0.26843997836112976</v>
      </c>
      <c r="AB34" s="133">
        <f>VLOOKUP(A34,'2022_PAPI_Indicators'!A29:AA209,26,FALSE)</f>
        <v>0.1624855250120163</v>
      </c>
      <c r="AC34" s="133">
        <f>VLOOKUP(A34,'2022_PAPI_Indicators'!A29:AB209,27,FALSE)</f>
        <v>0.52455818653106689</v>
      </c>
      <c r="AD34" s="133">
        <f>VLOOKUP(A34,'2022_PAPI_Indicators'!A29:AC209,28,FALSE)</f>
        <v>0.39133995771408081</v>
      </c>
      <c r="AE34" s="133">
        <f>VLOOKUP(A34,'2022_PAPI_Indicators'!A29:AD209,29,FALSE)</f>
        <v>0.44600760936737061</v>
      </c>
      <c r="AF34" s="133">
        <f>VLOOKUP(A34,'2022_PAPI_Indicators'!A29:AE209,30,FALSE)</f>
        <v>0.28849270939826965</v>
      </c>
      <c r="AG34" s="133">
        <f>VLOOKUP(A34,'2022_PAPI_Indicators'!A29:AF209,31,FALSE)</f>
        <v>0.32552596926689148</v>
      </c>
      <c r="AH34" s="133">
        <f>VLOOKUP(A34,'2022_PAPI_Indicators'!A29:AG209,32,FALSE)</f>
        <v>0.42161127924919128</v>
      </c>
      <c r="AI34" s="133">
        <f>VLOOKUP(A34,'2022_PAPI_Indicators'!A29:AH209,33,FALSE)</f>
        <v>0.1600823849439621</v>
      </c>
      <c r="AJ34" s="133">
        <f>VLOOKUP(A34,'2022_PAPI_Indicators'!A29:AI209,34,FALSE)</f>
        <v>0.11281084269285202</v>
      </c>
      <c r="AK34" s="133">
        <f>VLOOKUP(A34,'2022_PAPI_Indicators'!A29:AJ209,35,FALSE)</f>
        <v>0.32729288935661316</v>
      </c>
      <c r="AL34" s="133">
        <f>VLOOKUP(A34,'2022_PAPI_Indicators'!A29:AK209,36,FALSE)</f>
        <v>0.19417357444763184</v>
      </c>
      <c r="AM34" s="133">
        <f>VLOOKUP(A34,'2022_PAPI_Indicators'!A29:AL209,37,FALSE)</f>
        <v>0.17015604674816132</v>
      </c>
      <c r="AN34" s="133">
        <f>VLOOKUP(A34,'2022_PAPI_Indicators'!A29:AM209,38,FALSE)</f>
        <v>0.11018499732017517</v>
      </c>
      <c r="AO34" s="133">
        <f>VLOOKUP(A34,'2022_PAPI_Indicators'!A29:AN209,39,FALSE)</f>
        <v>0.40340742468833923</v>
      </c>
      <c r="AP34" s="133">
        <f>VLOOKUP(A34,'2022_PAPI_Indicators'!A29:AO209,40,FALSE)</f>
        <v>0.6483691930770874</v>
      </c>
      <c r="AQ34" s="133">
        <f>VLOOKUP(A34,'2022_PAPI_Indicators'!A29:AP209,41,FALSE)</f>
        <v>0.34463933110237122</v>
      </c>
      <c r="AR34" s="133">
        <f>VLOOKUP(A34,'2022_PAPI_Indicators'!A29:AQ209,42,FALSE)</f>
        <v>0.37441840767860413</v>
      </c>
      <c r="AS34" s="133">
        <f>VLOOKUP(A34,'2022_PAPI_Indicators'!A29:AR209,43,FALSE)</f>
        <v>0.55109661817550659</v>
      </c>
      <c r="AT34" s="133">
        <f>VLOOKUP(A34,'2022_PAPI_Indicators'!A29:AS209,44,FALSE)</f>
        <v>0.35157102346420288</v>
      </c>
      <c r="AU34" s="133">
        <f>VLOOKUP(A34,'2022_PAPI_Indicators'!A29:AT209,45,FALSE)</f>
        <v>0.16016118228435516</v>
      </c>
      <c r="AV34" s="133">
        <f>VLOOKUP(A34,'2022_PAPI_Indicators'!A29:AU209,46,FALSE)</f>
        <v>0.2606721818447113</v>
      </c>
      <c r="AW34" s="133">
        <f>VLOOKUP(A34,'2022_PAPI_Indicators'!A29:AV209,47,FALSE)</f>
        <v>0.21624800562858582</v>
      </c>
      <c r="AX34" s="133">
        <f>VLOOKUP(A34,'2022_PAPI_Indicators'!A29:AW209,48,FALSE)</f>
        <v>0.53587710857391357</v>
      </c>
      <c r="AY34" s="133">
        <f>VLOOKUP(A34,'2022_PAPI_Indicators'!A29:AX209,49,FALSE)</f>
        <v>0.38525488972663879</v>
      </c>
      <c r="AZ34" s="133">
        <f>VLOOKUP(A34,'2022_PAPI_Indicators'!A29:AY209,50,FALSE)</f>
        <v>0.14299356937408447</v>
      </c>
      <c r="BA34" s="133">
        <f>VLOOKUP(A34,'2022_PAPI_Indicators'!A29:AZ209,51,FALSE)</f>
        <v>0.2648845911026001</v>
      </c>
      <c r="BB34" s="133">
        <f>VLOOKUP(A34,'2022_PAPI_Indicators'!A29:BA209,52,FALSE)</f>
        <v>0.48072290420532227</v>
      </c>
      <c r="BC34" s="133">
        <f>VLOOKUP(A34,'2022_PAPI_Indicators'!A29:BB209,53,FALSE)</f>
        <v>0.40213459730148315</v>
      </c>
      <c r="BD34" s="133">
        <f>VLOOKUP(A34,'2022_PAPI_Indicators'!A29:BC209,54,FALSE)</f>
        <v>0.31379860639572144</v>
      </c>
      <c r="BE34" s="133">
        <f>VLOOKUP(A34,'2022_PAPI_Indicators'!A29:BD209,55,FALSE)</f>
        <v>0.16991665959358215</v>
      </c>
      <c r="BF34" s="133">
        <f>VLOOKUP(A34,'2022_PAPI_Indicators'!A29:BE209,56,FALSE)</f>
        <v>0.29882299900054932</v>
      </c>
      <c r="BG34" s="133">
        <f>VLOOKUP(A34,'2022_PAPI_Indicators'!A29:BF209,57,FALSE)</f>
        <v>0.29780307412147522</v>
      </c>
      <c r="BH34" s="133">
        <f>VLOOKUP(A34,'2022_PAPI_Indicators'!A29:BG209,58,FALSE)</f>
        <v>0.31948560476303101</v>
      </c>
      <c r="BI34" s="133">
        <f>VLOOKUP(A34,'2022_PAPI_Indicators'!A29:BH209,59,FALSE)</f>
        <v>0.17253871262073517</v>
      </c>
      <c r="BJ34" s="133">
        <f>VLOOKUP(A34,'2022_PAPI_Indicators'!A29:BI209,60,FALSE)</f>
        <v>0.35617077350616455</v>
      </c>
      <c r="BK34" s="133">
        <f>VLOOKUP(A34,'2022_PAPI_Indicators'!A29:BJ209,61,FALSE)</f>
        <v>0.13636621832847595</v>
      </c>
      <c r="BL34" s="133">
        <f>VLOOKUP(A34,'2022_PAPI_Indicators'!A29:BK209,62,FALSE)</f>
        <v>0.24006204307079315</v>
      </c>
      <c r="BM34" s="133">
        <f>VLOOKUP(A34,'2022_PAPI_Indicators'!A29:BL209,63,FALSE)</f>
        <v>0.38863077759742737</v>
      </c>
      <c r="BN34" s="133">
        <f>VLOOKUP(A34,'2022_PAPI_Indicators'!A29:BM209,64,FALSE)</f>
        <v>0.23039892315864563</v>
      </c>
    </row>
    <row r="35" spans="1:66" s="75" customFormat="1" x14ac:dyDescent="0.2">
      <c r="A35" s="75" t="s">
        <v>133</v>
      </c>
      <c r="B35" s="76" t="s">
        <v>134</v>
      </c>
      <c r="C35" s="91" t="s">
        <v>447</v>
      </c>
      <c r="D35" s="129">
        <f>VLOOKUP(A35,'2022_PAPI_Indicators'!A30:B210,2,)</f>
        <v>5.7769713401794434</v>
      </c>
      <c r="E35" s="129">
        <f>VLOOKUP(A35,'2022_PAPI_Indicators'!A30:C210,3,FALSE)</f>
        <v>5.3071560859680176</v>
      </c>
      <c r="F35" s="129">
        <f>VLOOKUP(A35,'2022_PAPI_Indicators'!A30:D210,4,FALSE)</f>
        <v>4.8963985443115234</v>
      </c>
      <c r="G35" s="129">
        <f>VLOOKUP(A35,'2022_PAPI_Indicators'!A30:E210,5,FALSE)</f>
        <v>5.4914383888244629</v>
      </c>
      <c r="H35" s="129">
        <f>VLOOKUP(A35,'2022_PAPI_Indicators'!A30:F210,6,FALSE)</f>
        <v>5.5072860717773438</v>
      </c>
      <c r="I35" s="129">
        <f>VLOOKUP(A35,'2022_PAPI_Indicators'!A30:G210,7,FALSE)</f>
        <v>5.039914608001709</v>
      </c>
      <c r="J35" s="129">
        <f>VLOOKUP(A35,'2022_PAPI_Indicators'!A30:H210,8,FALSE)</f>
        <v>5.1839385032653809</v>
      </c>
      <c r="K35" s="129">
        <f>VLOOKUP(A35,'2022_PAPI_Indicators'!A30:I210,9,FALSE)</f>
        <v>5.3419909477233887</v>
      </c>
      <c r="L35" s="129">
        <f>VLOOKUP(A35,'2022_PAPI_Indicators'!A30:J210,10,FALSE)</f>
        <v>5.0647258758544922</v>
      </c>
      <c r="M35" s="129">
        <f>VLOOKUP(A35,'2022_PAPI_Indicators'!A30:K210,11,FALSE)</f>
        <v>5.3534016609191895</v>
      </c>
      <c r="N35" s="129">
        <f>VLOOKUP(A35,'2022_PAPI_Indicators'!A30:L210,12,FALSE)</f>
        <v>5.1149568557739258</v>
      </c>
      <c r="O35" s="129">
        <f>VLOOKUP(A35,'2022_PAPI_Indicators'!A30:M210,13,FALSE)</f>
        <v>5.4902997016906738</v>
      </c>
      <c r="P35" s="129">
        <f>VLOOKUP(A35,'2022_PAPI_Indicators'!A30:N210,14,FALSE)</f>
        <v>5.3385686874389648</v>
      </c>
      <c r="Q35" s="129">
        <f>VLOOKUP(A35,'2022_PAPI_Indicators'!A30:O210,15,FALSE)</f>
        <v>6.3744926452636719</v>
      </c>
      <c r="R35" s="130">
        <f>VLOOKUP(A35,'2022_PAPI_Indicators'!A30:P210,16,FALSE)</f>
        <v>0</v>
      </c>
      <c r="S35" s="129">
        <f>VLOOKUP(A35,'2022_PAPI_Indicators'!A30:R210,17,FALSE)</f>
        <v>5.7251114845275879</v>
      </c>
      <c r="T35" s="129">
        <f>VLOOKUP(A35,'2022_PAPI_Indicators'!A30:S210,18,FALSE)</f>
        <v>5.5963525772094727</v>
      </c>
      <c r="U35" s="130">
        <f>VLOOKUP(A35,'2022_PAPI_Indicators'!A30:T210,19,FALSE)</f>
        <v>0</v>
      </c>
      <c r="V35" s="129">
        <f>VLOOKUP(A35,'2022_PAPI_Indicators'!A30:U210,20,FALSE)</f>
        <v>5.147216796875</v>
      </c>
      <c r="W35" s="129">
        <f>VLOOKUP(A35,'2022_PAPI_Indicators'!A30:V210,21,FALSE)</f>
        <v>5.7387886047363281</v>
      </c>
      <c r="X35" s="129">
        <f>VLOOKUP(A35,'2022_PAPI_Indicators'!A30:W210,22,FALSE)</f>
        <v>5.8100275993347168</v>
      </c>
      <c r="Y35" s="129">
        <f>VLOOKUP(A35,'2022_PAPI_Indicators'!A30:X210,23,FALSE)</f>
        <v>5.4620914459228516</v>
      </c>
      <c r="Z35" s="129">
        <f>VLOOKUP(A35,'2022_PAPI_Indicators'!A30:Y210,24,FALSE)</f>
        <v>5.2896871566772461</v>
      </c>
      <c r="AA35" s="129">
        <f>VLOOKUP(A35,'2022_PAPI_Indicators'!A30:Z210,25,FALSE)</f>
        <v>5.3519110679626465</v>
      </c>
      <c r="AB35" s="129">
        <f>VLOOKUP(A35,'2022_PAPI_Indicators'!A30:AA210,26,FALSE)</f>
        <v>5.5233769416809082</v>
      </c>
      <c r="AC35" s="129">
        <f>VLOOKUP(A35,'2022_PAPI_Indicators'!A30:AB210,27,FALSE)</f>
        <v>5.9741015434265137</v>
      </c>
      <c r="AD35" s="129">
        <f>VLOOKUP(A35,'2022_PAPI_Indicators'!A30:AC210,28,FALSE)</f>
        <v>5.4372682571411133</v>
      </c>
      <c r="AE35" s="129">
        <f>VLOOKUP(A35,'2022_PAPI_Indicators'!A30:AD210,29,FALSE)</f>
        <v>5.5813655853271484</v>
      </c>
      <c r="AF35" s="129">
        <f>VLOOKUP(A35,'2022_PAPI_Indicators'!A30:AE210,30,FALSE)</f>
        <v>5.7066135406494141</v>
      </c>
      <c r="AG35" s="129">
        <f>VLOOKUP(A35,'2022_PAPI_Indicators'!A30:AF210,31,FALSE)</f>
        <v>5.2588515281677246</v>
      </c>
      <c r="AH35" s="129">
        <f>VLOOKUP(A35,'2022_PAPI_Indicators'!A30:AG210,32,FALSE)</f>
        <v>5.8476505279541016</v>
      </c>
      <c r="AI35" s="129">
        <f>VLOOKUP(A35,'2022_PAPI_Indicators'!A30:AH210,33,FALSE)</f>
        <v>4.912203311920166</v>
      </c>
      <c r="AJ35" s="129">
        <f>VLOOKUP(A35,'2022_PAPI_Indicators'!A30:AI210,34,FALSE)</f>
        <v>5.1963419914245605</v>
      </c>
      <c r="AK35" s="129">
        <f>VLOOKUP(A35,'2022_PAPI_Indicators'!A30:AJ210,35,FALSE)</f>
        <v>5.3759541511535645</v>
      </c>
      <c r="AL35" s="129">
        <f>VLOOKUP(A35,'2022_PAPI_Indicators'!A30:AK210,36,FALSE)</f>
        <v>5.0405497550964355</v>
      </c>
      <c r="AM35" s="129">
        <f>VLOOKUP(A35,'2022_PAPI_Indicators'!A30:AL210,37,FALSE)</f>
        <v>4.9806122779846191</v>
      </c>
      <c r="AN35" s="129">
        <f>VLOOKUP(A35,'2022_PAPI_Indicators'!A30:AM210,38,FALSE)</f>
        <v>5.4958148002624512</v>
      </c>
      <c r="AO35" s="129">
        <f>VLOOKUP(A35,'2022_PAPI_Indicators'!A30:AN210,39,FALSE)</f>
        <v>5.8627214431762695</v>
      </c>
      <c r="AP35" s="129">
        <f>VLOOKUP(A35,'2022_PAPI_Indicators'!A30:AO210,40,FALSE)</f>
        <v>5.9622197151184082</v>
      </c>
      <c r="AQ35" s="129">
        <f>VLOOKUP(A35,'2022_PAPI_Indicators'!A30:AP210,41,FALSE)</f>
        <v>4.6563315391540527</v>
      </c>
      <c r="AR35" s="129">
        <f>VLOOKUP(A35,'2022_PAPI_Indicators'!A30:AQ210,42,FALSE)</f>
        <v>5.0327177047729492</v>
      </c>
      <c r="AS35" s="129">
        <f>VLOOKUP(A35,'2022_PAPI_Indicators'!A30:AR210,43,FALSE)</f>
        <v>4.8388986587524414</v>
      </c>
      <c r="AT35" s="129">
        <f>VLOOKUP(A35,'2022_PAPI_Indicators'!A30:AS210,44,FALSE)</f>
        <v>4.8707852363586426</v>
      </c>
      <c r="AU35" s="129">
        <f>VLOOKUP(A35,'2022_PAPI_Indicators'!A30:AT210,45,FALSE)</f>
        <v>4.9341349601745605</v>
      </c>
      <c r="AV35" s="129">
        <f>VLOOKUP(A35,'2022_PAPI_Indicators'!A30:AU210,46,FALSE)</f>
        <v>5.1443405151367188</v>
      </c>
      <c r="AW35" s="129">
        <f>VLOOKUP(A35,'2022_PAPI_Indicators'!A30:AV210,47,FALSE)</f>
        <v>4.5563497543334961</v>
      </c>
      <c r="AX35" s="129">
        <f>VLOOKUP(A35,'2022_PAPI_Indicators'!A30:AW210,48,FALSE)</f>
        <v>6.2098550796508789</v>
      </c>
      <c r="AY35" s="129">
        <f>VLOOKUP(A35,'2022_PAPI_Indicators'!A30:AX210,49,FALSE)</f>
        <v>4.9619207382202148</v>
      </c>
      <c r="AZ35" s="129">
        <f>VLOOKUP(A35,'2022_PAPI_Indicators'!A30:AY210,50,FALSE)</f>
        <v>5.183502197265625</v>
      </c>
      <c r="BA35" s="129">
        <f>VLOOKUP(A35,'2022_PAPI_Indicators'!A30:AZ210,51,FALSE)</f>
        <v>4.866114616394043</v>
      </c>
      <c r="BB35" s="129">
        <f>VLOOKUP(A35,'2022_PAPI_Indicators'!A30:BA210,52,FALSE)</f>
        <v>4.7437758445739746</v>
      </c>
      <c r="BC35" s="129">
        <f>VLOOKUP(A35,'2022_PAPI_Indicators'!A30:BB210,53,FALSE)</f>
        <v>4.4102158546447754</v>
      </c>
      <c r="BD35" s="129">
        <f>VLOOKUP(A35,'2022_PAPI_Indicators'!A30:BC210,54,FALSE)</f>
        <v>4.7946405410766602</v>
      </c>
      <c r="BE35" s="129">
        <f>VLOOKUP(A35,'2022_PAPI_Indicators'!A30:BD210,55,FALSE)</f>
        <v>4.838111400604248</v>
      </c>
      <c r="BF35" s="129">
        <f>VLOOKUP(A35,'2022_PAPI_Indicators'!A30:BE210,56,FALSE)</f>
        <v>5.131014347076416</v>
      </c>
      <c r="BG35" s="129">
        <f>VLOOKUP(A35,'2022_PAPI_Indicators'!A30:BF210,57,FALSE)</f>
        <v>4.6019926071166992</v>
      </c>
      <c r="BH35" s="129">
        <f>VLOOKUP(A35,'2022_PAPI_Indicators'!A30:BG210,58,FALSE)</f>
        <v>4.5968947410583496</v>
      </c>
      <c r="BI35" s="129">
        <f>VLOOKUP(A35,'2022_PAPI_Indicators'!A30:BH210,59,FALSE)</f>
        <v>4.7571344375610352</v>
      </c>
      <c r="BJ35" s="129">
        <f>VLOOKUP(A35,'2022_PAPI_Indicators'!A30:BI210,60,FALSE)</f>
        <v>4.7551465034484863</v>
      </c>
      <c r="BK35" s="129">
        <f>VLOOKUP(A35,'2022_PAPI_Indicators'!A30:BJ210,61,FALSE)</f>
        <v>5.1033744812011719</v>
      </c>
      <c r="BL35" s="129">
        <f>VLOOKUP(A35,'2022_PAPI_Indicators'!A30:BK210,62,FALSE)</f>
        <v>5.088402271270752</v>
      </c>
      <c r="BM35" s="129">
        <f>VLOOKUP(A35,'2022_PAPI_Indicators'!A30:BL210,63,FALSE)</f>
        <v>5.743767261505127</v>
      </c>
      <c r="BN35" s="129">
        <f>VLOOKUP(A35,'2022_PAPI_Indicators'!A30:BM210,64,FALSE)</f>
        <v>5.1472244262695313</v>
      </c>
    </row>
    <row r="36" spans="1:66" s="80" customFormat="1" x14ac:dyDescent="0.2">
      <c r="A36" s="77" t="s">
        <v>135</v>
      </c>
      <c r="B36" s="77" t="s">
        <v>419</v>
      </c>
      <c r="C36" s="92" t="s">
        <v>448</v>
      </c>
      <c r="D36" s="131">
        <f>VLOOKUP(A36,'2022_PAPI_Indicators'!A31:B211,2,)</f>
        <v>0.8727957010269165</v>
      </c>
      <c r="E36" s="131">
        <f>VLOOKUP(A36,'2022_PAPI_Indicators'!A31:C211,3,FALSE)</f>
        <v>0.92699921131134033</v>
      </c>
      <c r="F36" s="131">
        <f>VLOOKUP(A36,'2022_PAPI_Indicators'!A31:D211,4,FALSE)</f>
        <v>0.73031419515609741</v>
      </c>
      <c r="G36" s="131">
        <f>VLOOKUP(A36,'2022_PAPI_Indicators'!A31:E211,5,FALSE)</f>
        <v>0.93221569061279297</v>
      </c>
      <c r="H36" s="131">
        <f>VLOOKUP(A36,'2022_PAPI_Indicators'!A31:F211,6,FALSE)</f>
        <v>0.8180692195892334</v>
      </c>
      <c r="I36" s="131">
        <f>VLOOKUP(A36,'2022_PAPI_Indicators'!A31:G211,7,FALSE)</f>
        <v>0.80895936489105225</v>
      </c>
      <c r="J36" s="131">
        <f>VLOOKUP(A36,'2022_PAPI_Indicators'!A31:H211,8,FALSE)</f>
        <v>0.78549027442932129</v>
      </c>
      <c r="K36" s="131">
        <f>VLOOKUP(A36,'2022_PAPI_Indicators'!A31:I211,9,FALSE)</f>
        <v>0.88567578792572021</v>
      </c>
      <c r="L36" s="131">
        <f>VLOOKUP(A36,'2022_PAPI_Indicators'!A31:J211,10,FALSE)</f>
        <v>0.77180469036102295</v>
      </c>
      <c r="M36" s="131">
        <f>VLOOKUP(A36,'2022_PAPI_Indicators'!A31:K211,11,FALSE)</f>
        <v>0.79502147436141968</v>
      </c>
      <c r="N36" s="131">
        <f>VLOOKUP(A36,'2022_PAPI_Indicators'!A31:L211,12,FALSE)</f>
        <v>0.80157667398452759</v>
      </c>
      <c r="O36" s="131">
        <f>VLOOKUP(A36,'2022_PAPI_Indicators'!A31:M211,13,FALSE)</f>
        <v>0.89948022365570068</v>
      </c>
      <c r="P36" s="131">
        <f>VLOOKUP(A36,'2022_PAPI_Indicators'!A31:N211,14,FALSE)</f>
        <v>0.83443063497543335</v>
      </c>
      <c r="Q36" s="131">
        <f>VLOOKUP(A36,'2022_PAPI_Indicators'!A31:O211,15,FALSE)</f>
        <v>0.94561749696731567</v>
      </c>
      <c r="R36" s="132">
        <f>VLOOKUP(A36,'2022_PAPI_Indicators'!A31:P211,16,FALSE)</f>
        <v>0</v>
      </c>
      <c r="S36" s="131">
        <f>VLOOKUP(A36,'2022_PAPI_Indicators'!A31:R211,17,FALSE)</f>
        <v>0.8064340353012085</v>
      </c>
      <c r="T36" s="131">
        <f>VLOOKUP(A36,'2022_PAPI_Indicators'!A31:S211,18,FALSE)</f>
        <v>0.85454607009887695</v>
      </c>
      <c r="U36" s="132">
        <f>VLOOKUP(A36,'2022_PAPI_Indicators'!A31:T211,19,FALSE)</f>
        <v>0</v>
      </c>
      <c r="V36" s="131">
        <f>VLOOKUP(A36,'2022_PAPI_Indicators'!A31:U211,20,FALSE)</f>
        <v>0.75779163837432861</v>
      </c>
      <c r="W36" s="131">
        <f>VLOOKUP(A36,'2022_PAPI_Indicators'!A31:V211,21,FALSE)</f>
        <v>0.7420271635055542</v>
      </c>
      <c r="X36" s="131">
        <f>VLOOKUP(A36,'2022_PAPI_Indicators'!A31:W211,22,FALSE)</f>
        <v>0.89758491516113281</v>
      </c>
      <c r="Y36" s="131">
        <f>VLOOKUP(A36,'2022_PAPI_Indicators'!A31:X211,23,FALSE)</f>
        <v>0.76763838529586792</v>
      </c>
      <c r="Z36" s="131">
        <f>VLOOKUP(A36,'2022_PAPI_Indicators'!A31:Y211,24,FALSE)</f>
        <v>0.7928917407989502</v>
      </c>
      <c r="AA36" s="131">
        <f>VLOOKUP(A36,'2022_PAPI_Indicators'!A31:Z211,25,FALSE)</f>
        <v>0.7740136981010437</v>
      </c>
      <c r="AB36" s="131">
        <f>VLOOKUP(A36,'2022_PAPI_Indicators'!A31:AA211,26,FALSE)</f>
        <v>0.77235257625579834</v>
      </c>
      <c r="AC36" s="131">
        <f>VLOOKUP(A36,'2022_PAPI_Indicators'!A31:AB211,27,FALSE)</f>
        <v>0.8433995246887207</v>
      </c>
      <c r="AD36" s="131">
        <f>VLOOKUP(A36,'2022_PAPI_Indicators'!A31:AC211,28,FALSE)</f>
        <v>0.75194424390792847</v>
      </c>
      <c r="AE36" s="131">
        <f>VLOOKUP(A36,'2022_PAPI_Indicators'!A31:AD211,29,FALSE)</f>
        <v>0.81647878885269165</v>
      </c>
      <c r="AF36" s="131">
        <f>VLOOKUP(A36,'2022_PAPI_Indicators'!A31:AE211,30,FALSE)</f>
        <v>0.83684384822845459</v>
      </c>
      <c r="AG36" s="131">
        <f>VLOOKUP(A36,'2022_PAPI_Indicators'!A31:AF211,31,FALSE)</f>
        <v>0.80951720476150513</v>
      </c>
      <c r="AH36" s="131">
        <f>VLOOKUP(A36,'2022_PAPI_Indicators'!A31:AG211,32,FALSE)</f>
        <v>0.97045397758483887</v>
      </c>
      <c r="AI36" s="131">
        <f>VLOOKUP(A36,'2022_PAPI_Indicators'!A31:AH211,33,FALSE)</f>
        <v>0.74681395292282104</v>
      </c>
      <c r="AJ36" s="131">
        <f>VLOOKUP(A36,'2022_PAPI_Indicators'!A31:AI211,34,FALSE)</f>
        <v>0.73497998714447021</v>
      </c>
      <c r="AK36" s="131">
        <f>VLOOKUP(A36,'2022_PAPI_Indicators'!A31:AJ211,35,FALSE)</f>
        <v>0.92795580625534058</v>
      </c>
      <c r="AL36" s="131">
        <f>VLOOKUP(A36,'2022_PAPI_Indicators'!A31:AK211,36,FALSE)</f>
        <v>0.74205607175827026</v>
      </c>
      <c r="AM36" s="131">
        <f>VLOOKUP(A36,'2022_PAPI_Indicators'!A31:AL211,37,FALSE)</f>
        <v>0.75996941328048706</v>
      </c>
      <c r="AN36" s="131">
        <f>VLOOKUP(A36,'2022_PAPI_Indicators'!A31:AM211,38,FALSE)</f>
        <v>0.92139661312103271</v>
      </c>
      <c r="AO36" s="131">
        <f>VLOOKUP(A36,'2022_PAPI_Indicators'!A31:AN211,39,FALSE)</f>
        <v>0.93892568349838257</v>
      </c>
      <c r="AP36" s="131">
        <f>VLOOKUP(A36,'2022_PAPI_Indicators'!A31:AO211,40,FALSE)</f>
        <v>0.8404393196105957</v>
      </c>
      <c r="AQ36" s="131">
        <f>VLOOKUP(A36,'2022_PAPI_Indicators'!A31:AP211,41,FALSE)</f>
        <v>0.77401328086853027</v>
      </c>
      <c r="AR36" s="131">
        <f>VLOOKUP(A36,'2022_PAPI_Indicators'!A31:AQ211,42,FALSE)</f>
        <v>0.81031471490859985</v>
      </c>
      <c r="AS36" s="131">
        <f>VLOOKUP(A36,'2022_PAPI_Indicators'!A31:AR211,43,FALSE)</f>
        <v>0.73959118127822876</v>
      </c>
      <c r="AT36" s="131">
        <f>VLOOKUP(A36,'2022_PAPI_Indicators'!A31:AS211,44,FALSE)</f>
        <v>0.81485021114349365</v>
      </c>
      <c r="AU36" s="131">
        <f>VLOOKUP(A36,'2022_PAPI_Indicators'!A31:AT211,45,FALSE)</f>
        <v>0.81678825616836548</v>
      </c>
      <c r="AV36" s="131">
        <f>VLOOKUP(A36,'2022_PAPI_Indicators'!A31:AU211,46,FALSE)</f>
        <v>0.80851066112518311</v>
      </c>
      <c r="AW36" s="131">
        <f>VLOOKUP(A36,'2022_PAPI_Indicators'!A31:AV211,47,FALSE)</f>
        <v>0.74069052934646606</v>
      </c>
      <c r="AX36" s="131">
        <f>VLOOKUP(A36,'2022_PAPI_Indicators'!A31:AW211,48,FALSE)</f>
        <v>0.86316591501235962</v>
      </c>
      <c r="AY36" s="131">
        <f>VLOOKUP(A36,'2022_PAPI_Indicators'!A31:AX211,49,FALSE)</f>
        <v>0.83008652925491333</v>
      </c>
      <c r="AZ36" s="131">
        <f>VLOOKUP(A36,'2022_PAPI_Indicators'!A31:AY211,50,FALSE)</f>
        <v>0.78049427270889282</v>
      </c>
      <c r="BA36" s="131">
        <f>VLOOKUP(A36,'2022_PAPI_Indicators'!A31:AZ211,51,FALSE)</f>
        <v>0.75671881437301636</v>
      </c>
      <c r="BB36" s="131">
        <f>VLOOKUP(A36,'2022_PAPI_Indicators'!A31:BA211,52,FALSE)</f>
        <v>0.71475905179977417</v>
      </c>
      <c r="BC36" s="131">
        <f>VLOOKUP(A36,'2022_PAPI_Indicators'!A31:BB211,53,FALSE)</f>
        <v>0.71881592273712158</v>
      </c>
      <c r="BD36" s="131">
        <f>VLOOKUP(A36,'2022_PAPI_Indicators'!A31:BC211,54,FALSE)</f>
        <v>0.71139132976531982</v>
      </c>
      <c r="BE36" s="131">
        <f>VLOOKUP(A36,'2022_PAPI_Indicators'!A31:BD211,55,FALSE)</f>
        <v>0.73499596118927002</v>
      </c>
      <c r="BF36" s="131">
        <f>VLOOKUP(A36,'2022_PAPI_Indicators'!A31:BE211,56,FALSE)</f>
        <v>0.80467385053634644</v>
      </c>
      <c r="BG36" s="131">
        <f>VLOOKUP(A36,'2022_PAPI_Indicators'!A31:BF211,57,FALSE)</f>
        <v>0.73715341091156006</v>
      </c>
      <c r="BH36" s="131">
        <f>VLOOKUP(A36,'2022_PAPI_Indicators'!A31:BG211,58,FALSE)</f>
        <v>0.74938225746154785</v>
      </c>
      <c r="BI36" s="131">
        <f>VLOOKUP(A36,'2022_PAPI_Indicators'!A31:BH211,59,FALSE)</f>
        <v>0.69352293014526367</v>
      </c>
      <c r="BJ36" s="131">
        <f>VLOOKUP(A36,'2022_PAPI_Indicators'!A31:BI211,60,FALSE)</f>
        <v>0.71482580900192261</v>
      </c>
      <c r="BK36" s="131">
        <f>VLOOKUP(A36,'2022_PAPI_Indicators'!A31:BJ211,61,FALSE)</f>
        <v>0.81039136648178101</v>
      </c>
      <c r="BL36" s="131">
        <f>VLOOKUP(A36,'2022_PAPI_Indicators'!A31:BK211,62,FALSE)</f>
        <v>0.74846237897872925</v>
      </c>
      <c r="BM36" s="131">
        <f>VLOOKUP(A36,'2022_PAPI_Indicators'!A31:BL211,63,FALSE)</f>
        <v>0.87070471048355103</v>
      </c>
      <c r="BN36" s="131">
        <f>VLOOKUP(A36,'2022_PAPI_Indicators'!A31:BM211,64,FALSE)</f>
        <v>0.818206787109375</v>
      </c>
    </row>
    <row r="37" spans="1:66" x14ac:dyDescent="0.2">
      <c r="A37" s="70" t="s">
        <v>137</v>
      </c>
      <c r="B37" s="70" t="s">
        <v>138</v>
      </c>
      <c r="C37" s="89" t="s">
        <v>90</v>
      </c>
      <c r="D37" s="133">
        <f>VLOOKUP(A37,'2022_PAPI_Indicators'!A32:B212,2,)</f>
        <v>0.18685692548751831</v>
      </c>
      <c r="E37" s="133">
        <f>VLOOKUP(A37,'2022_PAPI_Indicators'!A32:C212,3,FALSE)</f>
        <v>0.21266308426856995</v>
      </c>
      <c r="F37" s="133">
        <f>VLOOKUP(A37,'2022_PAPI_Indicators'!A32:D212,4,FALSE)</f>
        <v>9.9980935454368591E-2</v>
      </c>
      <c r="G37" s="133">
        <f>VLOOKUP(A37,'2022_PAPI_Indicators'!A32:E212,5,FALSE)</f>
        <v>0.22988371551036835</v>
      </c>
      <c r="H37" s="133">
        <f>VLOOKUP(A37,'2022_PAPI_Indicators'!A32:F212,6,FALSE)</f>
        <v>0.14356426894664764</v>
      </c>
      <c r="I37" s="133">
        <f>VLOOKUP(A37,'2022_PAPI_Indicators'!A32:G212,7,FALSE)</f>
        <v>0.14699302613735199</v>
      </c>
      <c r="J37" s="133">
        <f>VLOOKUP(A37,'2022_PAPI_Indicators'!A32:H212,8,FALSE)</f>
        <v>0.11560866236686707</v>
      </c>
      <c r="K37" s="133">
        <f>VLOOKUP(A37,'2022_PAPI_Indicators'!A32:I212,9,FALSE)</f>
        <v>0.19693499803543091</v>
      </c>
      <c r="L37" s="133">
        <f>VLOOKUP(A37,'2022_PAPI_Indicators'!A32:J212,10,FALSE)</f>
        <v>0.12307889759540558</v>
      </c>
      <c r="M37" s="133">
        <f>VLOOKUP(A37,'2022_PAPI_Indicators'!A32:K212,11,FALSE)</f>
        <v>0.14568156003952026</v>
      </c>
      <c r="N37" s="133">
        <f>VLOOKUP(A37,'2022_PAPI_Indicators'!A32:L212,12,FALSE)</f>
        <v>0.12812024354934692</v>
      </c>
      <c r="O37" s="133">
        <f>VLOOKUP(A37,'2022_PAPI_Indicators'!A32:M212,13,FALSE)</f>
        <v>0.20133967697620392</v>
      </c>
      <c r="P37" s="133">
        <f>VLOOKUP(A37,'2022_PAPI_Indicators'!A32:N212,14,FALSE)</f>
        <v>0.15120083093643188</v>
      </c>
      <c r="Q37" s="133">
        <f>VLOOKUP(A37,'2022_PAPI_Indicators'!A32:O212,15,FALSE)</f>
        <v>0.23693381249904633</v>
      </c>
      <c r="R37" s="135">
        <f>VLOOKUP(A37,'2022_PAPI_Indicators'!A32:P212,16,FALSE)</f>
        <v>0</v>
      </c>
      <c r="S37" s="133">
        <f>VLOOKUP(A37,'2022_PAPI_Indicators'!A32:R212,17,FALSE)</f>
        <v>0.12399163097143173</v>
      </c>
      <c r="T37" s="133">
        <f>VLOOKUP(A37,'2022_PAPI_Indicators'!A32:S212,18,FALSE)</f>
        <v>0.17069819569587708</v>
      </c>
      <c r="U37" s="135">
        <f>VLOOKUP(A37,'2022_PAPI_Indicators'!A32:T212,19,FALSE)</f>
        <v>0</v>
      </c>
      <c r="V37" s="133">
        <f>VLOOKUP(A37,'2022_PAPI_Indicators'!A32:U212,20,FALSE)</f>
        <v>9.4303794205188751E-2</v>
      </c>
      <c r="W37" s="133">
        <f>VLOOKUP(A37,'2022_PAPI_Indicators'!A32:V212,21,FALSE)</f>
        <v>9.0767860412597656E-2</v>
      </c>
      <c r="X37" s="133">
        <f>VLOOKUP(A37,'2022_PAPI_Indicators'!A32:W212,22,FALSE)</f>
        <v>0.1958707869052887</v>
      </c>
      <c r="Y37" s="133">
        <f>VLOOKUP(A37,'2022_PAPI_Indicators'!A32:X212,23,FALSE)</f>
        <v>0.10505480319261551</v>
      </c>
      <c r="Z37" s="133">
        <f>VLOOKUP(A37,'2022_PAPI_Indicators'!A32:Y212,24,FALSE)</f>
        <v>0.11647344380617142</v>
      </c>
      <c r="AA37" s="133">
        <f>VLOOKUP(A37,'2022_PAPI_Indicators'!A32:Z212,25,FALSE)</f>
        <v>0.13055287301540375</v>
      </c>
      <c r="AB37" s="133">
        <f>VLOOKUP(A37,'2022_PAPI_Indicators'!A32:AA212,26,FALSE)</f>
        <v>0.11304021626710892</v>
      </c>
      <c r="AC37" s="133">
        <f>VLOOKUP(A37,'2022_PAPI_Indicators'!A32:AB212,27,FALSE)</f>
        <v>0.16111396253108978</v>
      </c>
      <c r="AD37" s="133">
        <f>VLOOKUP(A37,'2022_PAPI_Indicators'!A32:AC212,28,FALSE)</f>
        <v>0.12607318162918091</v>
      </c>
      <c r="AE37" s="133">
        <f>VLOOKUP(A37,'2022_PAPI_Indicators'!A32:AD212,29,FALSE)</f>
        <v>0.17161968350410461</v>
      </c>
      <c r="AF37" s="133">
        <f>VLOOKUP(A37,'2022_PAPI_Indicators'!A32:AE212,30,FALSE)</f>
        <v>0.14943611621856689</v>
      </c>
      <c r="AG37" s="133">
        <f>VLOOKUP(A37,'2022_PAPI_Indicators'!A32:AF212,31,FALSE)</f>
        <v>0.14446042478084564</v>
      </c>
      <c r="AH37" s="133">
        <f>VLOOKUP(A37,'2022_PAPI_Indicators'!A32:AG212,32,FALSE)</f>
        <v>0.24640330672264099</v>
      </c>
      <c r="AI37" s="133">
        <f>VLOOKUP(A37,'2022_PAPI_Indicators'!A32:AH212,33,FALSE)</f>
        <v>0.10541162639856339</v>
      </c>
      <c r="AJ37" s="133">
        <f>VLOOKUP(A37,'2022_PAPI_Indicators'!A32:AI212,34,FALSE)</f>
        <v>9.1046608984470367E-2</v>
      </c>
      <c r="AK37" s="133">
        <f>VLOOKUP(A37,'2022_PAPI_Indicators'!A32:AJ212,35,FALSE)</f>
        <v>0.22053803503513336</v>
      </c>
      <c r="AL37" s="133">
        <f>VLOOKUP(A37,'2022_PAPI_Indicators'!A32:AK212,36,FALSE)</f>
        <v>8.8396497070789337E-2</v>
      </c>
      <c r="AM37" s="133">
        <f>VLOOKUP(A37,'2022_PAPI_Indicators'!A32:AL212,37,FALSE)</f>
        <v>0.10845755785703659</v>
      </c>
      <c r="AN37" s="133">
        <f>VLOOKUP(A37,'2022_PAPI_Indicators'!A32:AM212,38,FALSE)</f>
        <v>0.20481172204017639</v>
      </c>
      <c r="AO37" s="133">
        <f>VLOOKUP(A37,'2022_PAPI_Indicators'!A32:AN212,39,FALSE)</f>
        <v>0.21641910076141357</v>
      </c>
      <c r="AP37" s="133">
        <f>VLOOKUP(A37,'2022_PAPI_Indicators'!A32:AO212,40,FALSE)</f>
        <v>0.15806229412555695</v>
      </c>
      <c r="AQ37" s="133">
        <f>VLOOKUP(A37,'2022_PAPI_Indicators'!A32:AP212,41,FALSE)</f>
        <v>0.11016819626092911</v>
      </c>
      <c r="AR37" s="133">
        <f>VLOOKUP(A37,'2022_PAPI_Indicators'!A32:AQ212,42,FALSE)</f>
        <v>0.15050685405731201</v>
      </c>
      <c r="AS37" s="133">
        <f>VLOOKUP(A37,'2022_PAPI_Indicators'!A32:AR212,43,FALSE)</f>
        <v>8.1703536212444305E-2</v>
      </c>
      <c r="AT37" s="133">
        <f>VLOOKUP(A37,'2022_PAPI_Indicators'!A32:AS212,44,FALSE)</f>
        <v>0.14734019339084625</v>
      </c>
      <c r="AU37" s="133">
        <f>VLOOKUP(A37,'2022_PAPI_Indicators'!A32:AT212,45,FALSE)</f>
        <v>0.15669701993465424</v>
      </c>
      <c r="AV37" s="133">
        <f>VLOOKUP(A37,'2022_PAPI_Indicators'!A32:AU212,46,FALSE)</f>
        <v>0.14214102923870087</v>
      </c>
      <c r="AW37" s="133">
        <f>VLOOKUP(A37,'2022_PAPI_Indicators'!A32:AV212,47,FALSE)</f>
        <v>0.11481352150440216</v>
      </c>
      <c r="AX37" s="133">
        <f>VLOOKUP(A37,'2022_PAPI_Indicators'!A32:AW212,48,FALSE)</f>
        <v>0.17667399346828461</v>
      </c>
      <c r="AY37" s="133">
        <f>VLOOKUP(A37,'2022_PAPI_Indicators'!A32:AX212,49,FALSE)</f>
        <v>0.15430444478988647</v>
      </c>
      <c r="AZ37" s="133">
        <f>VLOOKUP(A37,'2022_PAPI_Indicators'!A32:AY212,50,FALSE)</f>
        <v>0.13885729014873505</v>
      </c>
      <c r="BA37" s="133">
        <f>VLOOKUP(A37,'2022_PAPI_Indicators'!A32:AZ212,51,FALSE)</f>
        <v>0.10191295295953751</v>
      </c>
      <c r="BB37" s="133">
        <f>VLOOKUP(A37,'2022_PAPI_Indicators'!A32:BA212,52,FALSE)</f>
        <v>7.0865489542484283E-2</v>
      </c>
      <c r="BC37" s="133">
        <f>VLOOKUP(A37,'2022_PAPI_Indicators'!A32:BB212,53,FALSE)</f>
        <v>6.5861940383911133E-2</v>
      </c>
      <c r="BD37" s="133">
        <f>VLOOKUP(A37,'2022_PAPI_Indicators'!A32:BC212,54,FALSE)</f>
        <v>6.3934288918972015E-2</v>
      </c>
      <c r="BE37" s="133">
        <f>VLOOKUP(A37,'2022_PAPI_Indicators'!A32:BD212,55,FALSE)</f>
        <v>8.3275593817234039E-2</v>
      </c>
      <c r="BF37" s="133">
        <f>VLOOKUP(A37,'2022_PAPI_Indicators'!A32:BE212,56,FALSE)</f>
        <v>0.14501377940177917</v>
      </c>
      <c r="BG37" s="133">
        <f>VLOOKUP(A37,'2022_PAPI_Indicators'!A32:BF212,57,FALSE)</f>
        <v>8.2369230687618256E-2</v>
      </c>
      <c r="BH37" s="133">
        <f>VLOOKUP(A37,'2022_PAPI_Indicators'!A32:BG212,58,FALSE)</f>
        <v>9.1090105473995209E-2</v>
      </c>
      <c r="BI37" s="133">
        <f>VLOOKUP(A37,'2022_PAPI_Indicators'!A32:BH212,59,FALSE)</f>
        <v>7.00235515832901E-2</v>
      </c>
      <c r="BJ37" s="133">
        <f>VLOOKUP(A37,'2022_PAPI_Indicators'!A32:BI212,60,FALSE)</f>
        <v>8.2003623247146606E-2</v>
      </c>
      <c r="BK37" s="133">
        <f>VLOOKUP(A37,'2022_PAPI_Indicators'!A32:BJ212,61,FALSE)</f>
        <v>0.12540288269519806</v>
      </c>
      <c r="BL37" s="133">
        <f>VLOOKUP(A37,'2022_PAPI_Indicators'!A32:BK212,62,FALSE)</f>
        <v>8.8900759816169739E-2</v>
      </c>
      <c r="BM37" s="133">
        <f>VLOOKUP(A37,'2022_PAPI_Indicators'!A32:BL212,63,FALSE)</f>
        <v>0.17045824229717255</v>
      </c>
      <c r="BN37" s="133">
        <f>VLOOKUP(A37,'2022_PAPI_Indicators'!A32:BM212,64,FALSE)</f>
        <v>0.151466965675354</v>
      </c>
    </row>
    <row r="38" spans="1:66" x14ac:dyDescent="0.2">
      <c r="A38" s="70" t="s">
        <v>139</v>
      </c>
      <c r="B38" s="70" t="s">
        <v>140</v>
      </c>
      <c r="C38" s="89" t="s">
        <v>90</v>
      </c>
      <c r="D38" s="133">
        <f>VLOOKUP(A38,'2022_PAPI_Indicators'!A33:B213,2,)</f>
        <v>0.17232534289360046</v>
      </c>
      <c r="E38" s="133">
        <f>VLOOKUP(A38,'2022_PAPI_Indicators'!A33:C213,3,FALSE)</f>
        <v>0.18845091760158539</v>
      </c>
      <c r="F38" s="133">
        <f>VLOOKUP(A38,'2022_PAPI_Indicators'!A33:D213,4,FALSE)</f>
        <v>7.4330359697341919E-2</v>
      </c>
      <c r="G38" s="133">
        <f>VLOOKUP(A38,'2022_PAPI_Indicators'!A33:E213,5,FALSE)</f>
        <v>0.19396999478340149</v>
      </c>
      <c r="H38" s="133">
        <f>VLOOKUP(A38,'2022_PAPI_Indicators'!A33:F213,6,FALSE)</f>
        <v>0.12101202458143234</v>
      </c>
      <c r="I38" s="133">
        <f>VLOOKUP(A38,'2022_PAPI_Indicators'!A33:G213,7,FALSE)</f>
        <v>0.13334856927394867</v>
      </c>
      <c r="J38" s="133">
        <f>VLOOKUP(A38,'2022_PAPI_Indicators'!A33:H213,8,FALSE)</f>
        <v>0.10739484429359436</v>
      </c>
      <c r="K38" s="133">
        <f>VLOOKUP(A38,'2022_PAPI_Indicators'!A33:I213,9,FALSE)</f>
        <v>0.163156658411026</v>
      </c>
      <c r="L38" s="133">
        <f>VLOOKUP(A38,'2022_PAPI_Indicators'!A33:J213,10,FALSE)</f>
        <v>0.11353363841772079</v>
      </c>
      <c r="M38" s="133">
        <f>VLOOKUP(A38,'2022_PAPI_Indicators'!A33:K213,11,FALSE)</f>
        <v>9.2909529805183411E-2</v>
      </c>
      <c r="N38" s="133">
        <f>VLOOKUP(A38,'2022_PAPI_Indicators'!A33:L213,12,FALSE)</f>
        <v>0.11089572310447693</v>
      </c>
      <c r="O38" s="133">
        <f>VLOOKUP(A38,'2022_PAPI_Indicators'!A33:M213,13,FALSE)</f>
        <v>0.18621024489402771</v>
      </c>
      <c r="P38" s="133">
        <f>VLOOKUP(A38,'2022_PAPI_Indicators'!A33:N213,14,FALSE)</f>
        <v>0.14173033833503723</v>
      </c>
      <c r="Q38" s="133">
        <f>VLOOKUP(A38,'2022_PAPI_Indicators'!A33:O213,15,FALSE)</f>
        <v>0.20941758155822754</v>
      </c>
      <c r="R38" s="135">
        <f>VLOOKUP(A38,'2022_PAPI_Indicators'!A33:P213,16,FALSE)</f>
        <v>0</v>
      </c>
      <c r="S38" s="133">
        <f>VLOOKUP(A38,'2022_PAPI_Indicators'!A33:R213,17,FALSE)</f>
        <v>0.1143234595656395</v>
      </c>
      <c r="T38" s="133">
        <f>VLOOKUP(A38,'2022_PAPI_Indicators'!A33:S213,18,FALSE)</f>
        <v>0.14243024587631226</v>
      </c>
      <c r="U38" s="135">
        <f>VLOOKUP(A38,'2022_PAPI_Indicators'!A33:T213,19,FALSE)</f>
        <v>0</v>
      </c>
      <c r="V38" s="133">
        <f>VLOOKUP(A38,'2022_PAPI_Indicators'!A33:U213,20,FALSE)</f>
        <v>8.5234425961971283E-2</v>
      </c>
      <c r="W38" s="133">
        <f>VLOOKUP(A38,'2022_PAPI_Indicators'!A33:V213,21,FALSE)</f>
        <v>6.906534731388092E-2</v>
      </c>
      <c r="X38" s="133">
        <f>VLOOKUP(A38,'2022_PAPI_Indicators'!A33:W213,22,FALSE)</f>
        <v>0.17129181325435638</v>
      </c>
      <c r="Y38" s="133">
        <f>VLOOKUP(A38,'2022_PAPI_Indicators'!A33:X213,23,FALSE)</f>
        <v>8.8753655552864075E-2</v>
      </c>
      <c r="Z38" s="133">
        <f>VLOOKUP(A38,'2022_PAPI_Indicators'!A33:Y213,24,FALSE)</f>
        <v>0.10815390944480896</v>
      </c>
      <c r="AA38" s="133">
        <f>VLOOKUP(A38,'2022_PAPI_Indicators'!A33:Z213,25,FALSE)</f>
        <v>9.2045657336711884E-2</v>
      </c>
      <c r="AB38" s="133">
        <f>VLOOKUP(A38,'2022_PAPI_Indicators'!A33:AA213,26,FALSE)</f>
        <v>7.6710499823093414E-2</v>
      </c>
      <c r="AC38" s="133">
        <f>VLOOKUP(A38,'2022_PAPI_Indicators'!A33:AB213,27,FALSE)</f>
        <v>0.14892372488975525</v>
      </c>
      <c r="AD38" s="133">
        <f>VLOOKUP(A38,'2022_PAPI_Indicators'!A33:AC213,28,FALSE)</f>
        <v>0.10434368252754211</v>
      </c>
      <c r="AE38" s="133">
        <f>VLOOKUP(A38,'2022_PAPI_Indicators'!A33:AD213,29,FALSE)</f>
        <v>0.11791789531707764</v>
      </c>
      <c r="AF38" s="133">
        <f>VLOOKUP(A38,'2022_PAPI_Indicators'!A33:AE213,30,FALSE)</f>
        <v>0.1178336888551712</v>
      </c>
      <c r="AG38" s="133">
        <f>VLOOKUP(A38,'2022_PAPI_Indicators'!A33:AF213,31,FALSE)</f>
        <v>0.11065347492694855</v>
      </c>
      <c r="AH38" s="133">
        <f>VLOOKUP(A38,'2022_PAPI_Indicators'!A33:AG213,32,FALSE)</f>
        <v>0.22787855565547943</v>
      </c>
      <c r="AI38" s="133">
        <f>VLOOKUP(A38,'2022_PAPI_Indicators'!A33:AH213,33,FALSE)</f>
        <v>7.9419448971748352E-2</v>
      </c>
      <c r="AJ38" s="133">
        <f>VLOOKUP(A38,'2022_PAPI_Indicators'!A33:AI213,34,FALSE)</f>
        <v>6.9526396691799164E-2</v>
      </c>
      <c r="AK38" s="133">
        <f>VLOOKUP(A38,'2022_PAPI_Indicators'!A33:AJ213,35,FALSE)</f>
        <v>0.1842847615480423</v>
      </c>
      <c r="AL38" s="133">
        <f>VLOOKUP(A38,'2022_PAPI_Indicators'!A33:AK213,36,FALSE)</f>
        <v>8.8396497070789337E-2</v>
      </c>
      <c r="AM38" s="133">
        <f>VLOOKUP(A38,'2022_PAPI_Indicators'!A33:AL213,37,FALSE)</f>
        <v>0.10141117870807648</v>
      </c>
      <c r="AN38" s="133">
        <f>VLOOKUP(A38,'2022_PAPI_Indicators'!A33:AM213,38,FALSE)</f>
        <v>0.17651805281639099</v>
      </c>
      <c r="AO38" s="133">
        <f>VLOOKUP(A38,'2022_PAPI_Indicators'!A33:AN213,39,FALSE)</f>
        <v>0.19782279431819916</v>
      </c>
      <c r="AP38" s="133">
        <f>VLOOKUP(A38,'2022_PAPI_Indicators'!A33:AO213,40,FALSE)</f>
        <v>0.1370026022195816</v>
      </c>
      <c r="AQ38" s="133">
        <f>VLOOKUP(A38,'2022_PAPI_Indicators'!A33:AP213,41,FALSE)</f>
        <v>8.542303740978241E-2</v>
      </c>
      <c r="AR38" s="133">
        <f>VLOOKUP(A38,'2022_PAPI_Indicators'!A33:AQ213,42,FALSE)</f>
        <v>0.12069264054298401</v>
      </c>
      <c r="AS38" s="133">
        <f>VLOOKUP(A38,'2022_PAPI_Indicators'!A33:AR213,43,FALSE)</f>
        <v>6.2108270823955536E-2</v>
      </c>
      <c r="AT38" s="133">
        <f>VLOOKUP(A38,'2022_PAPI_Indicators'!A33:AS213,44,FALSE)</f>
        <v>0.1308380514383316</v>
      </c>
      <c r="AU38" s="133">
        <f>VLOOKUP(A38,'2022_PAPI_Indicators'!A33:AT213,45,FALSE)</f>
        <v>0.11142133176326752</v>
      </c>
      <c r="AV38" s="133">
        <f>VLOOKUP(A38,'2022_PAPI_Indicators'!A33:AU213,46,FALSE)</f>
        <v>0.1177099421620369</v>
      </c>
      <c r="AW38" s="133">
        <f>VLOOKUP(A38,'2022_PAPI_Indicators'!A33:AV213,47,FALSE)</f>
        <v>0.1002575159072876</v>
      </c>
      <c r="AX38" s="133">
        <f>VLOOKUP(A38,'2022_PAPI_Indicators'!A33:AW213,48,FALSE)</f>
        <v>0.16907837986946106</v>
      </c>
      <c r="AY38" s="133">
        <f>VLOOKUP(A38,'2022_PAPI_Indicators'!A33:AX213,49,FALSE)</f>
        <v>0.12747775018215179</v>
      </c>
      <c r="AZ38" s="133">
        <f>VLOOKUP(A38,'2022_PAPI_Indicators'!A33:AY213,50,FALSE)</f>
        <v>9.584382176399231E-2</v>
      </c>
      <c r="BA38" s="133">
        <f>VLOOKUP(A38,'2022_PAPI_Indicators'!A33:AZ213,51,FALSE)</f>
        <v>9.2130899429321289E-2</v>
      </c>
      <c r="BB38" s="133">
        <f>VLOOKUP(A38,'2022_PAPI_Indicators'!A33:BA213,52,FALSE)</f>
        <v>4.9382690340280533E-2</v>
      </c>
      <c r="BC38" s="133">
        <f>VLOOKUP(A38,'2022_PAPI_Indicators'!A33:BB213,53,FALSE)</f>
        <v>4.4357191771268845E-2</v>
      </c>
      <c r="BD38" s="133">
        <f>VLOOKUP(A38,'2022_PAPI_Indicators'!A33:BC213,54,FALSE)</f>
        <v>4.7555048018693924E-2</v>
      </c>
      <c r="BE38" s="133">
        <f>VLOOKUP(A38,'2022_PAPI_Indicators'!A33:BD213,55,FALSE)</f>
        <v>6.7549504339694977E-2</v>
      </c>
      <c r="BF38" s="133">
        <f>VLOOKUP(A38,'2022_PAPI_Indicators'!A33:BE213,56,FALSE)</f>
        <v>0.12331528216600418</v>
      </c>
      <c r="BG38" s="133">
        <f>VLOOKUP(A38,'2022_PAPI_Indicators'!A33:BF213,57,FALSE)</f>
        <v>6.6744230687618256E-2</v>
      </c>
      <c r="BH38" s="133">
        <f>VLOOKUP(A38,'2022_PAPI_Indicators'!A33:BG213,58,FALSE)</f>
        <v>7.6238103210926056E-2</v>
      </c>
      <c r="BI38" s="133">
        <f>VLOOKUP(A38,'2022_PAPI_Indicators'!A33:BH213,59,FALSE)</f>
        <v>4.2194902896881104E-2</v>
      </c>
      <c r="BJ38" s="133">
        <f>VLOOKUP(A38,'2022_PAPI_Indicators'!A33:BI213,60,FALSE)</f>
        <v>6.8795539438724518E-2</v>
      </c>
      <c r="BK38" s="133">
        <f>VLOOKUP(A38,'2022_PAPI_Indicators'!A33:BJ213,61,FALSE)</f>
        <v>0.11816827207803726</v>
      </c>
      <c r="BL38" s="133">
        <f>VLOOKUP(A38,'2022_PAPI_Indicators'!A33:BK213,62,FALSE)</f>
        <v>6.6269628703594208E-2</v>
      </c>
      <c r="BM38" s="133">
        <f>VLOOKUP(A38,'2022_PAPI_Indicators'!A33:BL213,63,FALSE)</f>
        <v>0.14816999435424805</v>
      </c>
      <c r="BN38" s="133">
        <f>VLOOKUP(A38,'2022_PAPI_Indicators'!A33:BM213,64,FALSE)</f>
        <v>0.13757471740245819</v>
      </c>
    </row>
    <row r="39" spans="1:66" x14ac:dyDescent="0.2">
      <c r="A39" s="70" t="s">
        <v>141</v>
      </c>
      <c r="B39" s="70" t="s">
        <v>142</v>
      </c>
      <c r="C39" s="89" t="s">
        <v>90</v>
      </c>
      <c r="D39" s="133">
        <f>VLOOKUP(A39,'2022_PAPI_Indicators'!A34:B214,2,)</f>
        <v>0.16953153908252716</v>
      </c>
      <c r="E39" s="133">
        <f>VLOOKUP(A39,'2022_PAPI_Indicators'!A34:C214,3,FALSE)</f>
        <v>0.21108914911746979</v>
      </c>
      <c r="F39" s="133">
        <f>VLOOKUP(A39,'2022_PAPI_Indicators'!A34:D214,4,FALSE)</f>
        <v>7.0523209869861603E-2</v>
      </c>
      <c r="G39" s="133">
        <f>VLOOKUP(A39,'2022_PAPI_Indicators'!A34:E214,5,FALSE)</f>
        <v>0.22270096838474274</v>
      </c>
      <c r="H39" s="133">
        <f>VLOOKUP(A39,'2022_PAPI_Indicators'!A34:F214,6,FALSE)</f>
        <v>0.12211217731237411</v>
      </c>
      <c r="I39" s="133">
        <f>VLOOKUP(A39,'2022_PAPI_Indicators'!A34:G214,7,FALSE)</f>
        <v>0.14017079770565033</v>
      </c>
      <c r="J39" s="133">
        <f>VLOOKUP(A39,'2022_PAPI_Indicators'!A34:H214,8,FALSE)</f>
        <v>9.8378390073776245E-2</v>
      </c>
      <c r="K39" s="133">
        <f>VLOOKUP(A39,'2022_PAPI_Indicators'!A34:I214,9,FALSE)</f>
        <v>0.18601471185684204</v>
      </c>
      <c r="L39" s="133">
        <f>VLOOKUP(A39,'2022_PAPI_Indicators'!A34:J214,10,FALSE)</f>
        <v>0.11353363841772079</v>
      </c>
      <c r="M39" s="133">
        <f>VLOOKUP(A39,'2022_PAPI_Indicators'!A34:K214,11,FALSE)</f>
        <v>0.13741935789585114</v>
      </c>
      <c r="N39" s="133">
        <f>VLOOKUP(A39,'2022_PAPI_Indicators'!A34:L214,12,FALSE)</f>
        <v>0.11902418732643127</v>
      </c>
      <c r="O39" s="133">
        <f>VLOOKUP(A39,'2022_PAPI_Indicators'!A34:M214,13,FALSE)</f>
        <v>0.19521665573120117</v>
      </c>
      <c r="P39" s="133">
        <f>VLOOKUP(A39,'2022_PAPI_Indicators'!A34:N214,14,FALSE)</f>
        <v>0.1439410001039505</v>
      </c>
      <c r="Q39" s="133">
        <f>VLOOKUP(A39,'2022_PAPI_Indicators'!A34:O214,15,FALSE)</f>
        <v>0.22234471142292023</v>
      </c>
      <c r="R39" s="135">
        <f>VLOOKUP(A39,'2022_PAPI_Indicators'!A34:P214,16,FALSE)</f>
        <v>0</v>
      </c>
      <c r="S39" s="133">
        <f>VLOOKUP(A39,'2022_PAPI_Indicators'!A34:R214,17,FALSE)</f>
        <v>0.12275451421737671</v>
      </c>
      <c r="T39" s="133">
        <f>VLOOKUP(A39,'2022_PAPI_Indicators'!A34:S214,18,FALSE)</f>
        <v>0.15656422078609467</v>
      </c>
      <c r="U39" s="135">
        <f>VLOOKUP(A39,'2022_PAPI_Indicators'!A34:T214,19,FALSE)</f>
        <v>0</v>
      </c>
      <c r="V39" s="133">
        <f>VLOOKUP(A39,'2022_PAPI_Indicators'!A34:U214,20,FALSE)</f>
        <v>9.4303794205188751E-2</v>
      </c>
      <c r="W39" s="133">
        <f>VLOOKUP(A39,'2022_PAPI_Indicators'!A34:V214,21,FALSE)</f>
        <v>7.6299518346786499E-2</v>
      </c>
      <c r="X39" s="133">
        <f>VLOOKUP(A39,'2022_PAPI_Indicators'!A34:W214,22,FALSE)</f>
        <v>0.17948479950428009</v>
      </c>
      <c r="Y39" s="133">
        <f>VLOOKUP(A39,'2022_PAPI_Indicators'!A34:X214,23,FALSE)</f>
        <v>8.9656300842761993E-2</v>
      </c>
      <c r="Z39" s="133">
        <f>VLOOKUP(A39,'2022_PAPI_Indicators'!A34:Y214,24,FALSE)</f>
        <v>0.10969735682010651</v>
      </c>
      <c r="AA39" s="133">
        <f>VLOOKUP(A39,'2022_PAPI_Indicators'!A34:Z214,25,FALSE)</f>
        <v>0.10544950515031815</v>
      </c>
      <c r="AB39" s="133">
        <f>VLOOKUP(A39,'2022_PAPI_Indicators'!A34:AA214,26,FALSE)</f>
        <v>0.10468115657567978</v>
      </c>
      <c r="AC39" s="133">
        <f>VLOOKUP(A39,'2022_PAPI_Indicators'!A34:AB214,27,FALSE)</f>
        <v>0.15188992023468018</v>
      </c>
      <c r="AD39" s="133">
        <f>VLOOKUP(A39,'2022_PAPI_Indicators'!A34:AC214,28,FALSE)</f>
        <v>0.10501546412706375</v>
      </c>
      <c r="AE39" s="133">
        <f>VLOOKUP(A39,'2022_PAPI_Indicators'!A34:AD214,29,FALSE)</f>
        <v>0.12671610713005066</v>
      </c>
      <c r="AF39" s="133">
        <f>VLOOKUP(A39,'2022_PAPI_Indicators'!A34:AE214,30,FALSE)</f>
        <v>0.14821097254753113</v>
      </c>
      <c r="AG39" s="133">
        <f>VLOOKUP(A39,'2022_PAPI_Indicators'!A34:AF214,31,FALSE)</f>
        <v>0.12627847492694855</v>
      </c>
      <c r="AH39" s="133">
        <f>VLOOKUP(A39,'2022_PAPI_Indicators'!A34:AG214,32,FALSE)</f>
        <v>0.22032430768013</v>
      </c>
      <c r="AI39" s="133">
        <f>VLOOKUP(A39,'2022_PAPI_Indicators'!A34:AH214,33,FALSE)</f>
        <v>8.5990287363529205E-2</v>
      </c>
      <c r="AJ39" s="133">
        <f>VLOOKUP(A39,'2022_PAPI_Indicators'!A34:AI214,34,FALSE)</f>
        <v>6.9526396691799164E-2</v>
      </c>
      <c r="AK39" s="133">
        <f>VLOOKUP(A39,'2022_PAPI_Indicators'!A34:AJ214,35,FALSE)</f>
        <v>0.20392057299613953</v>
      </c>
      <c r="AL39" s="133">
        <f>VLOOKUP(A39,'2022_PAPI_Indicators'!A34:AK214,36,FALSE)</f>
        <v>8.8396497070789337E-2</v>
      </c>
      <c r="AM39" s="133">
        <f>VLOOKUP(A39,'2022_PAPI_Indicators'!A34:AL214,37,FALSE)</f>
        <v>9.9878944456577301E-2</v>
      </c>
      <c r="AN39" s="133">
        <f>VLOOKUP(A39,'2022_PAPI_Indicators'!A34:AM214,38,FALSE)</f>
        <v>0.19833682477474213</v>
      </c>
      <c r="AO39" s="133">
        <f>VLOOKUP(A39,'2022_PAPI_Indicators'!A34:AN214,39,FALSE)</f>
        <v>0.2102203369140625</v>
      </c>
      <c r="AP39" s="133">
        <f>VLOOKUP(A39,'2022_PAPI_Indicators'!A34:AO214,40,FALSE)</f>
        <v>0.14243729412555695</v>
      </c>
      <c r="AQ39" s="133">
        <f>VLOOKUP(A39,'2022_PAPI_Indicators'!A34:AP214,41,FALSE)</f>
        <v>9.7795620560646057E-2</v>
      </c>
      <c r="AR39" s="133">
        <f>VLOOKUP(A39,'2022_PAPI_Indicators'!A34:AQ214,42,FALSE)</f>
        <v>0.115033820271492</v>
      </c>
      <c r="AS39" s="133">
        <f>VLOOKUP(A39,'2022_PAPI_Indicators'!A34:AR214,43,FALSE)</f>
        <v>8.1703536212444305E-2</v>
      </c>
      <c r="AT39" s="133">
        <f>VLOOKUP(A39,'2022_PAPI_Indicators'!A34:AS214,44,FALSE)</f>
        <v>0.14172990620136261</v>
      </c>
      <c r="AU39" s="133">
        <f>VLOOKUP(A39,'2022_PAPI_Indicators'!A34:AT214,45,FALSE)</f>
        <v>0.14987333118915558</v>
      </c>
      <c r="AV39" s="133">
        <f>VLOOKUP(A39,'2022_PAPI_Indicators'!A34:AU214,46,FALSE)</f>
        <v>0.1331082284450531</v>
      </c>
      <c r="AW39" s="133">
        <f>VLOOKUP(A39,'2022_PAPI_Indicators'!A34:AV214,47,FALSE)</f>
        <v>0.1002575159072876</v>
      </c>
      <c r="AX39" s="133">
        <f>VLOOKUP(A39,'2022_PAPI_Indicators'!A34:AW214,48,FALSE)</f>
        <v>0.17031311988830566</v>
      </c>
      <c r="AY39" s="133">
        <f>VLOOKUP(A39,'2022_PAPI_Indicators'!A34:AX214,49,FALSE)</f>
        <v>0.13657373189926147</v>
      </c>
      <c r="AZ39" s="133">
        <f>VLOOKUP(A39,'2022_PAPI_Indicators'!A34:AY214,50,FALSE)</f>
        <v>0.10409221798181534</v>
      </c>
      <c r="BA39" s="133">
        <f>VLOOKUP(A39,'2022_PAPI_Indicators'!A34:AZ214,51,FALSE)</f>
        <v>8.6279153823852539E-2</v>
      </c>
      <c r="BB39" s="133">
        <f>VLOOKUP(A39,'2022_PAPI_Indicators'!A34:BA214,52,FALSE)</f>
        <v>6.3152171671390533E-2</v>
      </c>
      <c r="BC39" s="133">
        <f>VLOOKUP(A39,'2022_PAPI_Indicators'!A34:BB214,53,FALSE)</f>
        <v>6.5861940383911133E-2</v>
      </c>
      <c r="BD39" s="133">
        <f>VLOOKUP(A39,'2022_PAPI_Indicators'!A34:BC214,54,FALSE)</f>
        <v>6.3142955303192139E-2</v>
      </c>
      <c r="BE39" s="133">
        <f>VLOOKUP(A39,'2022_PAPI_Indicators'!A34:BD214,55,FALSE)</f>
        <v>6.7549504339694977E-2</v>
      </c>
      <c r="BF39" s="133">
        <f>VLOOKUP(A39,'2022_PAPI_Indicators'!A34:BE214,56,FALSE)</f>
        <v>0.1370667964220047</v>
      </c>
      <c r="BG39" s="133">
        <f>VLOOKUP(A39,'2022_PAPI_Indicators'!A34:BF214,57,FALSE)</f>
        <v>8.2369230687618256E-2</v>
      </c>
      <c r="BH39" s="133">
        <f>VLOOKUP(A39,'2022_PAPI_Indicators'!A34:BG214,58,FALSE)</f>
        <v>8.2178905606269836E-2</v>
      </c>
      <c r="BI39" s="133">
        <f>VLOOKUP(A39,'2022_PAPI_Indicators'!A34:BH214,59,FALSE)</f>
        <v>6.3066393136978149E-2</v>
      </c>
      <c r="BJ39" s="133">
        <f>VLOOKUP(A39,'2022_PAPI_Indicators'!A34:BI214,60,FALSE)</f>
        <v>7.751280814409256E-2</v>
      </c>
      <c r="BK39" s="133">
        <f>VLOOKUP(A39,'2022_PAPI_Indicators'!A34:BJ214,61,FALSE)</f>
        <v>0.12540288269519806</v>
      </c>
      <c r="BL39" s="133">
        <f>VLOOKUP(A39,'2022_PAPI_Indicators'!A34:BK214,62,FALSE)</f>
        <v>8.7031297385692596E-2</v>
      </c>
      <c r="BM39" s="133">
        <f>VLOOKUP(A39,'2022_PAPI_Indicators'!A34:BL214,63,FALSE)</f>
        <v>0.16062207520008087</v>
      </c>
      <c r="BN39" s="133">
        <f>VLOOKUP(A39,'2022_PAPI_Indicators'!A34:BM214,64,FALSE)</f>
        <v>0.1412724107503891</v>
      </c>
    </row>
    <row r="40" spans="1:66" x14ac:dyDescent="0.2">
      <c r="A40" s="70" t="s">
        <v>143</v>
      </c>
      <c r="B40" s="70" t="s">
        <v>144</v>
      </c>
      <c r="C40" s="89" t="s">
        <v>90</v>
      </c>
      <c r="D40" s="133">
        <f>VLOOKUP(A40,'2022_PAPI_Indicators'!A35:B215,2,)</f>
        <v>0.17435465753078461</v>
      </c>
      <c r="E40" s="133">
        <f>VLOOKUP(A40,'2022_PAPI_Indicators'!A35:C215,3,FALSE)</f>
        <v>0.21108914911746979</v>
      </c>
      <c r="F40" s="133">
        <f>VLOOKUP(A40,'2022_PAPI_Indicators'!A35:D215,4,FALSE)</f>
        <v>7.6701879501342773E-2</v>
      </c>
      <c r="G40" s="133">
        <f>VLOOKUP(A40,'2022_PAPI_Indicators'!A35:E215,5,FALSE)</f>
        <v>0.21551822125911713</v>
      </c>
      <c r="H40" s="133">
        <f>VLOOKUP(A40,'2022_PAPI_Indicators'!A35:F215,6,FALSE)</f>
        <v>0.12816272675991058</v>
      </c>
      <c r="I40" s="133">
        <f>VLOOKUP(A40,'2022_PAPI_Indicators'!A35:G215,7,FALSE)</f>
        <v>0.13334856927394867</v>
      </c>
      <c r="J40" s="133">
        <f>VLOOKUP(A40,'2022_PAPI_Indicators'!A35:H215,8,FALSE)</f>
        <v>9.9181026220321655E-2</v>
      </c>
      <c r="K40" s="133">
        <f>VLOOKUP(A40,'2022_PAPI_Indicators'!A35:I215,9,FALSE)</f>
        <v>0.17509442567825317</v>
      </c>
      <c r="L40" s="133">
        <f>VLOOKUP(A40,'2022_PAPI_Indicators'!A35:J215,10,FALSE)</f>
        <v>0.10606768727302551</v>
      </c>
      <c r="M40" s="133">
        <f>VLOOKUP(A40,'2022_PAPI_Indicators'!A35:K215,11,FALSE)</f>
        <v>0.13016983866691589</v>
      </c>
      <c r="N40" s="133">
        <f>VLOOKUP(A40,'2022_PAPI_Indicators'!A35:L215,12,FALSE)</f>
        <v>0.11283091455698013</v>
      </c>
      <c r="O40" s="133">
        <f>VLOOKUP(A40,'2022_PAPI_Indicators'!A35:M215,13,FALSE)</f>
        <v>0.18170703947544098</v>
      </c>
      <c r="P40" s="133">
        <f>VLOOKUP(A40,'2022_PAPI_Indicators'!A35:N215,14,FALSE)</f>
        <v>0.15009549260139465</v>
      </c>
      <c r="Q40" s="133">
        <f>VLOOKUP(A40,'2022_PAPI_Indicators'!A35:O215,15,FALSE)</f>
        <v>0.22400668263435364</v>
      </c>
      <c r="R40" s="135">
        <f>VLOOKUP(A40,'2022_PAPI_Indicators'!A35:P215,16,FALSE)</f>
        <v>0</v>
      </c>
      <c r="S40" s="133">
        <f>VLOOKUP(A40,'2022_PAPI_Indicators'!A35:R215,17,FALSE)</f>
        <v>0.12151740491390228</v>
      </c>
      <c r="T40" s="133">
        <f>VLOOKUP(A40,'2022_PAPI_Indicators'!A35:S215,18,FALSE)</f>
        <v>0.14243024587631226</v>
      </c>
      <c r="U40" s="135">
        <f>VLOOKUP(A40,'2022_PAPI_Indicators'!A35:T215,19,FALSE)</f>
        <v>0</v>
      </c>
      <c r="V40" s="133">
        <f>VLOOKUP(A40,'2022_PAPI_Indicators'!A35:U215,20,FALSE)</f>
        <v>8.026905357837677E-2</v>
      </c>
      <c r="W40" s="133">
        <f>VLOOKUP(A40,'2022_PAPI_Indicators'!A35:V215,21,FALSE)</f>
        <v>7.5939714908599854E-2</v>
      </c>
      <c r="X40" s="133">
        <f>VLOOKUP(A40,'2022_PAPI_Indicators'!A35:W215,22,FALSE)</f>
        <v>0.1802457869052887</v>
      </c>
      <c r="Y40" s="133">
        <f>VLOOKUP(A40,'2022_PAPI_Indicators'!A35:X215,23,FALSE)</f>
        <v>9.6904225647449493E-2</v>
      </c>
      <c r="Z40" s="133">
        <f>VLOOKUP(A40,'2022_PAPI_Indicators'!A35:Y215,24,FALSE)</f>
        <v>0.10661046206951141</v>
      </c>
      <c r="AA40" s="133">
        <f>VLOOKUP(A40,'2022_PAPI_Indicators'!A35:Z215,25,FALSE)</f>
        <v>0.10656008124351501</v>
      </c>
      <c r="AB40" s="133">
        <f>VLOOKUP(A40,'2022_PAPI_Indicators'!A35:AA215,26,FALSE)</f>
        <v>9.8508328199386597E-2</v>
      </c>
      <c r="AC40" s="133">
        <f>VLOOKUP(A40,'2022_PAPI_Indicators'!A35:AB215,27,FALSE)</f>
        <v>0.14924918115139008</v>
      </c>
      <c r="AD40" s="133">
        <f>VLOOKUP(A40,'2022_PAPI_Indicators'!A35:AC215,28,FALSE)</f>
        <v>0.10797572880983353</v>
      </c>
      <c r="AE40" s="133">
        <f>VLOOKUP(A40,'2022_PAPI_Indicators'!A35:AD215,29,FALSE)</f>
        <v>0.13354289531707764</v>
      </c>
      <c r="AF40" s="133">
        <f>VLOOKUP(A40,'2022_PAPI_Indicators'!A35:AE215,30,FALSE)</f>
        <v>0.14943611621856689</v>
      </c>
      <c r="AG40" s="133">
        <f>VLOOKUP(A40,'2022_PAPI_Indicators'!A35:AF215,31,FALSE)</f>
        <v>0.11065347492694855</v>
      </c>
      <c r="AH40" s="133">
        <f>VLOOKUP(A40,'2022_PAPI_Indicators'!A35:AG215,32,FALSE)</f>
        <v>0.23543280363082886</v>
      </c>
      <c r="AI40" s="133">
        <f>VLOOKUP(A40,'2022_PAPI_Indicators'!A35:AH215,33,FALSE)</f>
        <v>7.5183361768722534E-2</v>
      </c>
      <c r="AJ40" s="133">
        <f>VLOOKUP(A40,'2022_PAPI_Indicators'!A35:AI215,34,FALSE)</f>
        <v>6.3180610537528992E-2</v>
      </c>
      <c r="AK40" s="133">
        <f>VLOOKUP(A40,'2022_PAPI_Indicators'!A35:AJ215,35,FALSE)</f>
        <v>0.19737529754638672</v>
      </c>
      <c r="AL40" s="133">
        <f>VLOOKUP(A40,'2022_PAPI_Indicators'!A35:AK215,36,FALSE)</f>
        <v>8.8396497070789337E-2</v>
      </c>
      <c r="AM40" s="133">
        <f>VLOOKUP(A40,'2022_PAPI_Indicators'!A35:AL215,37,FALSE)</f>
        <v>9.4364799559116364E-2</v>
      </c>
      <c r="AN40" s="133">
        <f>VLOOKUP(A40,'2022_PAPI_Indicators'!A35:AM215,38,FALSE)</f>
        <v>0.19214305281639099</v>
      </c>
      <c r="AO40" s="133">
        <f>VLOOKUP(A40,'2022_PAPI_Indicators'!A35:AN215,39,FALSE)</f>
        <v>0.20402155816555023</v>
      </c>
      <c r="AP40" s="133">
        <f>VLOOKUP(A40,'2022_PAPI_Indicators'!A35:AO215,40,FALSE)</f>
        <v>0.1354174017906189</v>
      </c>
      <c r="AQ40" s="133">
        <f>VLOOKUP(A40,'2022_PAPI_Indicators'!A35:AP215,41,FALSE)</f>
        <v>0.10398191213607788</v>
      </c>
      <c r="AR40" s="133">
        <f>VLOOKUP(A40,'2022_PAPI_Indicators'!A35:AQ215,42,FALSE)</f>
        <v>0.107939213514328</v>
      </c>
      <c r="AS40" s="133">
        <f>VLOOKUP(A40,'2022_PAPI_Indicators'!A35:AR215,43,FALSE)</f>
        <v>8.0061167478561401E-2</v>
      </c>
      <c r="AT40" s="133">
        <f>VLOOKUP(A40,'2022_PAPI_Indicators'!A35:AS215,44,FALSE)</f>
        <v>0.1462031751871109</v>
      </c>
      <c r="AU40" s="133">
        <f>VLOOKUP(A40,'2022_PAPI_Indicators'!A35:AT215,45,FALSE)</f>
        <v>0.14987333118915558</v>
      </c>
      <c r="AV40" s="133">
        <f>VLOOKUP(A40,'2022_PAPI_Indicators'!A35:AU215,46,FALSE)</f>
        <v>0.12407544255256653</v>
      </c>
      <c r="AW40" s="133">
        <f>VLOOKUP(A40,'2022_PAPI_Indicators'!A35:AV215,47,FALSE)</f>
        <v>8.5701502859592438E-2</v>
      </c>
      <c r="AX40" s="133">
        <f>VLOOKUP(A40,'2022_PAPI_Indicators'!A35:AW215,48,FALSE)</f>
        <v>0.17031311988830566</v>
      </c>
      <c r="AY40" s="133">
        <f>VLOOKUP(A40,'2022_PAPI_Indicators'!A35:AX215,49,FALSE)</f>
        <v>0.13902726769447327</v>
      </c>
      <c r="AZ40" s="133">
        <f>VLOOKUP(A40,'2022_PAPI_Indicators'!A35:AY215,50,FALSE)</f>
        <v>0.11181778460741043</v>
      </c>
      <c r="BA40" s="133">
        <f>VLOOKUP(A40,'2022_PAPI_Indicators'!A35:AZ215,51,FALSE)</f>
        <v>8.740583062171936E-2</v>
      </c>
      <c r="BB40" s="133">
        <f>VLOOKUP(A40,'2022_PAPI_Indicators'!A35:BA215,52,FALSE)</f>
        <v>5.595715343952179E-2</v>
      </c>
      <c r="BC40" s="133">
        <f>VLOOKUP(A40,'2022_PAPI_Indicators'!A35:BB215,53,FALSE)</f>
        <v>6.5861940383911133E-2</v>
      </c>
      <c r="BD40" s="133">
        <f>VLOOKUP(A40,'2022_PAPI_Indicators'!A35:BC215,54,FALSE)</f>
        <v>5.574466660618782E-2</v>
      </c>
      <c r="BE40" s="133">
        <f>VLOOKUP(A40,'2022_PAPI_Indicators'!A35:BD215,55,FALSE)</f>
        <v>6.7549504339694977E-2</v>
      </c>
      <c r="BF40" s="133">
        <f>VLOOKUP(A40,'2022_PAPI_Indicators'!A35:BE215,56,FALSE)</f>
        <v>0.13813802599906921</v>
      </c>
      <c r="BG40" s="133">
        <f>VLOOKUP(A40,'2022_PAPI_Indicators'!A35:BF215,57,FALSE)</f>
        <v>6.7593075335025787E-2</v>
      </c>
      <c r="BH40" s="133">
        <f>VLOOKUP(A40,'2022_PAPI_Indicators'!A35:BG215,58,FALSE)</f>
        <v>7.9208500683307648E-2</v>
      </c>
      <c r="BI40" s="133">
        <f>VLOOKUP(A40,'2022_PAPI_Indicators'!A35:BH215,59,FALSE)</f>
        <v>6.8965107202529907E-2</v>
      </c>
      <c r="BJ40" s="133">
        <f>VLOOKUP(A40,'2022_PAPI_Indicators'!A35:BI215,60,FALSE)</f>
        <v>7.117847353219986E-2</v>
      </c>
      <c r="BK40" s="133">
        <f>VLOOKUP(A40,'2022_PAPI_Indicators'!A35:BJ215,61,FALSE)</f>
        <v>0.12540288269519806</v>
      </c>
      <c r="BL40" s="133">
        <f>VLOOKUP(A40,'2022_PAPI_Indicators'!A35:BK215,62,FALSE)</f>
        <v>8.7031297385692596E-2</v>
      </c>
      <c r="BM40" s="133">
        <f>VLOOKUP(A40,'2022_PAPI_Indicators'!A35:BL215,63,FALSE)</f>
        <v>0.16206613183021545</v>
      </c>
      <c r="BN40" s="133">
        <f>VLOOKUP(A40,'2022_PAPI_Indicators'!A35:BM215,64,FALSE)</f>
        <v>0.13595050573348999</v>
      </c>
    </row>
    <row r="41" spans="1:66" x14ac:dyDescent="0.2">
      <c r="A41" s="70" t="s">
        <v>145</v>
      </c>
      <c r="B41" s="70" t="s">
        <v>146</v>
      </c>
      <c r="C41" s="89" t="s">
        <v>90</v>
      </c>
      <c r="D41" s="133">
        <f>VLOOKUP(A41,'2022_PAPI_Indicators'!A36:B216,2,)</f>
        <v>0.95275384187698364</v>
      </c>
      <c r="E41" s="133">
        <f>VLOOKUP(A41,'2022_PAPI_Indicators'!A36:C216,3,FALSE)</f>
        <v>0.96321088075637817</v>
      </c>
      <c r="F41" s="133">
        <f>VLOOKUP(A41,'2022_PAPI_Indicators'!A36:D216,4,FALSE)</f>
        <v>0.92634165287017822</v>
      </c>
      <c r="G41" s="133">
        <f>VLOOKUP(A41,'2022_PAPI_Indicators'!A36:E216,5,FALSE)</f>
        <v>0.96352130174636841</v>
      </c>
      <c r="H41" s="133">
        <f>VLOOKUP(A41,'2022_PAPI_Indicators'!A36:F216,6,FALSE)</f>
        <v>1</v>
      </c>
      <c r="I41" s="133">
        <f>VLOOKUP(A41,'2022_PAPI_Indicators'!A36:G216,7,FALSE)</f>
        <v>0.94374030828475952</v>
      </c>
      <c r="J41" s="133">
        <f>VLOOKUP(A41,'2022_PAPI_Indicators'!A36:H216,8,FALSE)</f>
        <v>1</v>
      </c>
      <c r="K41" s="133">
        <f>VLOOKUP(A41,'2022_PAPI_Indicators'!A36:I216,9,FALSE)</f>
        <v>0.94701677560806274</v>
      </c>
      <c r="L41" s="133">
        <f>VLOOKUP(A41,'2022_PAPI_Indicators'!A36:J216,10,FALSE)</f>
        <v>0.9337087869644165</v>
      </c>
      <c r="M41" s="133">
        <f>VLOOKUP(A41,'2022_PAPI_Indicators'!A36:K216,11,FALSE)</f>
        <v>0.98609745502471924</v>
      </c>
      <c r="N41" s="133">
        <f>VLOOKUP(A41,'2022_PAPI_Indicators'!A36:L216,12,FALSE)</f>
        <v>1</v>
      </c>
      <c r="O41" s="133">
        <f>VLOOKUP(A41,'2022_PAPI_Indicators'!A36:M216,13,FALSE)</f>
        <v>0.95587420463562012</v>
      </c>
      <c r="P41" s="133">
        <f>VLOOKUP(A41,'2022_PAPI_Indicators'!A36:N216,14,FALSE)</f>
        <v>0.99268966913223267</v>
      </c>
      <c r="Q41" s="133">
        <f>VLOOKUP(A41,'2022_PAPI_Indicators'!A36:O216,15,FALSE)</f>
        <v>0.96474367380142212</v>
      </c>
      <c r="R41" s="135">
        <f>VLOOKUP(A41,'2022_PAPI_Indicators'!A36:P216,16,FALSE)</f>
        <v>0</v>
      </c>
      <c r="S41" s="133">
        <f>VLOOKUP(A41,'2022_PAPI_Indicators'!A36:R216,17,FALSE)</f>
        <v>1</v>
      </c>
      <c r="T41" s="133">
        <f>VLOOKUP(A41,'2022_PAPI_Indicators'!A36:S216,18,FALSE)</f>
        <v>1</v>
      </c>
      <c r="U41" s="135">
        <f>VLOOKUP(A41,'2022_PAPI_Indicators'!A36:T216,19,FALSE)</f>
        <v>0</v>
      </c>
      <c r="V41" s="133">
        <f>VLOOKUP(A41,'2022_PAPI_Indicators'!A36:U216,20,FALSE)</f>
        <v>1</v>
      </c>
      <c r="W41" s="133">
        <f>VLOOKUP(A41,'2022_PAPI_Indicators'!A36:V216,21,FALSE)</f>
        <v>1</v>
      </c>
      <c r="X41" s="133">
        <f>VLOOKUP(A41,'2022_PAPI_Indicators'!A36:W216,22,FALSE)</f>
        <v>1</v>
      </c>
      <c r="Y41" s="133">
        <f>VLOOKUP(A41,'2022_PAPI_Indicators'!A36:X216,23,FALSE)</f>
        <v>1</v>
      </c>
      <c r="Z41" s="133">
        <f>VLOOKUP(A41,'2022_PAPI_Indicators'!A36:Y216,24,FALSE)</f>
        <v>1</v>
      </c>
      <c r="AA41" s="133">
        <f>VLOOKUP(A41,'2022_PAPI_Indicators'!A36:Z216,25,FALSE)</f>
        <v>0.94441169500350952</v>
      </c>
      <c r="AB41" s="133">
        <f>VLOOKUP(A41,'2022_PAPI_Indicators'!A36:AA216,26,FALSE)</f>
        <v>1</v>
      </c>
      <c r="AC41" s="133">
        <f>VLOOKUP(A41,'2022_PAPI_Indicators'!A36:AB216,27,FALSE)</f>
        <v>0.96317887306213379</v>
      </c>
      <c r="AD41" s="133">
        <f>VLOOKUP(A41,'2022_PAPI_Indicators'!A36:AC216,28,FALSE)</f>
        <v>0.90074950456619263</v>
      </c>
      <c r="AE41" s="133">
        <f>VLOOKUP(A41,'2022_PAPI_Indicators'!A36:AD216,29,FALSE)</f>
        <v>0.95256328582763672</v>
      </c>
      <c r="AF41" s="133">
        <f>VLOOKUP(A41,'2022_PAPI_Indicators'!A36:AE216,30,FALSE)</f>
        <v>1</v>
      </c>
      <c r="AG41" s="133">
        <f>VLOOKUP(A41,'2022_PAPI_Indicators'!A36:AF216,31,FALSE)</f>
        <v>1</v>
      </c>
      <c r="AH41" s="133">
        <f>VLOOKUP(A41,'2022_PAPI_Indicators'!A36:AG216,32,FALSE)</f>
        <v>1</v>
      </c>
      <c r="AI41" s="133">
        <f>VLOOKUP(A41,'2022_PAPI_Indicators'!A36:AH216,33,FALSE)</f>
        <v>0.99600774049758911</v>
      </c>
      <c r="AJ41" s="133">
        <f>VLOOKUP(A41,'2022_PAPI_Indicators'!A36:AI216,34,FALSE)</f>
        <v>1</v>
      </c>
      <c r="AK41" s="133">
        <f>VLOOKUP(A41,'2022_PAPI_Indicators'!A36:AJ216,35,FALSE)</f>
        <v>1</v>
      </c>
      <c r="AL41" s="133">
        <f>VLOOKUP(A41,'2022_PAPI_Indicators'!A36:AK216,36,FALSE)</f>
        <v>0.98122549057006836</v>
      </c>
      <c r="AM41" s="133">
        <f>VLOOKUP(A41,'2022_PAPI_Indicators'!A36:AL216,37,FALSE)</f>
        <v>0.93503099679946899</v>
      </c>
      <c r="AN41" s="133">
        <f>VLOOKUP(A41,'2022_PAPI_Indicators'!A36:AM216,38,FALSE)</f>
        <v>1</v>
      </c>
      <c r="AO41" s="133">
        <f>VLOOKUP(A41,'2022_PAPI_Indicators'!A36:AN216,39,FALSE)</f>
        <v>1</v>
      </c>
      <c r="AP41" s="133">
        <f>VLOOKUP(A41,'2022_PAPI_Indicators'!A36:AO216,40,FALSE)</f>
        <v>1</v>
      </c>
      <c r="AQ41" s="133">
        <f>VLOOKUP(A41,'2022_PAPI_Indicators'!A36:AP216,41,FALSE)</f>
        <v>1</v>
      </c>
      <c r="AR41" s="133">
        <f>VLOOKUP(A41,'2022_PAPI_Indicators'!A36:AQ216,42,FALSE)</f>
        <v>1</v>
      </c>
      <c r="AS41" s="133">
        <f>VLOOKUP(A41,'2022_PAPI_Indicators'!A36:AR216,43,FALSE)</f>
        <v>1</v>
      </c>
      <c r="AT41" s="133">
        <f>VLOOKUP(A41,'2022_PAPI_Indicators'!A36:AS216,44,FALSE)</f>
        <v>0.92736184597015381</v>
      </c>
      <c r="AU41" s="133">
        <f>VLOOKUP(A41,'2022_PAPI_Indicators'!A36:AT216,45,FALSE)</f>
        <v>0.91290587186813354</v>
      </c>
      <c r="AV41" s="133">
        <f>VLOOKUP(A41,'2022_PAPI_Indicators'!A36:AU216,46,FALSE)</f>
        <v>0.94896197319030762</v>
      </c>
      <c r="AW41" s="133">
        <f>VLOOKUP(A41,'2022_PAPI_Indicators'!A36:AV216,47,FALSE)</f>
        <v>0.92841804027557373</v>
      </c>
      <c r="AX41" s="133">
        <f>VLOOKUP(A41,'2022_PAPI_Indicators'!A36:AW216,48,FALSE)</f>
        <v>0.96838313341140747</v>
      </c>
      <c r="AY41" s="133">
        <f>VLOOKUP(A41,'2022_PAPI_Indicators'!A36:AX216,49,FALSE)</f>
        <v>0.99620085954666138</v>
      </c>
      <c r="AZ41" s="133">
        <f>VLOOKUP(A41,'2022_PAPI_Indicators'!A36:AY216,50,FALSE)</f>
        <v>0.9450380802154541</v>
      </c>
      <c r="BA41" s="133">
        <f>VLOOKUP(A41,'2022_PAPI_Indicators'!A36:AZ216,51,FALSE)</f>
        <v>0.97123068571090698</v>
      </c>
      <c r="BB41" s="133">
        <f>VLOOKUP(A41,'2022_PAPI_Indicators'!A36:BA216,52,FALSE)</f>
        <v>1</v>
      </c>
      <c r="BC41" s="133">
        <f>VLOOKUP(A41,'2022_PAPI_Indicators'!A36:BB216,53,FALSE)</f>
        <v>1</v>
      </c>
      <c r="BD41" s="133">
        <f>VLOOKUP(A41,'2022_PAPI_Indicators'!A36:BC216,54,FALSE)</f>
        <v>1</v>
      </c>
      <c r="BE41" s="133">
        <f>VLOOKUP(A41,'2022_PAPI_Indicators'!A36:BD216,55,FALSE)</f>
        <v>1</v>
      </c>
      <c r="BF41" s="133">
        <f>VLOOKUP(A41,'2022_PAPI_Indicators'!A36:BE216,56,FALSE)</f>
        <v>0.94519835710525513</v>
      </c>
      <c r="BG41" s="133">
        <f>VLOOKUP(A41,'2022_PAPI_Indicators'!A36:BF216,57,FALSE)</f>
        <v>1</v>
      </c>
      <c r="BH41" s="133">
        <f>VLOOKUP(A41,'2022_PAPI_Indicators'!A36:BG216,58,FALSE)</f>
        <v>1</v>
      </c>
      <c r="BI41" s="133">
        <f>VLOOKUP(A41,'2022_PAPI_Indicators'!A36:BH216,59,FALSE)</f>
        <v>0.9811360239982605</v>
      </c>
      <c r="BJ41" s="133">
        <f>VLOOKUP(A41,'2022_PAPI_Indicators'!A36:BI216,60,FALSE)</f>
        <v>0.92866462469100952</v>
      </c>
      <c r="BK41" s="133">
        <f>VLOOKUP(A41,'2022_PAPI_Indicators'!A36:BJ216,61,FALSE)</f>
        <v>1</v>
      </c>
      <c r="BL41" s="133">
        <f>VLOOKUP(A41,'2022_PAPI_Indicators'!A36:BK216,62,FALSE)</f>
        <v>1</v>
      </c>
      <c r="BM41" s="133">
        <f>VLOOKUP(A41,'2022_PAPI_Indicators'!A36:BL216,63,FALSE)</f>
        <v>1</v>
      </c>
      <c r="BN41" s="133">
        <f>VLOOKUP(A41,'2022_PAPI_Indicators'!A36:BM216,64,FALSE)</f>
        <v>0.97855353355407715</v>
      </c>
    </row>
    <row r="42" spans="1:66" x14ac:dyDescent="0.2">
      <c r="A42" s="70" t="s">
        <v>147</v>
      </c>
      <c r="B42" s="70" t="s">
        <v>148</v>
      </c>
      <c r="C42" s="89" t="s">
        <v>90</v>
      </c>
      <c r="D42" s="133">
        <f>VLOOKUP(A42,'2022_PAPI_Indicators'!A37:B217,2,)</f>
        <v>0.99757808446884155</v>
      </c>
      <c r="E42" s="133">
        <f>VLOOKUP(A42,'2022_PAPI_Indicators'!A37:C217,3,FALSE)</f>
        <v>0.99192929267883301</v>
      </c>
      <c r="F42" s="133">
        <f>VLOOKUP(A42,'2022_PAPI_Indicators'!A37:D217,4,FALSE)</f>
        <v>1</v>
      </c>
      <c r="G42" s="133">
        <f>VLOOKUP(A42,'2022_PAPI_Indicators'!A37:E217,5,FALSE)</f>
        <v>0.99281728267669678</v>
      </c>
      <c r="H42" s="133">
        <f>VLOOKUP(A42,'2022_PAPI_Indicators'!A37:F217,6,FALSE)</f>
        <v>1</v>
      </c>
      <c r="I42" s="133">
        <f>VLOOKUP(A42,'2022_PAPI_Indicators'!A37:G217,7,FALSE)</f>
        <v>1</v>
      </c>
      <c r="J42" s="133">
        <f>VLOOKUP(A42,'2022_PAPI_Indicators'!A37:H217,8,FALSE)</f>
        <v>0.99258881807327271</v>
      </c>
      <c r="K42" s="133">
        <f>VLOOKUP(A42,'2022_PAPI_Indicators'!A37:I217,9,FALSE)</f>
        <v>0.99007093906402588</v>
      </c>
      <c r="L42" s="133">
        <f>VLOOKUP(A42,'2022_PAPI_Indicators'!A37:J217,10,FALSE)</f>
        <v>1</v>
      </c>
      <c r="M42" s="133">
        <f>VLOOKUP(A42,'2022_PAPI_Indicators'!A37:K217,11,FALSE)</f>
        <v>0.99898731708526611</v>
      </c>
      <c r="N42" s="133">
        <f>VLOOKUP(A42,'2022_PAPI_Indicators'!A37:L217,12,FALSE)</f>
        <v>1</v>
      </c>
      <c r="O42" s="133">
        <f>VLOOKUP(A42,'2022_PAPI_Indicators'!A37:M217,13,FALSE)</f>
        <v>0.99549680948257446</v>
      </c>
      <c r="P42" s="133">
        <f>VLOOKUP(A42,'2022_PAPI_Indicators'!A37:N217,14,FALSE)</f>
        <v>1</v>
      </c>
      <c r="Q42" s="133">
        <f>VLOOKUP(A42,'2022_PAPI_Indicators'!A37:O217,15,FALSE)</f>
        <v>1</v>
      </c>
      <c r="R42" s="135">
        <f>VLOOKUP(A42,'2022_PAPI_Indicators'!A37:P217,16,FALSE)</f>
        <v>0</v>
      </c>
      <c r="S42" s="133">
        <f>VLOOKUP(A42,'2022_PAPI_Indicators'!A37:R217,17,FALSE)</f>
        <v>0.99876290559768677</v>
      </c>
      <c r="T42" s="133">
        <f>VLOOKUP(A42,'2022_PAPI_Indicators'!A37:S217,18,FALSE)</f>
        <v>1</v>
      </c>
      <c r="U42" s="135">
        <f>VLOOKUP(A42,'2022_PAPI_Indicators'!A37:T217,19,FALSE)</f>
        <v>0</v>
      </c>
      <c r="V42" s="133">
        <f>VLOOKUP(A42,'2022_PAPI_Indicators'!A37:U217,20,FALSE)</f>
        <v>1</v>
      </c>
      <c r="W42" s="133">
        <f>VLOOKUP(A42,'2022_PAPI_Indicators'!A37:V217,21,FALSE)</f>
        <v>1</v>
      </c>
      <c r="X42" s="133">
        <f>VLOOKUP(A42,'2022_PAPI_Indicators'!A37:W217,22,FALSE)</f>
        <v>1</v>
      </c>
      <c r="Y42" s="133">
        <f>VLOOKUP(A42,'2022_PAPI_Indicators'!A37:X217,23,FALSE)</f>
        <v>1</v>
      </c>
      <c r="Z42" s="133">
        <f>VLOOKUP(A42,'2022_PAPI_Indicators'!A37:Y217,24,FALSE)</f>
        <v>0.99322390556335449</v>
      </c>
      <c r="AA42" s="133">
        <f>VLOOKUP(A42,'2022_PAPI_Indicators'!A37:Z217,25,FALSE)</f>
        <v>1</v>
      </c>
      <c r="AB42" s="133">
        <f>VLOOKUP(A42,'2022_PAPI_Indicators'!A37:AA217,26,FALSE)</f>
        <v>1</v>
      </c>
      <c r="AC42" s="133">
        <f>VLOOKUP(A42,'2022_PAPI_Indicators'!A37:AB217,27,FALSE)</f>
        <v>0.99703377485275269</v>
      </c>
      <c r="AD42" s="133">
        <f>VLOOKUP(A42,'2022_PAPI_Indicators'!A37:AC217,28,FALSE)</f>
        <v>0.99703973531723022</v>
      </c>
      <c r="AE42" s="133">
        <f>VLOOKUP(A42,'2022_PAPI_Indicators'!A37:AD217,29,FALSE)</f>
        <v>0.99251610040664673</v>
      </c>
      <c r="AF42" s="133">
        <f>VLOOKUP(A42,'2022_PAPI_Indicators'!A37:AE217,30,FALSE)</f>
        <v>1</v>
      </c>
      <c r="AG42" s="133">
        <f>VLOOKUP(A42,'2022_PAPI_Indicators'!A37:AF217,31,FALSE)</f>
        <v>1</v>
      </c>
      <c r="AH42" s="133">
        <f>VLOOKUP(A42,'2022_PAPI_Indicators'!A37:AG217,32,FALSE)</f>
        <v>0.99244576692581177</v>
      </c>
      <c r="AI42" s="133">
        <f>VLOOKUP(A42,'2022_PAPI_Indicators'!A37:AH217,33,FALSE)</f>
        <v>1</v>
      </c>
      <c r="AJ42" s="133">
        <f>VLOOKUP(A42,'2022_PAPI_Indicators'!A37:AI217,34,FALSE)</f>
        <v>1</v>
      </c>
      <c r="AK42" s="133">
        <f>VLOOKUP(A42,'2022_PAPI_Indicators'!A37:AJ217,35,FALSE)</f>
        <v>0.99823653697967529</v>
      </c>
      <c r="AL42" s="133">
        <f>VLOOKUP(A42,'2022_PAPI_Indicators'!A37:AK217,36,FALSE)</f>
        <v>0.99834036827087402</v>
      </c>
      <c r="AM42" s="133">
        <f>VLOOKUP(A42,'2022_PAPI_Indicators'!A37:AL217,37,FALSE)</f>
        <v>1</v>
      </c>
      <c r="AN42" s="133">
        <f>VLOOKUP(A42,'2022_PAPI_Indicators'!A37:AM217,38,FALSE)</f>
        <v>0.9814186692237854</v>
      </c>
      <c r="AO42" s="133">
        <f>VLOOKUP(A42,'2022_PAPI_Indicators'!A37:AN217,39,FALSE)</f>
        <v>0.99134862422943115</v>
      </c>
      <c r="AP42" s="133">
        <f>VLOOKUP(A42,'2022_PAPI_Indicators'!A37:AO217,40,FALSE)</f>
        <v>0.99841481447219849</v>
      </c>
      <c r="AQ42" s="133">
        <f>VLOOKUP(A42,'2022_PAPI_Indicators'!A37:AP217,41,FALSE)</f>
        <v>1</v>
      </c>
      <c r="AR42" s="133">
        <f>VLOOKUP(A42,'2022_PAPI_Indicators'!A37:AQ217,42,FALSE)</f>
        <v>1</v>
      </c>
      <c r="AS42" s="133">
        <f>VLOOKUP(A42,'2022_PAPI_Indicators'!A37:AR217,43,FALSE)</f>
        <v>1</v>
      </c>
      <c r="AT42" s="133">
        <f>VLOOKUP(A42,'2022_PAPI_Indicators'!A37:AS217,44,FALSE)</f>
        <v>1</v>
      </c>
      <c r="AU42" s="133">
        <f>VLOOKUP(A42,'2022_PAPI_Indicators'!A37:AT217,45,FALSE)</f>
        <v>0.99317628145217896</v>
      </c>
      <c r="AV42" s="133">
        <f>VLOOKUP(A42,'2022_PAPI_Indicators'!A37:AU217,46,FALSE)</f>
        <v>0.99274539947509766</v>
      </c>
      <c r="AW42" s="133">
        <f>VLOOKUP(A42,'2022_PAPI_Indicators'!A37:AV217,47,FALSE)</f>
        <v>1</v>
      </c>
      <c r="AX42" s="133">
        <f>VLOOKUP(A42,'2022_PAPI_Indicators'!A37:AW217,48,FALSE)</f>
        <v>1</v>
      </c>
      <c r="AY42" s="133">
        <f>VLOOKUP(A42,'2022_PAPI_Indicators'!A37:AX217,49,FALSE)</f>
        <v>1</v>
      </c>
      <c r="AZ42" s="133">
        <f>VLOOKUP(A42,'2022_PAPI_Indicators'!A37:AY217,50,FALSE)</f>
        <v>1</v>
      </c>
      <c r="BA42" s="133">
        <f>VLOOKUP(A42,'2022_PAPI_Indicators'!A37:AZ217,51,FALSE)</f>
        <v>0.99707680940628052</v>
      </c>
      <c r="BB42" s="133">
        <f>VLOOKUP(A42,'2022_PAPI_Indicators'!A37:BA217,52,FALSE)</f>
        <v>1</v>
      </c>
      <c r="BC42" s="133">
        <f>VLOOKUP(A42,'2022_PAPI_Indicators'!A37:BB217,53,FALSE)</f>
        <v>0.99176722764968872</v>
      </c>
      <c r="BD42" s="133">
        <f>VLOOKUP(A42,'2022_PAPI_Indicators'!A37:BC217,54,FALSE)</f>
        <v>1</v>
      </c>
      <c r="BE42" s="133">
        <f>VLOOKUP(A42,'2022_PAPI_Indicators'!A37:BD217,55,FALSE)</f>
        <v>0.99260145425796509</v>
      </c>
      <c r="BF42" s="133">
        <f>VLOOKUP(A42,'2022_PAPI_Indicators'!A37:BE217,56,FALSE)</f>
        <v>0.99312424659729004</v>
      </c>
      <c r="BG42" s="133">
        <f>VLOOKUP(A42,'2022_PAPI_Indicators'!A37:BF217,57,FALSE)</f>
        <v>1</v>
      </c>
      <c r="BH42" s="133">
        <f>VLOOKUP(A42,'2022_PAPI_Indicators'!A37:BG217,58,FALSE)</f>
        <v>0.99702960252761841</v>
      </c>
      <c r="BI42" s="133">
        <f>VLOOKUP(A42,'2022_PAPI_Indicators'!A37:BH217,59,FALSE)</f>
        <v>0.99304282665252686</v>
      </c>
      <c r="BJ42" s="133">
        <f>VLOOKUP(A42,'2022_PAPI_Indicators'!A37:BI217,60,FALSE)</f>
        <v>1</v>
      </c>
      <c r="BK42" s="133">
        <f>VLOOKUP(A42,'2022_PAPI_Indicators'!A37:BJ217,61,FALSE)</f>
        <v>1</v>
      </c>
      <c r="BL42" s="133">
        <f>VLOOKUP(A42,'2022_PAPI_Indicators'!A37:BK217,62,FALSE)</f>
        <v>1</v>
      </c>
      <c r="BM42" s="133">
        <f>VLOOKUP(A42,'2022_PAPI_Indicators'!A37:BL217,63,FALSE)</f>
        <v>0.98610389232635498</v>
      </c>
      <c r="BN42" s="133">
        <f>VLOOKUP(A42,'2022_PAPI_Indicators'!A37:BM217,64,FALSE)</f>
        <v>0.9930538535118103</v>
      </c>
    </row>
    <row r="43" spans="1:66" s="80" customFormat="1" x14ac:dyDescent="0.2">
      <c r="A43" s="77" t="s">
        <v>149</v>
      </c>
      <c r="B43" s="77" t="s">
        <v>150</v>
      </c>
      <c r="C43" s="92" t="s">
        <v>448</v>
      </c>
      <c r="D43" s="131">
        <f>VLOOKUP(A43,'2022_PAPI_Indicators'!A38:B218,2,)</f>
        <v>1.9289195537567139</v>
      </c>
      <c r="E43" s="131">
        <f>VLOOKUP(A43,'2022_PAPI_Indicators'!A38:C218,3,FALSE)</f>
        <v>1.7282161712646484</v>
      </c>
      <c r="F43" s="131">
        <f>VLOOKUP(A43,'2022_PAPI_Indicators'!A38:D218,4,FALSE)</f>
        <v>1.7122195959091187</v>
      </c>
      <c r="G43" s="131">
        <f>VLOOKUP(A43,'2022_PAPI_Indicators'!A38:E218,5,FALSE)</f>
        <v>1.8995425701141357</v>
      </c>
      <c r="H43" s="131">
        <f>VLOOKUP(A43,'2022_PAPI_Indicators'!A38:F218,6,FALSE)</f>
        <v>1.9677878618240356</v>
      </c>
      <c r="I43" s="131">
        <f>VLOOKUP(A43,'2022_PAPI_Indicators'!A38:G218,7,FALSE)</f>
        <v>1.5961205959320068</v>
      </c>
      <c r="J43" s="131">
        <f>VLOOKUP(A43,'2022_PAPI_Indicators'!A38:H218,8,FALSE)</f>
        <v>1.6293138265609741</v>
      </c>
      <c r="K43" s="131">
        <f>VLOOKUP(A43,'2022_PAPI_Indicators'!A38:I218,9,FALSE)</f>
        <v>1.7447216510772705</v>
      </c>
      <c r="L43" s="131">
        <f>VLOOKUP(A43,'2022_PAPI_Indicators'!A38:J218,10,FALSE)</f>
        <v>1.6721282005310059</v>
      </c>
      <c r="M43" s="131">
        <f>VLOOKUP(A43,'2022_PAPI_Indicators'!A38:K218,11,FALSE)</f>
        <v>1.7115093469619751</v>
      </c>
      <c r="N43" s="131">
        <f>VLOOKUP(A43,'2022_PAPI_Indicators'!A38:L218,12,FALSE)</f>
        <v>1.6753304004669189</v>
      </c>
      <c r="O43" s="131">
        <f>VLOOKUP(A43,'2022_PAPI_Indicators'!A38:M218,13,FALSE)</f>
        <v>1.7506120204925537</v>
      </c>
      <c r="P43" s="131">
        <f>VLOOKUP(A43,'2022_PAPI_Indicators'!A38:N218,14,FALSE)</f>
        <v>1.8262614011764526</v>
      </c>
      <c r="Q43" s="131">
        <f>VLOOKUP(A43,'2022_PAPI_Indicators'!A38:O218,15,FALSE)</f>
        <v>2.2533493041992188</v>
      </c>
      <c r="R43" s="132">
        <f>VLOOKUP(A43,'2022_PAPI_Indicators'!A38:P218,16,FALSE)</f>
        <v>0</v>
      </c>
      <c r="S43" s="131">
        <f>VLOOKUP(A43,'2022_PAPI_Indicators'!A38:R218,17,FALSE)</f>
        <v>2.1071267127990723</v>
      </c>
      <c r="T43" s="131">
        <f>VLOOKUP(A43,'2022_PAPI_Indicators'!A38:S218,18,FALSE)</f>
        <v>1.879887580871582</v>
      </c>
      <c r="U43" s="132">
        <f>VLOOKUP(A43,'2022_PAPI_Indicators'!A38:T218,19,FALSE)</f>
        <v>0</v>
      </c>
      <c r="V43" s="131">
        <f>VLOOKUP(A43,'2022_PAPI_Indicators'!A38:U218,20,FALSE)</f>
        <v>1.6584974527359009</v>
      </c>
      <c r="W43" s="131">
        <f>VLOOKUP(A43,'2022_PAPI_Indicators'!A38:V218,21,FALSE)</f>
        <v>1.9804574251174927</v>
      </c>
      <c r="X43" s="131">
        <f>VLOOKUP(A43,'2022_PAPI_Indicators'!A38:W218,22,FALSE)</f>
        <v>1.9071494340896606</v>
      </c>
      <c r="Y43" s="131">
        <f>VLOOKUP(A43,'2022_PAPI_Indicators'!A38:X218,23,FALSE)</f>
        <v>1.8374212980270386</v>
      </c>
      <c r="Z43" s="131">
        <f>VLOOKUP(A43,'2022_PAPI_Indicators'!A38:Y218,24,FALSE)</f>
        <v>1.7699528932571411</v>
      </c>
      <c r="AA43" s="131">
        <f>VLOOKUP(A43,'2022_PAPI_Indicators'!A38:Z218,25,FALSE)</f>
        <v>1.814831018447876</v>
      </c>
      <c r="AB43" s="131">
        <f>VLOOKUP(A43,'2022_PAPI_Indicators'!A38:AA218,26,FALSE)</f>
        <v>1.8396120071411133</v>
      </c>
      <c r="AC43" s="131">
        <f>VLOOKUP(A43,'2022_PAPI_Indicators'!A38:AB218,27,FALSE)</f>
        <v>2.0367608070373535</v>
      </c>
      <c r="AD43" s="131">
        <f>VLOOKUP(A43,'2022_PAPI_Indicators'!A38:AC218,28,FALSE)</f>
        <v>1.8774073123931885</v>
      </c>
      <c r="AE43" s="131">
        <f>VLOOKUP(A43,'2022_PAPI_Indicators'!A38:AD218,29,FALSE)</f>
        <v>1.8572221994400024</v>
      </c>
      <c r="AF43" s="131">
        <f>VLOOKUP(A43,'2022_PAPI_Indicators'!A38:AE218,30,FALSE)</f>
        <v>1.9926398992538452</v>
      </c>
      <c r="AG43" s="131">
        <f>VLOOKUP(A43,'2022_PAPI_Indicators'!A38:AF218,31,FALSE)</f>
        <v>1.538793683052063</v>
      </c>
      <c r="AH43" s="131">
        <f>VLOOKUP(A43,'2022_PAPI_Indicators'!A38:AG218,32,FALSE)</f>
        <v>1.8875986337661743</v>
      </c>
      <c r="AI43" s="131">
        <f>VLOOKUP(A43,'2022_PAPI_Indicators'!A38:AH218,33,FALSE)</f>
        <v>1.4291903972625732</v>
      </c>
      <c r="AJ43" s="131">
        <f>VLOOKUP(A43,'2022_PAPI_Indicators'!A38:AI218,34,FALSE)</f>
        <v>1.6690384149551392</v>
      </c>
      <c r="AK43" s="131">
        <f>VLOOKUP(A43,'2022_PAPI_Indicators'!A38:AJ218,35,FALSE)</f>
        <v>1.7741682529449463</v>
      </c>
      <c r="AL43" s="131">
        <f>VLOOKUP(A43,'2022_PAPI_Indicators'!A38:AK218,36,FALSE)</f>
        <v>1.6025313138961792</v>
      </c>
      <c r="AM43" s="131">
        <f>VLOOKUP(A43,'2022_PAPI_Indicators'!A38:AL218,37,FALSE)</f>
        <v>1.5124163627624512</v>
      </c>
      <c r="AN43" s="131">
        <f>VLOOKUP(A43,'2022_PAPI_Indicators'!A38:AM218,38,FALSE)</f>
        <v>1.6160967350006104</v>
      </c>
      <c r="AO43" s="131">
        <f>VLOOKUP(A43,'2022_PAPI_Indicators'!A38:AN218,39,FALSE)</f>
        <v>1.8114742040634155</v>
      </c>
      <c r="AP43" s="131">
        <f>VLOOKUP(A43,'2022_PAPI_Indicators'!A38:AO218,40,FALSE)</f>
        <v>1.7996869087219238</v>
      </c>
      <c r="AQ43" s="131">
        <f>VLOOKUP(A43,'2022_PAPI_Indicators'!A38:AP218,41,FALSE)</f>
        <v>1.4328820705413818</v>
      </c>
      <c r="AR43" s="131">
        <f>VLOOKUP(A43,'2022_PAPI_Indicators'!A38:AQ218,42,FALSE)</f>
        <v>1.611682653427124</v>
      </c>
      <c r="AS43" s="131">
        <f>VLOOKUP(A43,'2022_PAPI_Indicators'!A38:AR218,43,FALSE)</f>
        <v>1.5768834352493286</v>
      </c>
      <c r="AT43" s="131">
        <f>VLOOKUP(A43,'2022_PAPI_Indicators'!A38:AS218,44,FALSE)</f>
        <v>1.5245698690414429</v>
      </c>
      <c r="AU43" s="131">
        <f>VLOOKUP(A43,'2022_PAPI_Indicators'!A38:AT218,45,FALSE)</f>
        <v>1.5655926465988159</v>
      </c>
      <c r="AV43" s="131">
        <f>VLOOKUP(A43,'2022_PAPI_Indicators'!A38:AU218,46,FALSE)</f>
        <v>1.6117866039276123</v>
      </c>
      <c r="AW43" s="131">
        <f>VLOOKUP(A43,'2022_PAPI_Indicators'!A38:AV218,47,FALSE)</f>
        <v>1.4115160703659058</v>
      </c>
      <c r="AX43" s="131">
        <f>VLOOKUP(A43,'2022_PAPI_Indicators'!A38:AW218,48,FALSE)</f>
        <v>2.0255341529846191</v>
      </c>
      <c r="AY43" s="131">
        <f>VLOOKUP(A43,'2022_PAPI_Indicators'!A38:AX218,49,FALSE)</f>
        <v>1.4800055027008057</v>
      </c>
      <c r="AZ43" s="131">
        <f>VLOOKUP(A43,'2022_PAPI_Indicators'!A38:AY218,50,FALSE)</f>
        <v>1.6995698213577271</v>
      </c>
      <c r="BA43" s="131">
        <f>VLOOKUP(A43,'2022_PAPI_Indicators'!A38:AZ218,51,FALSE)</f>
        <v>1.4676216840744019</v>
      </c>
      <c r="BB43" s="131">
        <f>VLOOKUP(A43,'2022_PAPI_Indicators'!A38:BA218,52,FALSE)</f>
        <v>1.3722075223922729</v>
      </c>
      <c r="BC43" s="131">
        <f>VLOOKUP(A43,'2022_PAPI_Indicators'!A38:BB218,53,FALSE)</f>
        <v>1.203824520111084</v>
      </c>
      <c r="BD43" s="131">
        <f>VLOOKUP(A43,'2022_PAPI_Indicators'!A38:BC218,54,FALSE)</f>
        <v>1.5490913391113281</v>
      </c>
      <c r="BE43" s="131">
        <f>VLOOKUP(A43,'2022_PAPI_Indicators'!A38:BD218,55,FALSE)</f>
        <v>1.4121886491775513</v>
      </c>
      <c r="BF43" s="131">
        <f>VLOOKUP(A43,'2022_PAPI_Indicators'!A38:BE218,56,FALSE)</f>
        <v>1.4943331480026245</v>
      </c>
      <c r="BG43" s="131">
        <f>VLOOKUP(A43,'2022_PAPI_Indicators'!A38:BF218,57,FALSE)</f>
        <v>1.3501948118209839</v>
      </c>
      <c r="BH43" s="131">
        <f>VLOOKUP(A43,'2022_PAPI_Indicators'!A38:BG218,58,FALSE)</f>
        <v>1.3813599348068237</v>
      </c>
      <c r="BI43" s="131">
        <f>VLOOKUP(A43,'2022_PAPI_Indicators'!A38:BH218,59,FALSE)</f>
        <v>1.428419828414917</v>
      </c>
      <c r="BJ43" s="131">
        <f>VLOOKUP(A43,'2022_PAPI_Indicators'!A38:BI218,60,FALSE)</f>
        <v>1.4217072725296021</v>
      </c>
      <c r="BK43" s="131">
        <f>VLOOKUP(A43,'2022_PAPI_Indicators'!A38:BJ218,61,FALSE)</f>
        <v>1.6386921405792236</v>
      </c>
      <c r="BL43" s="131">
        <f>VLOOKUP(A43,'2022_PAPI_Indicators'!A38:BK218,62,FALSE)</f>
        <v>1.5907598733901978</v>
      </c>
      <c r="BM43" s="131">
        <f>VLOOKUP(A43,'2022_PAPI_Indicators'!A38:BL218,63,FALSE)</f>
        <v>1.8420041799545288</v>
      </c>
      <c r="BN43" s="131">
        <f>VLOOKUP(A43,'2022_PAPI_Indicators'!A38:BM218,64,FALSE)</f>
        <v>1.5611172914505005</v>
      </c>
    </row>
    <row r="44" spans="1:66" x14ac:dyDescent="0.2">
      <c r="A44" s="70" t="s">
        <v>151</v>
      </c>
      <c r="B44" s="70" t="s">
        <v>152</v>
      </c>
      <c r="C44" s="89" t="s">
        <v>90</v>
      </c>
      <c r="D44" s="133">
        <f>VLOOKUP(A44,'2022_PAPI_Indicators'!A39:B219,2,)</f>
        <v>0.67256355285644531</v>
      </c>
      <c r="E44" s="133">
        <f>VLOOKUP(A44,'2022_PAPI_Indicators'!A39:C219,3,FALSE)</f>
        <v>0.58694171905517578</v>
      </c>
      <c r="F44" s="133">
        <f>VLOOKUP(A44,'2022_PAPI_Indicators'!A39:D219,4,FALSE)</f>
        <v>0.63421350717544556</v>
      </c>
      <c r="G44" s="133">
        <f>VLOOKUP(A44,'2022_PAPI_Indicators'!A39:E219,5,FALSE)</f>
        <v>0.74244451522827148</v>
      </c>
      <c r="H44" s="133">
        <f>VLOOKUP(A44,'2022_PAPI_Indicators'!A39:F219,6,FALSE)</f>
        <v>0.77502745389938354</v>
      </c>
      <c r="I44" s="133">
        <f>VLOOKUP(A44,'2022_PAPI_Indicators'!A39:G219,7,FALSE)</f>
        <v>0.63241702318191528</v>
      </c>
      <c r="J44" s="133">
        <f>VLOOKUP(A44,'2022_PAPI_Indicators'!A39:H219,8,FALSE)</f>
        <v>0.63099336624145508</v>
      </c>
      <c r="K44" s="133">
        <f>VLOOKUP(A44,'2022_PAPI_Indicators'!A39:I219,9,FALSE)</f>
        <v>0.66204154491424561</v>
      </c>
      <c r="L44" s="133">
        <f>VLOOKUP(A44,'2022_PAPI_Indicators'!A39:J219,10,FALSE)</f>
        <v>0.6060677170753479</v>
      </c>
      <c r="M44" s="133">
        <f>VLOOKUP(A44,'2022_PAPI_Indicators'!A39:K219,11,FALSE)</f>
        <v>0.67729175090789795</v>
      </c>
      <c r="N44" s="133">
        <f>VLOOKUP(A44,'2022_PAPI_Indicators'!A39:L219,12,FALSE)</f>
        <v>0.58776789903640747</v>
      </c>
      <c r="O44" s="133">
        <f>VLOOKUP(A44,'2022_PAPI_Indicators'!A39:M219,13,FALSE)</f>
        <v>0.63455569744110107</v>
      </c>
      <c r="P44" s="133">
        <f>VLOOKUP(A44,'2022_PAPI_Indicators'!A39:N219,14,FALSE)</f>
        <v>0.63620364665985107</v>
      </c>
      <c r="Q44" s="133">
        <f>VLOOKUP(A44,'2022_PAPI_Indicators'!A39:O219,15,FALSE)</f>
        <v>0.78116351366043091</v>
      </c>
      <c r="R44" s="135">
        <f>VLOOKUP(A44,'2022_PAPI_Indicators'!A39:P219,16,FALSE)</f>
        <v>0</v>
      </c>
      <c r="S44" s="133">
        <f>VLOOKUP(A44,'2022_PAPI_Indicators'!A39:R219,17,FALSE)</f>
        <v>0.82643038034439087</v>
      </c>
      <c r="T44" s="133">
        <f>VLOOKUP(A44,'2022_PAPI_Indicators'!A39:S219,18,FALSE)</f>
        <v>0.61158192157745361</v>
      </c>
      <c r="U44" s="135">
        <f>VLOOKUP(A44,'2022_PAPI_Indicators'!A39:T219,19,FALSE)</f>
        <v>0</v>
      </c>
      <c r="V44" s="133">
        <f>VLOOKUP(A44,'2022_PAPI_Indicators'!A39:U219,20,FALSE)</f>
        <v>0.69894987344741821</v>
      </c>
      <c r="W44" s="133">
        <f>VLOOKUP(A44,'2022_PAPI_Indicators'!A39:V219,21,FALSE)</f>
        <v>0.70199799537658691</v>
      </c>
      <c r="X44" s="133">
        <f>VLOOKUP(A44,'2022_PAPI_Indicators'!A39:W219,22,FALSE)</f>
        <v>0.76088130474090576</v>
      </c>
      <c r="Y44" s="133">
        <f>VLOOKUP(A44,'2022_PAPI_Indicators'!A39:X219,23,FALSE)</f>
        <v>0.72826957702636719</v>
      </c>
      <c r="Z44" s="133">
        <f>VLOOKUP(A44,'2022_PAPI_Indicators'!A39:Y219,24,FALSE)</f>
        <v>0.64387893676757813</v>
      </c>
      <c r="AA44" s="133">
        <f>VLOOKUP(A44,'2022_PAPI_Indicators'!A39:Z219,25,FALSE)</f>
        <v>0.80976206064224243</v>
      </c>
      <c r="AB44" s="133">
        <f>VLOOKUP(A44,'2022_PAPI_Indicators'!A39:AA219,26,FALSE)</f>
        <v>0.68930035829544067</v>
      </c>
      <c r="AC44" s="133">
        <f>VLOOKUP(A44,'2022_PAPI_Indicators'!A39:AB219,27,FALSE)</f>
        <v>0.75424230098724365</v>
      </c>
      <c r="AD44" s="133">
        <f>VLOOKUP(A44,'2022_PAPI_Indicators'!A39:AC219,28,FALSE)</f>
        <v>0.80779337882995605</v>
      </c>
      <c r="AE44" s="133">
        <f>VLOOKUP(A44,'2022_PAPI_Indicators'!A39:AD219,29,FALSE)</f>
        <v>0.70378214120864868</v>
      </c>
      <c r="AF44" s="133">
        <f>VLOOKUP(A44,'2022_PAPI_Indicators'!A39:AE219,30,FALSE)</f>
        <v>0.83096158504486084</v>
      </c>
      <c r="AG44" s="133">
        <f>VLOOKUP(A44,'2022_PAPI_Indicators'!A39:AF219,31,FALSE)</f>
        <v>0.66470175981521606</v>
      </c>
      <c r="AH44" s="133">
        <f>VLOOKUP(A44,'2022_PAPI_Indicators'!A39:AG219,32,FALSE)</f>
        <v>0.73723715543746948</v>
      </c>
      <c r="AI44" s="133">
        <f>VLOOKUP(A44,'2022_PAPI_Indicators'!A39:AH219,33,FALSE)</f>
        <v>0.44507533311843872</v>
      </c>
      <c r="AJ44" s="133">
        <f>VLOOKUP(A44,'2022_PAPI_Indicators'!A39:AI219,34,FALSE)</f>
        <v>0.61077398061752319</v>
      </c>
      <c r="AK44" s="133">
        <f>VLOOKUP(A44,'2022_PAPI_Indicators'!A39:AJ219,35,FALSE)</f>
        <v>0.59843337535858154</v>
      </c>
      <c r="AL44" s="133">
        <f>VLOOKUP(A44,'2022_PAPI_Indicators'!A39:AK219,36,FALSE)</f>
        <v>0.66466963291168213</v>
      </c>
      <c r="AM44" s="133">
        <f>VLOOKUP(A44,'2022_PAPI_Indicators'!A39:AL219,37,FALSE)</f>
        <v>0.60202598571777344</v>
      </c>
      <c r="AN44" s="133">
        <f>VLOOKUP(A44,'2022_PAPI_Indicators'!A39:AM219,38,FALSE)</f>
        <v>0.58431875705718994</v>
      </c>
      <c r="AO44" s="133">
        <f>VLOOKUP(A44,'2022_PAPI_Indicators'!A39:AN219,39,FALSE)</f>
        <v>0.71914058923721313</v>
      </c>
      <c r="AP44" s="133">
        <f>VLOOKUP(A44,'2022_PAPI_Indicators'!A39:AO219,40,FALSE)</f>
        <v>0.66123270988464355</v>
      </c>
      <c r="AQ44" s="133">
        <f>VLOOKUP(A44,'2022_PAPI_Indicators'!A39:AP219,41,FALSE)</f>
        <v>0.62991207838058472</v>
      </c>
      <c r="AR44" s="133">
        <f>VLOOKUP(A44,'2022_PAPI_Indicators'!A39:AQ219,42,FALSE)</f>
        <v>0.59501713514328003</v>
      </c>
      <c r="AS44" s="133">
        <f>VLOOKUP(A44,'2022_PAPI_Indicators'!A39:AR219,43,FALSE)</f>
        <v>0.58483737707138062</v>
      </c>
      <c r="AT44" s="133">
        <f>VLOOKUP(A44,'2022_PAPI_Indicators'!A39:AS219,44,FALSE)</f>
        <v>0.49814572930335999</v>
      </c>
      <c r="AU44" s="133">
        <f>VLOOKUP(A44,'2022_PAPI_Indicators'!A39:AT219,45,FALSE)</f>
        <v>0.47113674879074097</v>
      </c>
      <c r="AV44" s="133">
        <f>VLOOKUP(A44,'2022_PAPI_Indicators'!A39:AU219,46,FALSE)</f>
        <v>0.45291602611541748</v>
      </c>
      <c r="AW44" s="133">
        <f>VLOOKUP(A44,'2022_PAPI_Indicators'!A39:AV219,47,FALSE)</f>
        <v>0.39776092767715454</v>
      </c>
      <c r="AX44" s="133">
        <f>VLOOKUP(A44,'2022_PAPI_Indicators'!A39:AW219,48,FALSE)</f>
        <v>0.71171116828918457</v>
      </c>
      <c r="AY44" s="133">
        <f>VLOOKUP(A44,'2022_PAPI_Indicators'!A39:AX219,49,FALSE)</f>
        <v>0.45441275835037231</v>
      </c>
      <c r="AZ44" s="133">
        <f>VLOOKUP(A44,'2022_PAPI_Indicators'!A39:AY219,50,FALSE)</f>
        <v>0.55897212028503418</v>
      </c>
      <c r="BA44" s="133">
        <f>VLOOKUP(A44,'2022_PAPI_Indicators'!A39:AZ219,51,FALSE)</f>
        <v>0.48646953701972961</v>
      </c>
      <c r="BB44" s="133">
        <f>VLOOKUP(A44,'2022_PAPI_Indicators'!A39:BA219,52,FALSE)</f>
        <v>0.34380781650543213</v>
      </c>
      <c r="BC44" s="133">
        <f>VLOOKUP(A44,'2022_PAPI_Indicators'!A39:BB219,53,FALSE)</f>
        <v>0.39247626066207886</v>
      </c>
      <c r="BD44" s="133">
        <f>VLOOKUP(A44,'2022_PAPI_Indicators'!A39:BC219,54,FALSE)</f>
        <v>0.54901838302612305</v>
      </c>
      <c r="BE44" s="133">
        <f>VLOOKUP(A44,'2022_PAPI_Indicators'!A39:BD219,55,FALSE)</f>
        <v>0.44036415219306946</v>
      </c>
      <c r="BF44" s="133">
        <f>VLOOKUP(A44,'2022_PAPI_Indicators'!A39:BE219,56,FALSE)</f>
        <v>0.51451128721237183</v>
      </c>
      <c r="BG44" s="133">
        <f>VLOOKUP(A44,'2022_PAPI_Indicators'!A39:BF219,57,FALSE)</f>
        <v>0.44319039583206177</v>
      </c>
      <c r="BH44" s="133">
        <f>VLOOKUP(A44,'2022_PAPI_Indicators'!A39:BG219,58,FALSE)</f>
        <v>0.47178283333778381</v>
      </c>
      <c r="BI44" s="133">
        <f>VLOOKUP(A44,'2022_PAPI_Indicators'!A39:BH219,59,FALSE)</f>
        <v>0.4860856831073761</v>
      </c>
      <c r="BJ44" s="133">
        <f>VLOOKUP(A44,'2022_PAPI_Indicators'!A39:BI219,60,FALSE)</f>
        <v>0.45791858434677124</v>
      </c>
      <c r="BK44" s="133">
        <f>VLOOKUP(A44,'2022_PAPI_Indicators'!A39:BJ219,61,FALSE)</f>
        <v>0.49196019768714905</v>
      </c>
      <c r="BL44" s="133">
        <f>VLOOKUP(A44,'2022_PAPI_Indicators'!A39:BK219,62,FALSE)</f>
        <v>0.60941672325134277</v>
      </c>
      <c r="BM44" s="133">
        <f>VLOOKUP(A44,'2022_PAPI_Indicators'!A39:BL219,63,FALSE)</f>
        <v>0.57254642248153687</v>
      </c>
      <c r="BN44" s="133">
        <f>VLOOKUP(A44,'2022_PAPI_Indicators'!A39:BM219,64,FALSE)</f>
        <v>0.55254518985748291</v>
      </c>
    </row>
    <row r="45" spans="1:66" x14ac:dyDescent="0.2">
      <c r="A45" s="70" t="s">
        <v>153</v>
      </c>
      <c r="B45" s="70" t="s">
        <v>154</v>
      </c>
      <c r="C45" s="89" t="s">
        <v>90</v>
      </c>
      <c r="D45" s="133">
        <f>VLOOKUP(A45,'2022_PAPI_Indicators'!A40:B220,2,)</f>
        <v>0.21981145441532135</v>
      </c>
      <c r="E45" s="133">
        <f>VLOOKUP(A45,'2022_PAPI_Indicators'!A40:C220,3,FALSE)</f>
        <v>0.32629242539405823</v>
      </c>
      <c r="F45" s="133">
        <f>VLOOKUP(A45,'2022_PAPI_Indicators'!A40:D220,4,FALSE)</f>
        <v>0.35087171196937561</v>
      </c>
      <c r="G45" s="133">
        <f>VLOOKUP(A45,'2022_PAPI_Indicators'!A40:E220,5,FALSE)</f>
        <v>0.26690253615379333</v>
      </c>
      <c r="H45" s="133">
        <f>VLOOKUP(A45,'2022_PAPI_Indicators'!A40:F220,6,FALSE)</f>
        <v>0.27412065863609314</v>
      </c>
      <c r="I45" s="133">
        <f>VLOOKUP(A45,'2022_PAPI_Indicators'!A40:G220,7,FALSE)</f>
        <v>0.3830254077911377</v>
      </c>
      <c r="J45" s="133">
        <f>VLOOKUP(A45,'2022_PAPI_Indicators'!A40:H220,8,FALSE)</f>
        <v>0.44903591275215149</v>
      </c>
      <c r="K45" s="133">
        <f>VLOOKUP(A45,'2022_PAPI_Indicators'!A40:I220,9,FALSE)</f>
        <v>0.3418310284614563</v>
      </c>
      <c r="L45" s="133">
        <f>VLOOKUP(A45,'2022_PAPI_Indicators'!A40:J220,10,FALSE)</f>
        <v>0.39366862177848816</v>
      </c>
      <c r="M45" s="133">
        <f>VLOOKUP(A45,'2022_PAPI_Indicators'!A40:K220,11,FALSE)</f>
        <v>0.40816038846969604</v>
      </c>
      <c r="N45" s="133">
        <f>VLOOKUP(A45,'2022_PAPI_Indicators'!A40:L220,12,FALSE)</f>
        <v>0.38537302613258362</v>
      </c>
      <c r="O45" s="133">
        <f>VLOOKUP(A45,'2022_PAPI_Indicators'!A40:M220,13,FALSE)</f>
        <v>0.33026325702667236</v>
      </c>
      <c r="P45" s="133">
        <f>VLOOKUP(A45,'2022_PAPI_Indicators'!A40:N220,14,FALSE)</f>
        <v>0.23571524024009705</v>
      </c>
      <c r="Q45" s="133">
        <f>VLOOKUP(A45,'2022_PAPI_Indicators'!A40:O220,15,FALSE)</f>
        <v>7.5630642473697662E-2</v>
      </c>
      <c r="R45" s="135">
        <f>VLOOKUP(A45,'2022_PAPI_Indicators'!A40:P220,16,FALSE)</f>
        <v>0</v>
      </c>
      <c r="S45" s="133">
        <f>VLOOKUP(A45,'2022_PAPI_Indicators'!A40:R220,17,FALSE)</f>
        <v>0.18935509026050568</v>
      </c>
      <c r="T45" s="133">
        <f>VLOOKUP(A45,'2022_PAPI_Indicators'!A40:S220,18,FALSE)</f>
        <v>0.27996712923049927</v>
      </c>
      <c r="U45" s="135">
        <f>VLOOKUP(A45,'2022_PAPI_Indicators'!A40:T220,19,FALSE)</f>
        <v>0</v>
      </c>
      <c r="V45" s="133">
        <f>VLOOKUP(A45,'2022_PAPI_Indicators'!A40:U220,20,FALSE)</f>
        <v>0.49270892143249512</v>
      </c>
      <c r="W45" s="133">
        <f>VLOOKUP(A45,'2022_PAPI_Indicators'!A40:V220,21,FALSE)</f>
        <v>0.22862863540649414</v>
      </c>
      <c r="X45" s="133">
        <f>VLOOKUP(A45,'2022_PAPI_Indicators'!A40:W220,22,FALSE)</f>
        <v>0.29251393675804138</v>
      </c>
      <c r="Y45" s="133">
        <f>VLOOKUP(A45,'2022_PAPI_Indicators'!A40:X220,23,FALSE)</f>
        <v>0.31748417019844055</v>
      </c>
      <c r="Z45" s="133">
        <f>VLOOKUP(A45,'2022_PAPI_Indicators'!A40:Y220,24,FALSE)</f>
        <v>0.32519963383674622</v>
      </c>
      <c r="AA45" s="133">
        <f>VLOOKUP(A45,'2022_PAPI_Indicators'!A40:Z220,25,FALSE)</f>
        <v>0.34049102663993835</v>
      </c>
      <c r="AB45" s="133">
        <f>VLOOKUP(A45,'2022_PAPI_Indicators'!A40:AA220,26,FALSE)</f>
        <v>0.27858743071556091</v>
      </c>
      <c r="AC45" s="133">
        <f>VLOOKUP(A45,'2022_PAPI_Indicators'!A40:AB220,27,FALSE)</f>
        <v>0.18962360918521881</v>
      </c>
      <c r="AD45" s="133">
        <f>VLOOKUP(A45,'2022_PAPI_Indicators'!A40:AC220,28,FALSE)</f>
        <v>0.35087528824806213</v>
      </c>
      <c r="AE45" s="133">
        <f>VLOOKUP(A45,'2022_PAPI_Indicators'!A40:AD220,29,FALSE)</f>
        <v>0.29575663805007935</v>
      </c>
      <c r="AF45" s="133">
        <f>VLOOKUP(A45,'2022_PAPI_Indicators'!A40:AE220,30,FALSE)</f>
        <v>0.30077648162841797</v>
      </c>
      <c r="AG45" s="133">
        <f>VLOOKUP(A45,'2022_PAPI_Indicators'!A40:AF220,31,FALSE)</f>
        <v>0.48672428727149963</v>
      </c>
      <c r="AH45" s="133">
        <f>VLOOKUP(A45,'2022_PAPI_Indicators'!A40:AG220,32,FALSE)</f>
        <v>0.33489817380905151</v>
      </c>
      <c r="AI45" s="133">
        <f>VLOOKUP(A45,'2022_PAPI_Indicators'!A40:AH220,33,FALSE)</f>
        <v>0.48587319254875183</v>
      </c>
      <c r="AJ45" s="133">
        <f>VLOOKUP(A45,'2022_PAPI_Indicators'!A40:AI220,34,FALSE)</f>
        <v>0.37267640233039856</v>
      </c>
      <c r="AK45" s="133">
        <f>VLOOKUP(A45,'2022_PAPI_Indicators'!A40:AJ220,35,FALSE)</f>
        <v>0.28571429848670959</v>
      </c>
      <c r="AL45" s="133">
        <f>VLOOKUP(A45,'2022_PAPI_Indicators'!A40:AK220,36,FALSE)</f>
        <v>0.46508437395095825</v>
      </c>
      <c r="AM45" s="133">
        <f>VLOOKUP(A45,'2022_PAPI_Indicators'!A40:AL220,37,FALSE)</f>
        <v>0.49464309215545654</v>
      </c>
      <c r="AN45" s="133">
        <f>VLOOKUP(A45,'2022_PAPI_Indicators'!A40:AM220,38,FALSE)</f>
        <v>0.4268740713596344</v>
      </c>
      <c r="AO45" s="133">
        <f>VLOOKUP(A45,'2022_PAPI_Indicators'!A40:AN220,39,FALSE)</f>
        <v>0.35406741499900818</v>
      </c>
      <c r="AP45" s="133">
        <f>VLOOKUP(A45,'2022_PAPI_Indicators'!A40:AO220,40,FALSE)</f>
        <v>0.34477543830871582</v>
      </c>
      <c r="AQ45" s="133">
        <f>VLOOKUP(A45,'2022_PAPI_Indicators'!A40:AP220,41,FALSE)</f>
        <v>0.56136226654052734</v>
      </c>
      <c r="AR45" s="133">
        <f>VLOOKUP(A45,'2022_PAPI_Indicators'!A40:AQ220,42,FALSE)</f>
        <v>0.46990537643432617</v>
      </c>
      <c r="AS45" s="133">
        <f>VLOOKUP(A45,'2022_PAPI_Indicators'!A40:AR220,43,FALSE)</f>
        <v>0.37216860055923462</v>
      </c>
      <c r="AT45" s="133">
        <f>VLOOKUP(A45,'2022_PAPI_Indicators'!A40:AS220,44,FALSE)</f>
        <v>0.36676877737045288</v>
      </c>
      <c r="AU45" s="133">
        <f>VLOOKUP(A45,'2022_PAPI_Indicators'!A40:AT220,45,FALSE)</f>
        <v>0.41552552580833435</v>
      </c>
      <c r="AV45" s="133">
        <f>VLOOKUP(A45,'2022_PAPI_Indicators'!A40:AU220,46,FALSE)</f>
        <v>0.36411452293395996</v>
      </c>
      <c r="AW45" s="133">
        <f>VLOOKUP(A45,'2022_PAPI_Indicators'!A40:AV220,47,FALSE)</f>
        <v>0.43509387969970703</v>
      </c>
      <c r="AX45" s="133">
        <f>VLOOKUP(A45,'2022_PAPI_Indicators'!A40:AW220,48,FALSE)</f>
        <v>0.21957521140575409</v>
      </c>
      <c r="AY45" s="133">
        <f>VLOOKUP(A45,'2022_PAPI_Indicators'!A40:AX220,49,FALSE)</f>
        <v>0.43034875392913818</v>
      </c>
      <c r="AZ45" s="133">
        <f>VLOOKUP(A45,'2022_PAPI_Indicators'!A40:AY220,50,FALSE)</f>
        <v>0.35522428154945374</v>
      </c>
      <c r="BA45" s="133">
        <f>VLOOKUP(A45,'2022_PAPI_Indicators'!A40:AZ220,51,FALSE)</f>
        <v>0.42053613066673279</v>
      </c>
      <c r="BB45" s="133">
        <f>VLOOKUP(A45,'2022_PAPI_Indicators'!A40:BA220,52,FALSE)</f>
        <v>0.47989916801452637</v>
      </c>
      <c r="BC45" s="133">
        <f>VLOOKUP(A45,'2022_PAPI_Indicators'!A40:BB220,53,FALSE)</f>
        <v>0.57459086179733276</v>
      </c>
      <c r="BD45" s="133">
        <f>VLOOKUP(A45,'2022_PAPI_Indicators'!A40:BC220,54,FALSE)</f>
        <v>0.38235294818878174</v>
      </c>
      <c r="BE45" s="133">
        <f>VLOOKUP(A45,'2022_PAPI_Indicators'!A40:BD220,55,FALSE)</f>
        <v>0.52478951215744019</v>
      </c>
      <c r="BF45" s="133">
        <f>VLOOKUP(A45,'2022_PAPI_Indicators'!A40:BE220,56,FALSE)</f>
        <v>0.34685400128364563</v>
      </c>
      <c r="BG45" s="133">
        <f>VLOOKUP(A45,'2022_PAPI_Indicators'!A40:BF220,57,FALSE)</f>
        <v>0.58854717016220093</v>
      </c>
      <c r="BH45" s="133">
        <f>VLOOKUP(A45,'2022_PAPI_Indicators'!A40:BG220,58,FALSE)</f>
        <v>0.52321410179138184</v>
      </c>
      <c r="BI45" s="133">
        <f>VLOOKUP(A45,'2022_PAPI_Indicators'!A40:BH220,59,FALSE)</f>
        <v>0.45409604907035828</v>
      </c>
      <c r="BJ45" s="133">
        <f>VLOOKUP(A45,'2022_PAPI_Indicators'!A40:BI220,60,FALSE)</f>
        <v>0.53436213731765747</v>
      </c>
      <c r="BK45" s="133">
        <f>VLOOKUP(A45,'2022_PAPI_Indicators'!A40:BJ220,61,FALSE)</f>
        <v>0.30920040607452393</v>
      </c>
      <c r="BL45" s="133">
        <f>VLOOKUP(A45,'2022_PAPI_Indicators'!A40:BK220,62,FALSE)</f>
        <v>0.4246075451374054</v>
      </c>
      <c r="BM45" s="133">
        <f>VLOOKUP(A45,'2022_PAPI_Indicators'!A40:BL220,63,FALSE)</f>
        <v>0.251630038022995</v>
      </c>
      <c r="BN45" s="133">
        <f>VLOOKUP(A45,'2022_PAPI_Indicators'!A40:BM220,64,FALSE)</f>
        <v>0.44155582785606384</v>
      </c>
    </row>
    <row r="46" spans="1:66" x14ac:dyDescent="0.2">
      <c r="A46" s="70" t="s">
        <v>155</v>
      </c>
      <c r="B46" s="70" t="s">
        <v>156</v>
      </c>
      <c r="C46" s="89" t="s">
        <v>90</v>
      </c>
      <c r="D46" s="133">
        <f>VLOOKUP(A46,'2022_PAPI_Indicators'!A41:B221,2,)</f>
        <v>0.21729221940040588</v>
      </c>
      <c r="E46" s="133">
        <f>VLOOKUP(A46,'2022_PAPI_Indicators'!A41:C221,3,FALSE)</f>
        <v>0.29724597930908203</v>
      </c>
      <c r="F46" s="133">
        <f>VLOOKUP(A46,'2022_PAPI_Indicators'!A41:D221,4,FALSE)</f>
        <v>0.3725534975528717</v>
      </c>
      <c r="G46" s="133">
        <f>VLOOKUP(A46,'2022_PAPI_Indicators'!A41:E221,5,FALSE)</f>
        <v>0.30627202987670898</v>
      </c>
      <c r="H46" s="133">
        <f>VLOOKUP(A46,'2022_PAPI_Indicators'!A41:F221,6,FALSE)</f>
        <v>0.22685541212558746</v>
      </c>
      <c r="I46" s="133">
        <f>VLOOKUP(A46,'2022_PAPI_Indicators'!A41:G221,7,FALSE)</f>
        <v>0.47330188751220703</v>
      </c>
      <c r="J46" s="133">
        <f>VLOOKUP(A46,'2022_PAPI_Indicators'!A41:H221,8,FALSE)</f>
        <v>0.39323857426643372</v>
      </c>
      <c r="K46" s="133">
        <f>VLOOKUP(A46,'2022_PAPI_Indicators'!A41:I221,9,FALSE)</f>
        <v>0.34708702564239502</v>
      </c>
      <c r="L46" s="133">
        <f>VLOOKUP(A46,'2022_PAPI_Indicators'!A41:J221,10,FALSE)</f>
        <v>0.36189410090446472</v>
      </c>
      <c r="M46" s="133">
        <f>VLOOKUP(A46,'2022_PAPI_Indicators'!A41:K221,11,FALSE)</f>
        <v>0.36640003323554993</v>
      </c>
      <c r="N46" s="133">
        <f>VLOOKUP(A46,'2022_PAPI_Indicators'!A41:L221,12,FALSE)</f>
        <v>0.31524953246116638</v>
      </c>
      <c r="O46" s="133">
        <f>VLOOKUP(A46,'2022_PAPI_Indicators'!A41:M221,13,FALSE)</f>
        <v>0.30827924609184265</v>
      </c>
      <c r="P46" s="133">
        <f>VLOOKUP(A46,'2022_PAPI_Indicators'!A41:N221,14,FALSE)</f>
        <v>0.29823148250579834</v>
      </c>
      <c r="Q46" s="133">
        <f>VLOOKUP(A46,'2022_PAPI_Indicators'!A41:O221,15,FALSE)</f>
        <v>3.9167668670415878E-2</v>
      </c>
      <c r="R46" s="135">
        <f>VLOOKUP(A46,'2022_PAPI_Indicators'!A41:P221,16,FALSE)</f>
        <v>0</v>
      </c>
      <c r="S46" s="133">
        <f>VLOOKUP(A46,'2022_PAPI_Indicators'!A41:R221,17,FALSE)</f>
        <v>0.16927841305732727</v>
      </c>
      <c r="T46" s="133">
        <f>VLOOKUP(A46,'2022_PAPI_Indicators'!A41:S221,18,FALSE)</f>
        <v>0.15777583420276642</v>
      </c>
      <c r="U46" s="135">
        <f>VLOOKUP(A46,'2022_PAPI_Indicators'!A41:T221,19,FALSE)</f>
        <v>0</v>
      </c>
      <c r="V46" s="133">
        <f>VLOOKUP(A46,'2022_PAPI_Indicators'!A41:U221,20,FALSE)</f>
        <v>0.36197766661643982</v>
      </c>
      <c r="W46" s="133">
        <f>VLOOKUP(A46,'2022_PAPI_Indicators'!A41:V221,21,FALSE)</f>
        <v>0.17897839844226837</v>
      </c>
      <c r="X46" s="133">
        <f>VLOOKUP(A46,'2022_PAPI_Indicators'!A41:W221,22,FALSE)</f>
        <v>0.28766575455665588</v>
      </c>
      <c r="Y46" s="133">
        <f>VLOOKUP(A46,'2022_PAPI_Indicators'!A41:X221,23,FALSE)</f>
        <v>0.32698816061019897</v>
      </c>
      <c r="Z46" s="133">
        <f>VLOOKUP(A46,'2022_PAPI_Indicators'!A41:Y221,24,FALSE)</f>
        <v>0.30592510104179382</v>
      </c>
      <c r="AA46" s="133">
        <f>VLOOKUP(A46,'2022_PAPI_Indicators'!A41:Z221,25,FALSE)</f>
        <v>0.39422997832298279</v>
      </c>
      <c r="AB46" s="133">
        <f>VLOOKUP(A46,'2022_PAPI_Indicators'!A41:AA221,26,FALSE)</f>
        <v>0.31558957695960999</v>
      </c>
      <c r="AC46" s="133">
        <f>VLOOKUP(A46,'2022_PAPI_Indicators'!A41:AB221,27,FALSE)</f>
        <v>0.17470967769622803</v>
      </c>
      <c r="AD46" s="133">
        <f>VLOOKUP(A46,'2022_PAPI_Indicators'!A41:AC221,28,FALSE)</f>
        <v>0.29689568281173706</v>
      </c>
      <c r="AE46" s="133">
        <f>VLOOKUP(A46,'2022_PAPI_Indicators'!A41:AD221,29,FALSE)</f>
        <v>0.29213130474090576</v>
      </c>
      <c r="AF46" s="133">
        <f>VLOOKUP(A46,'2022_PAPI_Indicators'!A41:AE221,30,FALSE)</f>
        <v>0.19852380454540253</v>
      </c>
      <c r="AG46" s="133">
        <f>VLOOKUP(A46,'2022_PAPI_Indicators'!A41:AF221,31,FALSE)</f>
        <v>0.43759623169898987</v>
      </c>
      <c r="AH46" s="133">
        <f>VLOOKUP(A46,'2022_PAPI_Indicators'!A41:AG221,32,FALSE)</f>
        <v>0.22557118535041809</v>
      </c>
      <c r="AI46" s="133">
        <f>VLOOKUP(A46,'2022_PAPI_Indicators'!A41:AH221,33,FALSE)</f>
        <v>0.43793994188308716</v>
      </c>
      <c r="AJ46" s="133">
        <f>VLOOKUP(A46,'2022_PAPI_Indicators'!A41:AI221,34,FALSE)</f>
        <v>0.35822799801826477</v>
      </c>
      <c r="AK46" s="133">
        <f>VLOOKUP(A46,'2022_PAPI_Indicators'!A41:AJ221,35,FALSE)</f>
        <v>0.29038718342781067</v>
      </c>
      <c r="AL46" s="133">
        <f>VLOOKUP(A46,'2022_PAPI_Indicators'!A41:AK221,36,FALSE)</f>
        <v>0.4260438084602356</v>
      </c>
      <c r="AM46" s="133">
        <f>VLOOKUP(A46,'2022_PAPI_Indicators'!A41:AL221,37,FALSE)</f>
        <v>0.45905140042304993</v>
      </c>
      <c r="AN46" s="133">
        <f>VLOOKUP(A46,'2022_PAPI_Indicators'!A41:AM221,38,FALSE)</f>
        <v>0.35670223832130432</v>
      </c>
      <c r="AO46" s="133">
        <f>VLOOKUP(A46,'2022_PAPI_Indicators'!A41:AN221,39,FALSE)</f>
        <v>0.31596073508262634</v>
      </c>
      <c r="AP46" s="133">
        <f>VLOOKUP(A46,'2022_PAPI_Indicators'!A41:AO221,40,FALSE)</f>
        <v>0.30709740519523621</v>
      </c>
      <c r="AQ46" s="133">
        <f>VLOOKUP(A46,'2022_PAPI_Indicators'!A41:AP221,41,FALSE)</f>
        <v>0.50334042310714722</v>
      </c>
      <c r="AR46" s="133">
        <f>VLOOKUP(A46,'2022_PAPI_Indicators'!A41:AQ221,42,FALSE)</f>
        <v>0.31611141562461853</v>
      </c>
      <c r="AS46" s="133">
        <f>VLOOKUP(A46,'2022_PAPI_Indicators'!A41:AR221,43,FALSE)</f>
        <v>0.44649368524551392</v>
      </c>
      <c r="AT46" s="133">
        <f>VLOOKUP(A46,'2022_PAPI_Indicators'!A41:AS221,44,FALSE)</f>
        <v>0.43063870072364807</v>
      </c>
      <c r="AU46" s="133">
        <f>VLOOKUP(A46,'2022_PAPI_Indicators'!A41:AT221,45,FALSE)</f>
        <v>0.33725127577781677</v>
      </c>
      <c r="AV46" s="133">
        <f>VLOOKUP(A46,'2022_PAPI_Indicators'!A41:AU221,46,FALSE)</f>
        <v>0.29633209109306335</v>
      </c>
      <c r="AW46" s="133">
        <f>VLOOKUP(A46,'2022_PAPI_Indicators'!A41:AV221,47,FALSE)</f>
        <v>0.41587662696838379</v>
      </c>
      <c r="AX46" s="133">
        <f>VLOOKUP(A46,'2022_PAPI_Indicators'!A41:AW221,48,FALSE)</f>
        <v>0.14401625096797943</v>
      </c>
      <c r="AY46" s="133">
        <f>VLOOKUP(A46,'2022_PAPI_Indicators'!A41:AX221,49,FALSE)</f>
        <v>0.36825135350227356</v>
      </c>
      <c r="AZ46" s="133">
        <f>VLOOKUP(A46,'2022_PAPI_Indicators'!A41:AY221,50,FALSE)</f>
        <v>0.27411150932312012</v>
      </c>
      <c r="BA46" s="133">
        <f>VLOOKUP(A46,'2022_PAPI_Indicators'!A41:AZ221,51,FALSE)</f>
        <v>0.43866816163063049</v>
      </c>
      <c r="BB46" s="133">
        <f>VLOOKUP(A46,'2022_PAPI_Indicators'!A41:BA221,52,FALSE)</f>
        <v>0.38506054878234863</v>
      </c>
      <c r="BC46" s="133">
        <f>VLOOKUP(A46,'2022_PAPI_Indicators'!A41:BB221,53,FALSE)</f>
        <v>0.56230813264846802</v>
      </c>
      <c r="BD46" s="133">
        <f>VLOOKUP(A46,'2022_PAPI_Indicators'!A41:BC221,54,FALSE)</f>
        <v>0.43471819162368774</v>
      </c>
      <c r="BE46" s="133">
        <f>VLOOKUP(A46,'2022_PAPI_Indicators'!A41:BD221,55,FALSE)</f>
        <v>0.44832322001457214</v>
      </c>
      <c r="BF46" s="133">
        <f>VLOOKUP(A46,'2022_PAPI_Indicators'!A41:BE221,56,FALSE)</f>
        <v>0.48465016484260559</v>
      </c>
      <c r="BG46" s="133">
        <f>VLOOKUP(A46,'2022_PAPI_Indicators'!A41:BF221,57,FALSE)</f>
        <v>0.42407065629959106</v>
      </c>
      <c r="BH46" s="133">
        <f>VLOOKUP(A46,'2022_PAPI_Indicators'!A41:BG221,58,FALSE)</f>
        <v>0.43621909618377686</v>
      </c>
      <c r="BI46" s="133">
        <f>VLOOKUP(A46,'2022_PAPI_Indicators'!A41:BH221,59,FALSE)</f>
        <v>0.4936690628528595</v>
      </c>
      <c r="BJ46" s="133">
        <f>VLOOKUP(A46,'2022_PAPI_Indicators'!A41:BI221,60,FALSE)</f>
        <v>0.36693587899208069</v>
      </c>
      <c r="BK46" s="133">
        <f>VLOOKUP(A46,'2022_PAPI_Indicators'!A41:BJ221,61,FALSE)</f>
        <v>0.34310731291770935</v>
      </c>
      <c r="BL46" s="133">
        <f>VLOOKUP(A46,'2022_PAPI_Indicators'!A41:BK221,62,FALSE)</f>
        <v>0.3610745370388031</v>
      </c>
      <c r="BM46" s="133">
        <f>VLOOKUP(A46,'2022_PAPI_Indicators'!A41:BL221,63,FALSE)</f>
        <v>0.21348650753498077</v>
      </c>
      <c r="BN46" s="133">
        <f>VLOOKUP(A46,'2022_PAPI_Indicators'!A41:BM221,64,FALSE)</f>
        <v>0.37301537394523621</v>
      </c>
    </row>
    <row r="47" spans="1:66" s="80" customFormat="1" x14ac:dyDescent="0.2">
      <c r="A47" s="77" t="s">
        <v>157</v>
      </c>
      <c r="B47" s="77" t="s">
        <v>158</v>
      </c>
      <c r="C47" s="92" t="s">
        <v>448</v>
      </c>
      <c r="D47" s="131">
        <f>VLOOKUP(A47,'2022_PAPI_Indicators'!A42:B222,2,)</f>
        <v>1.6344366073608398</v>
      </c>
      <c r="E47" s="131">
        <f>VLOOKUP(A47,'2022_PAPI_Indicators'!A42:C222,3,FALSE)</f>
        <v>1.387966513633728</v>
      </c>
      <c r="F47" s="131">
        <f>VLOOKUP(A47,'2022_PAPI_Indicators'!A42:D222,4,FALSE)</f>
        <v>1.2900136709213257</v>
      </c>
      <c r="G47" s="131">
        <f>VLOOKUP(A47,'2022_PAPI_Indicators'!A42:E222,5,FALSE)</f>
        <v>1.4218885898590088</v>
      </c>
      <c r="H47" s="131">
        <f>VLOOKUP(A47,'2022_PAPI_Indicators'!A42:F222,6,FALSE)</f>
        <v>1.4131902456283569</v>
      </c>
      <c r="I47" s="131">
        <f>VLOOKUP(A47,'2022_PAPI_Indicators'!A42:G222,7,FALSE)</f>
        <v>1.5216680765151978</v>
      </c>
      <c r="J47" s="131">
        <f>VLOOKUP(A47,'2022_PAPI_Indicators'!A42:H222,8,FALSE)</f>
        <v>1.4445983171463013</v>
      </c>
      <c r="K47" s="131">
        <f>VLOOKUP(A47,'2022_PAPI_Indicators'!A42:I222,9,FALSE)</f>
        <v>1.4279211759567261</v>
      </c>
      <c r="L47" s="131">
        <f>VLOOKUP(A47,'2022_PAPI_Indicators'!A42:J222,10,FALSE)</f>
        <v>1.3069612979888916</v>
      </c>
      <c r="M47" s="131">
        <f>VLOOKUP(A47,'2022_PAPI_Indicators'!A42:K222,11,FALSE)</f>
        <v>1.4281456470489502</v>
      </c>
      <c r="N47" s="131">
        <f>VLOOKUP(A47,'2022_PAPI_Indicators'!A42:L222,12,FALSE)</f>
        <v>1.3597289323806763</v>
      </c>
      <c r="O47" s="131">
        <f>VLOOKUP(A47,'2022_PAPI_Indicators'!A42:M222,13,FALSE)</f>
        <v>1.4530423879623413</v>
      </c>
      <c r="P47" s="131">
        <f>VLOOKUP(A47,'2022_PAPI_Indicators'!A42:N222,14,FALSE)</f>
        <v>1.4665930271148682</v>
      </c>
      <c r="Q47" s="131">
        <f>VLOOKUP(A47,'2022_PAPI_Indicators'!A42:O222,15,FALSE)</f>
        <v>1.7769604921340942</v>
      </c>
      <c r="R47" s="132">
        <f>VLOOKUP(A47,'2022_PAPI_Indicators'!A42:P222,16,FALSE)</f>
        <v>0</v>
      </c>
      <c r="S47" s="131">
        <f>VLOOKUP(A47,'2022_PAPI_Indicators'!A42:R222,17,FALSE)</f>
        <v>1.500889778137207</v>
      </c>
      <c r="T47" s="131">
        <f>VLOOKUP(A47,'2022_PAPI_Indicators'!A42:S222,18,FALSE)</f>
        <v>1.4387433528900146</v>
      </c>
      <c r="U47" s="132">
        <f>VLOOKUP(A47,'2022_PAPI_Indicators'!A42:T222,19,FALSE)</f>
        <v>0</v>
      </c>
      <c r="V47" s="131">
        <f>VLOOKUP(A47,'2022_PAPI_Indicators'!A42:U222,20,FALSE)</f>
        <v>1.3826731443405151</v>
      </c>
      <c r="W47" s="131">
        <f>VLOOKUP(A47,'2022_PAPI_Indicators'!A42:V222,21,FALSE)</f>
        <v>1.4545494318008423</v>
      </c>
      <c r="X47" s="131">
        <f>VLOOKUP(A47,'2022_PAPI_Indicators'!A42:W222,22,FALSE)</f>
        <v>1.5548374652862549</v>
      </c>
      <c r="Y47" s="131">
        <f>VLOOKUP(A47,'2022_PAPI_Indicators'!A42:X222,23,FALSE)</f>
        <v>1.5086512565612793</v>
      </c>
      <c r="Z47" s="131">
        <f>VLOOKUP(A47,'2022_PAPI_Indicators'!A42:Y222,24,FALSE)</f>
        <v>1.4730736017227173</v>
      </c>
      <c r="AA47" s="131">
        <f>VLOOKUP(A47,'2022_PAPI_Indicators'!A42:Z222,25,FALSE)</f>
        <v>1.528162956237793</v>
      </c>
      <c r="AB47" s="131">
        <f>VLOOKUP(A47,'2022_PAPI_Indicators'!A42:AA222,26,FALSE)</f>
        <v>1.4979904890060425</v>
      </c>
      <c r="AC47" s="131">
        <f>VLOOKUP(A47,'2022_PAPI_Indicators'!A42:AB222,27,FALSE)</f>
        <v>1.6586756706237793</v>
      </c>
      <c r="AD47" s="131">
        <f>VLOOKUP(A47,'2022_PAPI_Indicators'!A42:AC222,28,FALSE)</f>
        <v>1.4206211566925049</v>
      </c>
      <c r="AE47" s="131">
        <f>VLOOKUP(A47,'2022_PAPI_Indicators'!A42:AD222,29,FALSE)</f>
        <v>1.6249238252639771</v>
      </c>
      <c r="AF47" s="131">
        <f>VLOOKUP(A47,'2022_PAPI_Indicators'!A42:AE222,30,FALSE)</f>
        <v>1.5237882137298584</v>
      </c>
      <c r="AG47" s="131">
        <f>VLOOKUP(A47,'2022_PAPI_Indicators'!A42:AF222,31,FALSE)</f>
        <v>1.5385004281997681</v>
      </c>
      <c r="AH47" s="131">
        <f>VLOOKUP(A47,'2022_PAPI_Indicators'!A42:AG222,32,FALSE)</f>
        <v>1.6155796051025391</v>
      </c>
      <c r="AI47" s="131">
        <f>VLOOKUP(A47,'2022_PAPI_Indicators'!A42:AH222,33,FALSE)</f>
        <v>1.3568071126937866</v>
      </c>
      <c r="AJ47" s="131">
        <f>VLOOKUP(A47,'2022_PAPI_Indicators'!A42:AI222,34,FALSE)</f>
        <v>1.4119637012481689</v>
      </c>
      <c r="AK47" s="131">
        <f>VLOOKUP(A47,'2022_PAPI_Indicators'!A42:AJ222,35,FALSE)</f>
        <v>1.3504389524459839</v>
      </c>
      <c r="AL47" s="131">
        <f>VLOOKUP(A47,'2022_PAPI_Indicators'!A42:AK222,36,FALSE)</f>
        <v>1.3552780151367188</v>
      </c>
      <c r="AM47" s="131">
        <f>VLOOKUP(A47,'2022_PAPI_Indicators'!A42:AL222,37,FALSE)</f>
        <v>1.481860876083374</v>
      </c>
      <c r="AN47" s="131">
        <f>VLOOKUP(A47,'2022_PAPI_Indicators'!A42:AM222,38,FALSE)</f>
        <v>1.5376298427581787</v>
      </c>
      <c r="AO47" s="131">
        <f>VLOOKUP(A47,'2022_PAPI_Indicators'!A42:AN222,39,FALSE)</f>
        <v>1.6732827425003052</v>
      </c>
      <c r="AP47" s="131">
        <f>VLOOKUP(A47,'2022_PAPI_Indicators'!A42:AO222,40,FALSE)</f>
        <v>1.8404228687286377</v>
      </c>
      <c r="AQ47" s="131">
        <f>VLOOKUP(A47,'2022_PAPI_Indicators'!A42:AP222,41,FALSE)</f>
        <v>1.3231527805328369</v>
      </c>
      <c r="AR47" s="131">
        <f>VLOOKUP(A47,'2022_PAPI_Indicators'!A42:AQ222,42,FALSE)</f>
        <v>1.3396323919296265</v>
      </c>
      <c r="AS47" s="131">
        <f>VLOOKUP(A47,'2022_PAPI_Indicators'!A42:AR222,43,FALSE)</f>
        <v>1.2813417911529541</v>
      </c>
      <c r="AT47" s="131">
        <f>VLOOKUP(A47,'2022_PAPI_Indicators'!A42:AS222,44,FALSE)</f>
        <v>1.3004986047744751</v>
      </c>
      <c r="AU47" s="131">
        <f>VLOOKUP(A47,'2022_PAPI_Indicators'!A42:AT222,45,FALSE)</f>
        <v>1.406569242477417</v>
      </c>
      <c r="AV47" s="131">
        <f>VLOOKUP(A47,'2022_PAPI_Indicators'!A42:AU222,46,FALSE)</f>
        <v>1.5114706754684448</v>
      </c>
      <c r="AW47" s="131">
        <f>VLOOKUP(A47,'2022_PAPI_Indicators'!A42:AV222,47,FALSE)</f>
        <v>1.2420216798782349</v>
      </c>
      <c r="AX47" s="131">
        <f>VLOOKUP(A47,'2022_PAPI_Indicators'!A42:AW222,48,FALSE)</f>
        <v>1.7467631101608276</v>
      </c>
      <c r="AY47" s="131">
        <f>VLOOKUP(A47,'2022_PAPI_Indicators'!A42:AX222,49,FALSE)</f>
        <v>1.3895775079727173</v>
      </c>
      <c r="AZ47" s="131">
        <f>VLOOKUP(A47,'2022_PAPI_Indicators'!A42:AY222,50,FALSE)</f>
        <v>1.4344660043716431</v>
      </c>
      <c r="BA47" s="131">
        <f>VLOOKUP(A47,'2022_PAPI_Indicators'!A42:AZ222,51,FALSE)</f>
        <v>1.3696011304855347</v>
      </c>
      <c r="BB47" s="131">
        <f>VLOOKUP(A47,'2022_PAPI_Indicators'!A42:BA222,52,FALSE)</f>
        <v>1.3710728883743286</v>
      </c>
      <c r="BC47" s="131">
        <f>VLOOKUP(A47,'2022_PAPI_Indicators'!A42:BB222,53,FALSE)</f>
        <v>1.271153450012207</v>
      </c>
      <c r="BD47" s="131">
        <f>VLOOKUP(A47,'2022_PAPI_Indicators'!A42:BC222,54,FALSE)</f>
        <v>1.3653132915496826</v>
      </c>
      <c r="BE47" s="131">
        <f>VLOOKUP(A47,'2022_PAPI_Indicators'!A42:BD222,55,FALSE)</f>
        <v>1.4040240049362183</v>
      </c>
      <c r="BF47" s="131">
        <f>VLOOKUP(A47,'2022_PAPI_Indicators'!A42:BE222,56,FALSE)</f>
        <v>1.4726748466491699</v>
      </c>
      <c r="BG47" s="131">
        <f>VLOOKUP(A47,'2022_PAPI_Indicators'!A42:BF222,57,FALSE)</f>
        <v>1.1992502212524414</v>
      </c>
      <c r="BH47" s="131">
        <f>VLOOKUP(A47,'2022_PAPI_Indicators'!A42:BG222,58,FALSE)</f>
        <v>1.2172623872756958</v>
      </c>
      <c r="BI47" s="131">
        <f>VLOOKUP(A47,'2022_PAPI_Indicators'!A42:BH222,59,FALSE)</f>
        <v>1.3041101694107056</v>
      </c>
      <c r="BJ47" s="131">
        <f>VLOOKUP(A47,'2022_PAPI_Indicators'!A42:BI222,60,FALSE)</f>
        <v>1.2898048162460327</v>
      </c>
      <c r="BK47" s="131">
        <f>VLOOKUP(A47,'2022_PAPI_Indicators'!A42:BJ222,61,FALSE)</f>
        <v>1.3820922374725342</v>
      </c>
      <c r="BL47" s="131">
        <f>VLOOKUP(A47,'2022_PAPI_Indicators'!A42:BK222,62,FALSE)</f>
        <v>1.376350998878479</v>
      </c>
      <c r="BM47" s="131">
        <f>VLOOKUP(A47,'2022_PAPI_Indicators'!A42:BL222,63,FALSE)</f>
        <v>1.4973061084747314</v>
      </c>
      <c r="BN47" s="131">
        <f>VLOOKUP(A47,'2022_PAPI_Indicators'!A42:BM222,64,FALSE)</f>
        <v>1.4066790342330933</v>
      </c>
    </row>
    <row r="48" spans="1:66" x14ac:dyDescent="0.2">
      <c r="A48" s="70" t="s">
        <v>159</v>
      </c>
      <c r="B48" s="70" t="s">
        <v>160</v>
      </c>
      <c r="C48" s="89" t="s">
        <v>90</v>
      </c>
      <c r="D48" s="133">
        <f>VLOOKUP(A48,'2022_PAPI_Indicators'!A43:B223,2,)</f>
        <v>0.5838896632194519</v>
      </c>
      <c r="E48" s="133">
        <f>VLOOKUP(A48,'2022_PAPI_Indicators'!A43:C223,3,FALSE)</f>
        <v>0.4289986789226532</v>
      </c>
      <c r="F48" s="133">
        <f>VLOOKUP(A48,'2022_PAPI_Indicators'!A43:D223,4,FALSE)</f>
        <v>0.40853747725486755</v>
      </c>
      <c r="G48" s="133">
        <f>VLOOKUP(A48,'2022_PAPI_Indicators'!A43:E223,5,FALSE)</f>
        <v>0.51967155933380127</v>
      </c>
      <c r="H48" s="133">
        <f>VLOOKUP(A48,'2022_PAPI_Indicators'!A43:F223,6,FALSE)</f>
        <v>0.51650166511535645</v>
      </c>
      <c r="I48" s="133">
        <f>VLOOKUP(A48,'2022_PAPI_Indicators'!A43:G223,7,FALSE)</f>
        <v>0.51995068788528442</v>
      </c>
      <c r="J48" s="133">
        <f>VLOOKUP(A48,'2022_PAPI_Indicators'!A43:H223,8,FALSE)</f>
        <v>0.39784875512123108</v>
      </c>
      <c r="K48" s="133">
        <f>VLOOKUP(A48,'2022_PAPI_Indicators'!A43:I223,9,FALSE)</f>
        <v>0.35720446705818176</v>
      </c>
      <c r="L48" s="133">
        <f>VLOOKUP(A48,'2022_PAPI_Indicators'!A43:J223,10,FALSE)</f>
        <v>0.4395793080329895</v>
      </c>
      <c r="M48" s="133">
        <f>VLOOKUP(A48,'2022_PAPI_Indicators'!A43:K223,11,FALSE)</f>
        <v>0.49941325187683105</v>
      </c>
      <c r="N48" s="133">
        <f>VLOOKUP(A48,'2022_PAPI_Indicators'!A43:L223,12,FALSE)</f>
        <v>0.35939544439315796</v>
      </c>
      <c r="O48" s="133">
        <f>VLOOKUP(A48,'2022_PAPI_Indicators'!A43:M223,13,FALSE)</f>
        <v>0.43481960892677307</v>
      </c>
      <c r="P48" s="133">
        <f>VLOOKUP(A48,'2022_PAPI_Indicators'!A43:N223,14,FALSE)</f>
        <v>0.43797749280929565</v>
      </c>
      <c r="Q48" s="133">
        <f>VLOOKUP(A48,'2022_PAPI_Indicators'!A43:O223,15,FALSE)</f>
        <v>0.79593688249588013</v>
      </c>
      <c r="R48" s="135">
        <f>VLOOKUP(A48,'2022_PAPI_Indicators'!A43:P223,16,FALSE)</f>
        <v>0</v>
      </c>
      <c r="S48" s="133">
        <f>VLOOKUP(A48,'2022_PAPI_Indicators'!A43:R223,17,FALSE)</f>
        <v>0.59824097156524658</v>
      </c>
      <c r="T48" s="133">
        <f>VLOOKUP(A48,'2022_PAPI_Indicators'!A43:S223,18,FALSE)</f>
        <v>0.52867579460144043</v>
      </c>
      <c r="U48" s="135">
        <f>VLOOKUP(A48,'2022_PAPI_Indicators'!A43:T223,19,FALSE)</f>
        <v>0</v>
      </c>
      <c r="V48" s="133">
        <f>VLOOKUP(A48,'2022_PAPI_Indicators'!A43:U223,20,FALSE)</f>
        <v>0.55843788385391235</v>
      </c>
      <c r="W48" s="133">
        <f>VLOOKUP(A48,'2022_PAPI_Indicators'!A43:V223,21,FALSE)</f>
        <v>0.51970452070236206</v>
      </c>
      <c r="X48" s="133">
        <f>VLOOKUP(A48,'2022_PAPI_Indicators'!A43:W223,22,FALSE)</f>
        <v>0.59737712144851685</v>
      </c>
      <c r="Y48" s="133">
        <f>VLOOKUP(A48,'2022_PAPI_Indicators'!A43:X223,23,FALSE)</f>
        <v>0.70113676786422729</v>
      </c>
      <c r="Z48" s="133">
        <f>VLOOKUP(A48,'2022_PAPI_Indicators'!A43:Y223,24,FALSE)</f>
        <v>0.53632736206054688</v>
      </c>
      <c r="AA48" s="133">
        <f>VLOOKUP(A48,'2022_PAPI_Indicators'!A43:Z223,25,FALSE)</f>
        <v>0.62226206064224243</v>
      </c>
      <c r="AB48" s="133">
        <f>VLOOKUP(A48,'2022_PAPI_Indicators'!A43:AA223,26,FALSE)</f>
        <v>0.62352102994918823</v>
      </c>
      <c r="AC48" s="133">
        <f>VLOOKUP(A48,'2022_PAPI_Indicators'!A43:AB223,27,FALSE)</f>
        <v>0.69162666797637939</v>
      </c>
      <c r="AD48" s="133">
        <f>VLOOKUP(A48,'2022_PAPI_Indicators'!A43:AC223,28,FALSE)</f>
        <v>0.58961617946624756</v>
      </c>
      <c r="AE48" s="133">
        <f>VLOOKUP(A48,'2022_PAPI_Indicators'!A43:AD223,29,FALSE)</f>
        <v>0.65073752403259277</v>
      </c>
      <c r="AF48" s="133">
        <f>VLOOKUP(A48,'2022_PAPI_Indicators'!A43:AE223,30,FALSE)</f>
        <v>0.66707503795623779</v>
      </c>
      <c r="AG48" s="133">
        <f>VLOOKUP(A48,'2022_PAPI_Indicators'!A43:AF223,31,FALSE)</f>
        <v>0.46029826998710632</v>
      </c>
      <c r="AH48" s="133">
        <f>VLOOKUP(A48,'2022_PAPI_Indicators'!A43:AG223,32,FALSE)</f>
        <v>0.59784442186355591</v>
      </c>
      <c r="AI48" s="133">
        <f>VLOOKUP(A48,'2022_PAPI_Indicators'!A43:AH223,33,FALSE)</f>
        <v>0.38871225714683533</v>
      </c>
      <c r="AJ48" s="133">
        <f>VLOOKUP(A48,'2022_PAPI_Indicators'!A43:AI223,34,FALSE)</f>
        <v>0.53165960311889648</v>
      </c>
      <c r="AK48" s="133">
        <f>VLOOKUP(A48,'2022_PAPI_Indicators'!A43:AJ223,35,FALSE)</f>
        <v>0.42547571659088135</v>
      </c>
      <c r="AL48" s="133">
        <f>VLOOKUP(A48,'2022_PAPI_Indicators'!A43:AK223,36,FALSE)</f>
        <v>0.41876620054244995</v>
      </c>
      <c r="AM48" s="133">
        <f>VLOOKUP(A48,'2022_PAPI_Indicators'!A43:AL223,37,FALSE)</f>
        <v>0.48100787401199341</v>
      </c>
      <c r="AN48" s="133">
        <f>VLOOKUP(A48,'2022_PAPI_Indicators'!A43:AM223,38,FALSE)</f>
        <v>0.4881746768951416</v>
      </c>
      <c r="AO48" s="133">
        <f>VLOOKUP(A48,'2022_PAPI_Indicators'!A43:AN223,39,FALSE)</f>
        <v>0.50231820344924927</v>
      </c>
      <c r="AP48" s="133">
        <f>VLOOKUP(A48,'2022_PAPI_Indicators'!A43:AO223,40,FALSE)</f>
        <v>0.48007354140281677</v>
      </c>
      <c r="AQ48" s="133">
        <f>VLOOKUP(A48,'2022_PAPI_Indicators'!A43:AP223,41,FALSE)</f>
        <v>0.37525483965873718</v>
      </c>
      <c r="AR48" s="133">
        <f>VLOOKUP(A48,'2022_PAPI_Indicators'!A43:AQ223,42,FALSE)</f>
        <v>0.36216223239898682</v>
      </c>
      <c r="AS48" s="133">
        <f>VLOOKUP(A48,'2022_PAPI_Indicators'!A43:AR223,43,FALSE)</f>
        <v>0.31867775321006775</v>
      </c>
      <c r="AT48" s="133">
        <f>VLOOKUP(A48,'2022_PAPI_Indicators'!A43:AS223,44,FALSE)</f>
        <v>0.32941478490829468</v>
      </c>
      <c r="AU48" s="133">
        <f>VLOOKUP(A48,'2022_PAPI_Indicators'!A43:AT223,45,FALSE)</f>
        <v>0.36733680963516235</v>
      </c>
      <c r="AV48" s="133">
        <f>VLOOKUP(A48,'2022_PAPI_Indicators'!A43:AU223,46,FALSE)</f>
        <v>0.39843562245368958</v>
      </c>
      <c r="AW48" s="133">
        <f>VLOOKUP(A48,'2022_PAPI_Indicators'!A43:AV223,47,FALSE)</f>
        <v>0.28270083665847778</v>
      </c>
      <c r="AX48" s="133">
        <f>VLOOKUP(A48,'2022_PAPI_Indicators'!A43:AW223,48,FALSE)</f>
        <v>0.62489038705825806</v>
      </c>
      <c r="AY48" s="133">
        <f>VLOOKUP(A48,'2022_PAPI_Indicators'!A43:AX223,49,FALSE)</f>
        <v>0.34586068987846375</v>
      </c>
      <c r="AZ48" s="133">
        <f>VLOOKUP(A48,'2022_PAPI_Indicators'!A43:AY223,50,FALSE)</f>
        <v>0.4237746000289917</v>
      </c>
      <c r="BA48" s="133">
        <f>VLOOKUP(A48,'2022_PAPI_Indicators'!A43:AZ223,51,FALSE)</f>
        <v>0.38843494653701782</v>
      </c>
      <c r="BB48" s="133">
        <f>VLOOKUP(A48,'2022_PAPI_Indicators'!A43:BA223,52,FALSE)</f>
        <v>0.3241906464099884</v>
      </c>
      <c r="BC48" s="133">
        <f>VLOOKUP(A48,'2022_PAPI_Indicators'!A43:BB223,53,FALSE)</f>
        <v>0.29183757305145264</v>
      </c>
      <c r="BD48" s="133">
        <f>VLOOKUP(A48,'2022_PAPI_Indicators'!A43:BC223,54,FALSE)</f>
        <v>0.32073909044265747</v>
      </c>
      <c r="BE48" s="133">
        <f>VLOOKUP(A48,'2022_PAPI_Indicators'!A43:BD223,55,FALSE)</f>
        <v>0.24703967571258545</v>
      </c>
      <c r="BF48" s="133">
        <f>VLOOKUP(A48,'2022_PAPI_Indicators'!A43:BE223,56,FALSE)</f>
        <v>0.38003531098365784</v>
      </c>
      <c r="BG48" s="133">
        <f>VLOOKUP(A48,'2022_PAPI_Indicators'!A43:BF223,57,FALSE)</f>
        <v>0.31419768929481506</v>
      </c>
      <c r="BH48" s="133">
        <f>VLOOKUP(A48,'2022_PAPI_Indicators'!A43:BG223,58,FALSE)</f>
        <v>0.32128798961639404</v>
      </c>
      <c r="BI48" s="133">
        <f>VLOOKUP(A48,'2022_PAPI_Indicators'!A43:BH223,59,FALSE)</f>
        <v>0.29355660080909729</v>
      </c>
      <c r="BJ48" s="133">
        <f>VLOOKUP(A48,'2022_PAPI_Indicators'!A43:BI223,60,FALSE)</f>
        <v>0.24067477881908417</v>
      </c>
      <c r="BK48" s="133">
        <f>VLOOKUP(A48,'2022_PAPI_Indicators'!A43:BJ223,61,FALSE)</f>
        <v>0.35691264271736145</v>
      </c>
      <c r="BL48" s="133">
        <f>VLOOKUP(A48,'2022_PAPI_Indicators'!A43:BK223,62,FALSE)</f>
        <v>0.32780686020851135</v>
      </c>
      <c r="BM48" s="133">
        <f>VLOOKUP(A48,'2022_PAPI_Indicators'!A43:BL223,63,FALSE)</f>
        <v>0.3913523256778717</v>
      </c>
      <c r="BN48" s="133">
        <f>VLOOKUP(A48,'2022_PAPI_Indicators'!A43:BM223,64,FALSE)</f>
        <v>0.2980613112449646</v>
      </c>
    </row>
    <row r="49" spans="1:66" x14ac:dyDescent="0.2">
      <c r="A49" s="70" t="s">
        <v>161</v>
      </c>
      <c r="B49" s="70" t="s">
        <v>162</v>
      </c>
      <c r="C49" s="89" t="s">
        <v>90</v>
      </c>
      <c r="D49" s="133">
        <f>VLOOKUP(A49,'2022_PAPI_Indicators'!A44:B224,2,)</f>
        <v>0.35540947318077087</v>
      </c>
      <c r="E49" s="133">
        <f>VLOOKUP(A49,'2022_PAPI_Indicators'!A44:C224,3,FALSE)</f>
        <v>0.22979047894477844</v>
      </c>
      <c r="F49" s="133">
        <f>VLOOKUP(A49,'2022_PAPI_Indicators'!A44:D224,4,FALSE)</f>
        <v>0.15336257219314575</v>
      </c>
      <c r="G49" s="133">
        <f>VLOOKUP(A49,'2022_PAPI_Indicators'!A44:E224,5,FALSE)</f>
        <v>0.18183369934558868</v>
      </c>
      <c r="H49" s="133">
        <f>VLOOKUP(A49,'2022_PAPI_Indicators'!A44:F224,6,FALSE)</f>
        <v>0.14658662676811218</v>
      </c>
      <c r="I49" s="133">
        <f>VLOOKUP(A49,'2022_PAPI_Indicators'!A44:G224,7,FALSE)</f>
        <v>0.2662893533706665</v>
      </c>
      <c r="J49" s="133">
        <f>VLOOKUP(A49,'2022_PAPI_Indicators'!A44:H224,8,FALSE)</f>
        <v>0.25078263878822327</v>
      </c>
      <c r="K49" s="133">
        <f>VLOOKUP(A49,'2022_PAPI_Indicators'!A44:I224,9,FALSE)</f>
        <v>0.42465892434120178</v>
      </c>
      <c r="L49" s="133">
        <f>VLOOKUP(A49,'2022_PAPI_Indicators'!A44:J224,10,FALSE)</f>
        <v>0.13379868865013123</v>
      </c>
      <c r="M49" s="133">
        <f>VLOOKUP(A49,'2022_PAPI_Indicators'!A44:K224,11,FALSE)</f>
        <v>0.15637595951557159</v>
      </c>
      <c r="N49" s="133">
        <f>VLOOKUP(A49,'2022_PAPI_Indicators'!A44:L224,12,FALSE)</f>
        <v>0.24848496913909912</v>
      </c>
      <c r="O49" s="133">
        <f>VLOOKUP(A49,'2022_PAPI_Indicators'!A44:M224,13,FALSE)</f>
        <v>0.21806345880031586</v>
      </c>
      <c r="P49" s="133">
        <f>VLOOKUP(A49,'2022_PAPI_Indicators'!A44:N224,14,FALSE)</f>
        <v>0.29096001386642456</v>
      </c>
      <c r="Q49" s="133">
        <f>VLOOKUP(A49,'2022_PAPI_Indicators'!A44:O224,15,FALSE)</f>
        <v>0.26520630717277527</v>
      </c>
      <c r="R49" s="135">
        <f>VLOOKUP(A49,'2022_PAPI_Indicators'!A44:P224,16,FALSE)</f>
        <v>0</v>
      </c>
      <c r="S49" s="133">
        <f>VLOOKUP(A49,'2022_PAPI_Indicators'!A44:R224,17,FALSE)</f>
        <v>0.16018277406692505</v>
      </c>
      <c r="T49" s="133">
        <f>VLOOKUP(A49,'2022_PAPI_Indicators'!A44:S224,18,FALSE)</f>
        <v>0.16239151358604431</v>
      </c>
      <c r="U49" s="135">
        <f>VLOOKUP(A49,'2022_PAPI_Indicators'!A44:T224,19,FALSE)</f>
        <v>0</v>
      </c>
      <c r="V49" s="133">
        <f>VLOOKUP(A49,'2022_PAPI_Indicators'!A44:U224,20,FALSE)</f>
        <v>0.16592101752758026</v>
      </c>
      <c r="W49" s="133">
        <f>VLOOKUP(A49,'2022_PAPI_Indicators'!A44:V224,21,FALSE)</f>
        <v>0.14822392165660858</v>
      </c>
      <c r="X49" s="133">
        <f>VLOOKUP(A49,'2022_PAPI_Indicators'!A44:W224,22,FALSE)</f>
        <v>0.24568597972393036</v>
      </c>
      <c r="Y49" s="133">
        <f>VLOOKUP(A49,'2022_PAPI_Indicators'!A44:X224,23,FALSE)</f>
        <v>0.14948257803916931</v>
      </c>
      <c r="Z49" s="133">
        <f>VLOOKUP(A49,'2022_PAPI_Indicators'!A44:Y224,24,FALSE)</f>
        <v>0.16065704822540283</v>
      </c>
      <c r="AA49" s="133">
        <f>VLOOKUP(A49,'2022_PAPI_Indicators'!A44:Z224,25,FALSE)</f>
        <v>0.20525875687599182</v>
      </c>
      <c r="AB49" s="133">
        <f>VLOOKUP(A49,'2022_PAPI_Indicators'!A44:AA224,26,FALSE)</f>
        <v>0.24889396131038666</v>
      </c>
      <c r="AC49" s="133">
        <f>VLOOKUP(A49,'2022_PAPI_Indicators'!A44:AB224,27,FALSE)</f>
        <v>0.27036431431770325</v>
      </c>
      <c r="AD49" s="133">
        <f>VLOOKUP(A49,'2022_PAPI_Indicators'!A44:AC224,28,FALSE)</f>
        <v>0.20003758370876312</v>
      </c>
      <c r="AE49" s="133">
        <f>VLOOKUP(A49,'2022_PAPI_Indicators'!A44:AD224,29,FALSE)</f>
        <v>0.33395582437515259</v>
      </c>
      <c r="AF49" s="133">
        <f>VLOOKUP(A49,'2022_PAPI_Indicators'!A44:AE224,30,FALSE)</f>
        <v>0.15280057489871979</v>
      </c>
      <c r="AG49" s="133">
        <f>VLOOKUP(A49,'2022_PAPI_Indicators'!A44:AF224,31,FALSE)</f>
        <v>0.40616056323051453</v>
      </c>
      <c r="AH49" s="133">
        <f>VLOOKUP(A49,'2022_PAPI_Indicators'!A44:AG224,32,FALSE)</f>
        <v>0.23833300173282623</v>
      </c>
      <c r="AI49" s="133">
        <f>VLOOKUP(A49,'2022_PAPI_Indicators'!A44:AH224,33,FALSE)</f>
        <v>0.19854825735092163</v>
      </c>
      <c r="AJ49" s="133">
        <f>VLOOKUP(A49,'2022_PAPI_Indicators'!A44:AI224,34,FALSE)</f>
        <v>0.22673638164997101</v>
      </c>
      <c r="AK49" s="133">
        <f>VLOOKUP(A49,'2022_PAPI_Indicators'!A44:AJ224,35,FALSE)</f>
        <v>0.14973317086696625</v>
      </c>
      <c r="AL49" s="133">
        <f>VLOOKUP(A49,'2022_PAPI_Indicators'!A44:AK224,36,FALSE)</f>
        <v>0.2695961594581604</v>
      </c>
      <c r="AM49" s="133">
        <f>VLOOKUP(A49,'2022_PAPI_Indicators'!A44:AL224,37,FALSE)</f>
        <v>0.21869592368602753</v>
      </c>
      <c r="AN49" s="133">
        <f>VLOOKUP(A49,'2022_PAPI_Indicators'!A44:AM224,38,FALSE)</f>
        <v>0.33518350124359131</v>
      </c>
      <c r="AO49" s="133">
        <f>VLOOKUP(A49,'2022_PAPI_Indicators'!A44:AN224,39,FALSE)</f>
        <v>0.42985314130783081</v>
      </c>
      <c r="AP49" s="133">
        <f>VLOOKUP(A49,'2022_PAPI_Indicators'!A44:AO224,40,FALSE)</f>
        <v>0.64599800109863281</v>
      </c>
      <c r="AQ49" s="133">
        <f>VLOOKUP(A49,'2022_PAPI_Indicators'!A44:AP224,41,FALSE)</f>
        <v>0.22102706134319305</v>
      </c>
      <c r="AR49" s="133">
        <f>VLOOKUP(A49,'2022_PAPI_Indicators'!A44:AQ224,42,FALSE)</f>
        <v>0.27197214961051941</v>
      </c>
      <c r="AS49" s="133">
        <f>VLOOKUP(A49,'2022_PAPI_Indicators'!A44:AR224,43,FALSE)</f>
        <v>0.22857770323753357</v>
      </c>
      <c r="AT49" s="133">
        <f>VLOOKUP(A49,'2022_PAPI_Indicators'!A44:AS224,44,FALSE)</f>
        <v>0.2144913375377655</v>
      </c>
      <c r="AU49" s="133">
        <f>VLOOKUP(A49,'2022_PAPI_Indicators'!A44:AT224,45,FALSE)</f>
        <v>0.21992219984531403</v>
      </c>
      <c r="AV49" s="133">
        <f>VLOOKUP(A49,'2022_PAPI_Indicators'!A44:AU224,46,FALSE)</f>
        <v>0.32931175827980042</v>
      </c>
      <c r="AW49" s="133">
        <f>VLOOKUP(A49,'2022_PAPI_Indicators'!A44:AV224,47,FALSE)</f>
        <v>0.13497176766395569</v>
      </c>
      <c r="AX49" s="133">
        <f>VLOOKUP(A49,'2022_PAPI_Indicators'!A44:AW224,48,FALSE)</f>
        <v>0.39741617441177368</v>
      </c>
      <c r="AY49" s="133">
        <f>VLOOKUP(A49,'2022_PAPI_Indicators'!A44:AX224,49,FALSE)</f>
        <v>0.3336893618106842</v>
      </c>
      <c r="AZ49" s="133">
        <f>VLOOKUP(A49,'2022_PAPI_Indicators'!A44:AY224,50,FALSE)</f>
        <v>0.25784569978713989</v>
      </c>
      <c r="BA49" s="133">
        <f>VLOOKUP(A49,'2022_PAPI_Indicators'!A44:AZ224,51,FALSE)</f>
        <v>0.28954213857650757</v>
      </c>
      <c r="BB49" s="133">
        <f>VLOOKUP(A49,'2022_PAPI_Indicators'!A44:BA224,52,FALSE)</f>
        <v>0.36742100119590759</v>
      </c>
      <c r="BC49" s="133">
        <f>VLOOKUP(A49,'2022_PAPI_Indicators'!A44:BB224,53,FALSE)</f>
        <v>0.14374460279941559</v>
      </c>
      <c r="BD49" s="133">
        <f>VLOOKUP(A49,'2022_PAPI_Indicators'!A44:BC224,54,FALSE)</f>
        <v>0.20996531844139099</v>
      </c>
      <c r="BE49" s="133">
        <f>VLOOKUP(A49,'2022_PAPI_Indicators'!A44:BD224,55,FALSE)</f>
        <v>0.38894516229629517</v>
      </c>
      <c r="BF49" s="133">
        <f>VLOOKUP(A49,'2022_PAPI_Indicators'!A44:BE224,56,FALSE)</f>
        <v>0.43355080485343933</v>
      </c>
      <c r="BG49" s="133">
        <f>VLOOKUP(A49,'2022_PAPI_Indicators'!A44:BF224,57,FALSE)</f>
        <v>0.15148256719112396</v>
      </c>
      <c r="BH49" s="133">
        <f>VLOOKUP(A49,'2022_PAPI_Indicators'!A44:BG224,58,FALSE)</f>
        <v>8.8130444288253784E-2</v>
      </c>
      <c r="BI49" s="133">
        <f>VLOOKUP(A49,'2022_PAPI_Indicators'!A44:BH224,59,FALSE)</f>
        <v>0.2347903847694397</v>
      </c>
      <c r="BJ49" s="133">
        <f>VLOOKUP(A49,'2022_PAPI_Indicators'!A44:BI224,60,FALSE)</f>
        <v>0.24063204228878021</v>
      </c>
      <c r="BK49" s="133">
        <f>VLOOKUP(A49,'2022_PAPI_Indicators'!A44:BJ224,61,FALSE)</f>
        <v>0.27777710556983948</v>
      </c>
      <c r="BL49" s="133">
        <f>VLOOKUP(A49,'2022_PAPI_Indicators'!A44:BK224,62,FALSE)</f>
        <v>0.2672063410282135</v>
      </c>
      <c r="BM49" s="133">
        <f>VLOOKUP(A49,'2022_PAPI_Indicators'!A44:BL224,63,FALSE)</f>
        <v>0.30956977605819702</v>
      </c>
      <c r="BN49" s="133">
        <f>VLOOKUP(A49,'2022_PAPI_Indicators'!A44:BM224,64,FALSE)</f>
        <v>0.40423282980918884</v>
      </c>
    </row>
    <row r="50" spans="1:66" x14ac:dyDescent="0.2">
      <c r="A50" s="70" t="s">
        <v>163</v>
      </c>
      <c r="B50" s="70" t="s">
        <v>164</v>
      </c>
      <c r="C50" s="89" t="s">
        <v>90</v>
      </c>
      <c r="D50" s="133">
        <f>VLOOKUP(A50,'2022_PAPI_Indicators'!A45:B225,2,)</f>
        <v>0.90813028812408447</v>
      </c>
      <c r="E50" s="133">
        <f>VLOOKUP(A50,'2022_PAPI_Indicators'!A45:C225,3,FALSE)</f>
        <v>0.84914267063140869</v>
      </c>
      <c r="F50" s="133">
        <f>VLOOKUP(A50,'2022_PAPI_Indicators'!A45:D225,4,FALSE)</f>
        <v>0.7519189715385437</v>
      </c>
      <c r="G50" s="133">
        <f>VLOOKUP(A50,'2022_PAPI_Indicators'!A45:E225,5,FALSE)</f>
        <v>0.83615028858184814</v>
      </c>
      <c r="H50" s="133">
        <f>VLOOKUP(A50,'2022_PAPI_Indicators'!A45:F225,6,FALSE)</f>
        <v>0.83890622854232788</v>
      </c>
      <c r="I50" s="133">
        <f>VLOOKUP(A50,'2022_PAPI_Indicators'!A45:G225,7,FALSE)</f>
        <v>0.85090816020965576</v>
      </c>
      <c r="J50" s="133">
        <f>VLOOKUP(A50,'2022_PAPI_Indicators'!A45:H225,8,FALSE)</f>
        <v>0.87783807516098022</v>
      </c>
      <c r="K50" s="133">
        <f>VLOOKUP(A50,'2022_PAPI_Indicators'!A45:I225,9,FALSE)</f>
        <v>0.82186156511306763</v>
      </c>
      <c r="L50" s="133">
        <f>VLOOKUP(A50,'2022_PAPI_Indicators'!A45:J225,10,FALSE)</f>
        <v>0.78098422288894653</v>
      </c>
      <c r="M50" s="133">
        <f>VLOOKUP(A50,'2022_PAPI_Indicators'!A45:K225,11,FALSE)</f>
        <v>0.90286213159561157</v>
      </c>
      <c r="N50" s="133">
        <f>VLOOKUP(A50,'2022_PAPI_Indicators'!A45:L225,12,FALSE)</f>
        <v>0.90201812982559204</v>
      </c>
      <c r="O50" s="133">
        <f>VLOOKUP(A50,'2022_PAPI_Indicators'!A45:M225,13,FALSE)</f>
        <v>0.94276845455169678</v>
      </c>
      <c r="P50" s="133">
        <f>VLOOKUP(A50,'2022_PAPI_Indicators'!A45:N225,14,FALSE)</f>
        <v>0.90712952613830566</v>
      </c>
      <c r="Q50" s="133">
        <f>VLOOKUP(A50,'2022_PAPI_Indicators'!A45:O225,15,FALSE)</f>
        <v>0.95981603860855103</v>
      </c>
      <c r="R50" s="135">
        <f>VLOOKUP(A50,'2022_PAPI_Indicators'!A45:P225,16,FALSE)</f>
        <v>0</v>
      </c>
      <c r="S50" s="133">
        <f>VLOOKUP(A50,'2022_PAPI_Indicators'!A45:R225,17,FALSE)</f>
        <v>0.89192980527877808</v>
      </c>
      <c r="T50" s="133">
        <f>VLOOKUP(A50,'2022_PAPI_Indicators'!A45:S225,18,FALSE)</f>
        <v>0.91842639446258545</v>
      </c>
      <c r="U50" s="135">
        <f>VLOOKUP(A50,'2022_PAPI_Indicators'!A45:T225,19,FALSE)</f>
        <v>0</v>
      </c>
      <c r="V50" s="133">
        <f>VLOOKUP(A50,'2022_PAPI_Indicators'!A45:U225,20,FALSE)</f>
        <v>0.78681719303131104</v>
      </c>
      <c r="W50" s="133">
        <f>VLOOKUP(A50,'2022_PAPI_Indicators'!A45:V225,21,FALSE)</f>
        <v>0.88057953119277954</v>
      </c>
      <c r="X50" s="133">
        <f>VLOOKUP(A50,'2022_PAPI_Indicators'!A45:W225,22,FALSE)</f>
        <v>0.92132550477981567</v>
      </c>
      <c r="Y50" s="133">
        <f>VLOOKUP(A50,'2022_PAPI_Indicators'!A45:X225,23,FALSE)</f>
        <v>0.8170013427734375</v>
      </c>
      <c r="Z50" s="133">
        <f>VLOOKUP(A50,'2022_PAPI_Indicators'!A45:Y225,24,FALSE)</f>
        <v>0.93018347024917603</v>
      </c>
      <c r="AA50" s="133">
        <f>VLOOKUP(A50,'2022_PAPI_Indicators'!A45:Z225,25,FALSE)</f>
        <v>0.84868323802947998</v>
      </c>
      <c r="AB50" s="133">
        <f>VLOOKUP(A50,'2022_PAPI_Indicators'!A45:AA225,26,FALSE)</f>
        <v>0.80740445852279663</v>
      </c>
      <c r="AC50" s="133">
        <f>VLOOKUP(A50,'2022_PAPI_Indicators'!A45:AB225,27,FALSE)</f>
        <v>0.90301680564880371</v>
      </c>
      <c r="AD50" s="133">
        <f>VLOOKUP(A50,'2022_PAPI_Indicators'!A45:AC225,28,FALSE)</f>
        <v>0.75289046764373779</v>
      </c>
      <c r="AE50" s="133">
        <f>VLOOKUP(A50,'2022_PAPI_Indicators'!A45:AD225,29,FALSE)</f>
        <v>0.82242941856384277</v>
      </c>
      <c r="AF50" s="133">
        <f>VLOOKUP(A50,'2022_PAPI_Indicators'!A45:AE225,30,FALSE)</f>
        <v>0.88151663541793823</v>
      </c>
      <c r="AG50" s="133">
        <f>VLOOKUP(A50,'2022_PAPI_Indicators'!A45:AF225,31,FALSE)</f>
        <v>0.88162100315093994</v>
      </c>
      <c r="AH50" s="133">
        <f>VLOOKUP(A50,'2022_PAPI_Indicators'!A45:AG225,32,FALSE)</f>
        <v>0.92783266305923462</v>
      </c>
      <c r="AI50" s="133">
        <f>VLOOKUP(A50,'2022_PAPI_Indicators'!A45:AH225,33,FALSE)</f>
        <v>0.8265998363494873</v>
      </c>
      <c r="AJ50" s="133">
        <f>VLOOKUP(A50,'2022_PAPI_Indicators'!A45:AI225,34,FALSE)</f>
        <v>0.81334054470062256</v>
      </c>
      <c r="AK50" s="133">
        <f>VLOOKUP(A50,'2022_PAPI_Indicators'!A45:AJ225,35,FALSE)</f>
        <v>0.85633063316345215</v>
      </c>
      <c r="AL50" s="133">
        <f>VLOOKUP(A50,'2022_PAPI_Indicators'!A45:AK225,36,FALSE)</f>
        <v>0.78695815801620483</v>
      </c>
      <c r="AM50" s="133">
        <f>VLOOKUP(A50,'2022_PAPI_Indicators'!A45:AL225,37,FALSE)</f>
        <v>0.89787447452545166</v>
      </c>
      <c r="AN50" s="133">
        <f>VLOOKUP(A50,'2022_PAPI_Indicators'!A45:AM225,38,FALSE)</f>
        <v>0.85708671808242798</v>
      </c>
      <c r="AO50" s="133">
        <f>VLOOKUP(A50,'2022_PAPI_Indicators'!A45:AN225,39,FALSE)</f>
        <v>0.96406209468841553</v>
      </c>
      <c r="AP50" s="133">
        <f>VLOOKUP(A50,'2022_PAPI_Indicators'!A45:AO225,40,FALSE)</f>
        <v>0.97964560985565186</v>
      </c>
      <c r="AQ50" s="133">
        <f>VLOOKUP(A50,'2022_PAPI_Indicators'!A45:AP225,41,FALSE)</f>
        <v>0.81717485189437866</v>
      </c>
      <c r="AR50" s="133">
        <f>VLOOKUP(A50,'2022_PAPI_Indicators'!A45:AQ225,42,FALSE)</f>
        <v>0.81868404150009155</v>
      </c>
      <c r="AS50" s="133">
        <f>VLOOKUP(A50,'2022_PAPI_Indicators'!A45:AR225,43,FALSE)</f>
        <v>0.79764682054519653</v>
      </c>
      <c r="AT50" s="133">
        <f>VLOOKUP(A50,'2022_PAPI_Indicators'!A45:AS225,44,FALSE)</f>
        <v>0.80080443620681763</v>
      </c>
      <c r="AU50" s="133">
        <f>VLOOKUP(A50,'2022_PAPI_Indicators'!A45:AT225,45,FALSE)</f>
        <v>0.87693971395492554</v>
      </c>
      <c r="AV50" s="133">
        <f>VLOOKUP(A50,'2022_PAPI_Indicators'!A45:AU225,46,FALSE)</f>
        <v>0.88129591941833496</v>
      </c>
      <c r="AW50" s="133">
        <f>VLOOKUP(A50,'2022_PAPI_Indicators'!A45:AV225,47,FALSE)</f>
        <v>0.9417157769203186</v>
      </c>
      <c r="AX50" s="133">
        <f>VLOOKUP(A50,'2022_PAPI_Indicators'!A45:AW225,48,FALSE)</f>
        <v>0.97617805004119873</v>
      </c>
      <c r="AY50" s="133">
        <f>VLOOKUP(A50,'2022_PAPI_Indicators'!A45:AX225,49,FALSE)</f>
        <v>0.86923938989639282</v>
      </c>
      <c r="AZ50" s="133">
        <f>VLOOKUP(A50,'2022_PAPI_Indicators'!A45:AY225,50,FALSE)</f>
        <v>0.84680694341659546</v>
      </c>
      <c r="BA50" s="133">
        <f>VLOOKUP(A50,'2022_PAPI_Indicators'!A45:AZ225,51,FALSE)</f>
        <v>0.85154509544372559</v>
      </c>
      <c r="BB50" s="133">
        <f>VLOOKUP(A50,'2022_PAPI_Indicators'!A45:BA225,52,FALSE)</f>
        <v>0.80821388959884644</v>
      </c>
      <c r="BC50" s="133">
        <f>VLOOKUP(A50,'2022_PAPI_Indicators'!A45:BB225,53,FALSE)</f>
        <v>0.83933883905410767</v>
      </c>
      <c r="BD50" s="133">
        <f>VLOOKUP(A50,'2022_PAPI_Indicators'!A45:BC225,54,FALSE)</f>
        <v>0.96420532464981079</v>
      </c>
      <c r="BE50" s="133">
        <f>VLOOKUP(A50,'2022_PAPI_Indicators'!A45:BD225,55,FALSE)</f>
        <v>0.83498752117156982</v>
      </c>
      <c r="BF50" s="133">
        <f>VLOOKUP(A50,'2022_PAPI_Indicators'!A45:BE225,56,FALSE)</f>
        <v>0.83188939094543457</v>
      </c>
      <c r="BG50" s="133">
        <f>VLOOKUP(A50,'2022_PAPI_Indicators'!A45:BF225,57,FALSE)</f>
        <v>0.79506564140319824</v>
      </c>
      <c r="BH50" s="133">
        <f>VLOOKUP(A50,'2022_PAPI_Indicators'!A45:BG225,58,FALSE)</f>
        <v>0.85572898387908936</v>
      </c>
      <c r="BI50" s="133">
        <f>VLOOKUP(A50,'2022_PAPI_Indicators'!A45:BH225,59,FALSE)</f>
        <v>0.81105959415435791</v>
      </c>
      <c r="BJ50" s="133">
        <f>VLOOKUP(A50,'2022_PAPI_Indicators'!A45:BI225,60,FALSE)</f>
        <v>0.84750306606292725</v>
      </c>
      <c r="BK50" s="133">
        <f>VLOOKUP(A50,'2022_PAPI_Indicators'!A45:BJ225,61,FALSE)</f>
        <v>0.89295721054077148</v>
      </c>
      <c r="BL50" s="133">
        <f>VLOOKUP(A50,'2022_PAPI_Indicators'!A45:BK225,62,FALSE)</f>
        <v>0.87561458349227905</v>
      </c>
      <c r="BM50" s="133">
        <f>VLOOKUP(A50,'2022_PAPI_Indicators'!A45:BL225,63,FALSE)</f>
        <v>0.89518225193023682</v>
      </c>
      <c r="BN50" s="133">
        <f>VLOOKUP(A50,'2022_PAPI_Indicators'!A45:BM225,64,FALSE)</f>
        <v>0.87554365396499634</v>
      </c>
    </row>
    <row r="51" spans="1:66" s="80" customFormat="1" x14ac:dyDescent="0.2">
      <c r="A51" s="77" t="s">
        <v>165</v>
      </c>
      <c r="B51" s="77" t="s">
        <v>166</v>
      </c>
      <c r="C51" s="92" t="s">
        <v>448</v>
      </c>
      <c r="D51" s="131">
        <f>VLOOKUP(A51,'2022_PAPI_Indicators'!A46:B226,2,)</f>
        <v>1.3408194780349731</v>
      </c>
      <c r="E51" s="131">
        <f>VLOOKUP(A51,'2022_PAPI_Indicators'!A46:C226,3,FALSE)</f>
        <v>1.2639744281768799</v>
      </c>
      <c r="F51" s="131">
        <f>VLOOKUP(A51,'2022_PAPI_Indicators'!A46:D226,4,FALSE)</f>
        <v>1.1638511419296265</v>
      </c>
      <c r="G51" s="131">
        <f>VLOOKUP(A51,'2022_PAPI_Indicators'!A46:E226,5,FALSE)</f>
        <v>1.2377914190292358</v>
      </c>
      <c r="H51" s="131">
        <f>VLOOKUP(A51,'2022_PAPI_Indicators'!A46:F226,6,FALSE)</f>
        <v>1.3082391023635864</v>
      </c>
      <c r="I51" s="131">
        <f>VLOOKUP(A51,'2022_PAPI_Indicators'!A46:G226,7,FALSE)</f>
        <v>1.1131665706634521</v>
      </c>
      <c r="J51" s="131">
        <f>VLOOKUP(A51,'2022_PAPI_Indicators'!A46:H226,8,FALSE)</f>
        <v>1.3245363235473633</v>
      </c>
      <c r="K51" s="131">
        <f>VLOOKUP(A51,'2022_PAPI_Indicators'!A46:I226,9,FALSE)</f>
        <v>1.2836722135543823</v>
      </c>
      <c r="L51" s="131">
        <f>VLOOKUP(A51,'2022_PAPI_Indicators'!A46:J226,10,FALSE)</f>
        <v>1.3138316869735718</v>
      </c>
      <c r="M51" s="131">
        <f>VLOOKUP(A51,'2022_PAPI_Indicators'!A46:K226,11,FALSE)</f>
        <v>1.4187250137329102</v>
      </c>
      <c r="N51" s="131">
        <f>VLOOKUP(A51,'2022_PAPI_Indicators'!A46:L226,12,FALSE)</f>
        <v>1.2783207893371582</v>
      </c>
      <c r="O51" s="131">
        <f>VLOOKUP(A51,'2022_PAPI_Indicators'!A46:M226,13,FALSE)</f>
        <v>1.387164831161499</v>
      </c>
      <c r="P51" s="131">
        <f>VLOOKUP(A51,'2022_PAPI_Indicators'!A46:N226,14,FALSE)</f>
        <v>1.2112835645675659</v>
      </c>
      <c r="Q51" s="131">
        <f>VLOOKUP(A51,'2022_PAPI_Indicators'!A46:O226,15,FALSE)</f>
        <v>1.398565411567688</v>
      </c>
      <c r="R51" s="132">
        <f>VLOOKUP(A51,'2022_PAPI_Indicators'!A46:P226,16,FALSE)</f>
        <v>0</v>
      </c>
      <c r="S51" s="131">
        <f>VLOOKUP(A51,'2022_PAPI_Indicators'!A46:R226,17,FALSE)</f>
        <v>1.3106608390808105</v>
      </c>
      <c r="T51" s="131">
        <f>VLOOKUP(A51,'2022_PAPI_Indicators'!A46:S226,18,FALSE)</f>
        <v>1.4231753349304199</v>
      </c>
      <c r="U51" s="132">
        <f>VLOOKUP(A51,'2022_PAPI_Indicators'!A46:T226,19,FALSE)</f>
        <v>0</v>
      </c>
      <c r="V51" s="131">
        <f>VLOOKUP(A51,'2022_PAPI_Indicators'!A46:U226,20,FALSE)</f>
        <v>1.3482546806335449</v>
      </c>
      <c r="W51" s="131">
        <f>VLOOKUP(A51,'2022_PAPI_Indicators'!A46:V226,21,FALSE)</f>
        <v>1.5617548227310181</v>
      </c>
      <c r="X51" s="131">
        <f>VLOOKUP(A51,'2022_PAPI_Indicators'!A46:W226,22,FALSE)</f>
        <v>1.4504557847976685</v>
      </c>
      <c r="Y51" s="131">
        <f>VLOOKUP(A51,'2022_PAPI_Indicators'!A46:X226,23,FALSE)</f>
        <v>1.3483805656433105</v>
      </c>
      <c r="Z51" s="131">
        <f>VLOOKUP(A51,'2022_PAPI_Indicators'!A46:Y226,24,FALSE)</f>
        <v>1.2537689208984375</v>
      </c>
      <c r="AA51" s="131">
        <f>VLOOKUP(A51,'2022_PAPI_Indicators'!A46:Z226,25,FALSE)</f>
        <v>1.2349032163619995</v>
      </c>
      <c r="AB51" s="131">
        <f>VLOOKUP(A51,'2022_PAPI_Indicators'!A46:AA226,26,FALSE)</f>
        <v>1.4134218692779541</v>
      </c>
      <c r="AC51" s="131">
        <f>VLOOKUP(A51,'2022_PAPI_Indicators'!A46:AB226,27,FALSE)</f>
        <v>1.4352660179138184</v>
      </c>
      <c r="AD51" s="131">
        <f>VLOOKUP(A51,'2022_PAPI_Indicators'!A46:AC226,28,FALSE)</f>
        <v>1.3872953653335571</v>
      </c>
      <c r="AE51" s="131">
        <f>VLOOKUP(A51,'2022_PAPI_Indicators'!A46:AD226,29,FALSE)</f>
        <v>1.2827407121658325</v>
      </c>
      <c r="AF51" s="131">
        <f>VLOOKUP(A51,'2022_PAPI_Indicators'!A46:AE226,30,FALSE)</f>
        <v>1.3533414602279663</v>
      </c>
      <c r="AG51" s="131">
        <f>VLOOKUP(A51,'2022_PAPI_Indicators'!A46:AF226,31,FALSE)</f>
        <v>1.3720402717590332</v>
      </c>
      <c r="AH51" s="131">
        <f>VLOOKUP(A51,'2022_PAPI_Indicators'!A46:AG226,32,FALSE)</f>
        <v>1.3740181922912598</v>
      </c>
      <c r="AI51" s="131">
        <f>VLOOKUP(A51,'2022_PAPI_Indicators'!A46:AH226,33,FALSE)</f>
        <v>1.3793917894363403</v>
      </c>
      <c r="AJ51" s="131">
        <f>VLOOKUP(A51,'2022_PAPI_Indicators'!A46:AI226,34,FALSE)</f>
        <v>1.3803600072860718</v>
      </c>
      <c r="AK51" s="131">
        <f>VLOOKUP(A51,'2022_PAPI_Indicators'!A46:AJ226,35,FALSE)</f>
        <v>1.3233911991119385</v>
      </c>
      <c r="AL51" s="131">
        <f>VLOOKUP(A51,'2022_PAPI_Indicators'!A46:AK226,36,FALSE)</f>
        <v>1.3406842947006226</v>
      </c>
      <c r="AM51" s="131">
        <f>VLOOKUP(A51,'2022_PAPI_Indicators'!A46:AL226,37,FALSE)</f>
        <v>1.2263654470443726</v>
      </c>
      <c r="AN51" s="131">
        <f>VLOOKUP(A51,'2022_PAPI_Indicators'!A46:AM226,38,FALSE)</f>
        <v>1.4206914901733398</v>
      </c>
      <c r="AO51" s="131">
        <f>VLOOKUP(A51,'2022_PAPI_Indicators'!A46:AN226,39,FALSE)</f>
        <v>1.4390386343002319</v>
      </c>
      <c r="AP51" s="131">
        <f>VLOOKUP(A51,'2022_PAPI_Indicators'!A46:AO226,40,FALSE)</f>
        <v>1.481670618057251</v>
      </c>
      <c r="AQ51" s="131">
        <f>VLOOKUP(A51,'2022_PAPI_Indicators'!A46:AP226,41,FALSE)</f>
        <v>1.1262835264205933</v>
      </c>
      <c r="AR51" s="131">
        <f>VLOOKUP(A51,'2022_PAPI_Indicators'!A46:AQ226,42,FALSE)</f>
        <v>1.2710878849029541</v>
      </c>
      <c r="AS51" s="131">
        <f>VLOOKUP(A51,'2022_PAPI_Indicators'!A46:AR226,43,FALSE)</f>
        <v>1.2410820722579956</v>
      </c>
      <c r="AT51" s="131">
        <f>VLOOKUP(A51,'2022_PAPI_Indicators'!A46:AS226,44,FALSE)</f>
        <v>1.230866551399231</v>
      </c>
      <c r="AU51" s="131">
        <f>VLOOKUP(A51,'2022_PAPI_Indicators'!A46:AT226,45,FALSE)</f>
        <v>1.1451849937438965</v>
      </c>
      <c r="AV51" s="131">
        <f>VLOOKUP(A51,'2022_PAPI_Indicators'!A46:AU226,46,FALSE)</f>
        <v>1.2125728130340576</v>
      </c>
      <c r="AW51" s="131">
        <f>VLOOKUP(A51,'2022_PAPI_Indicators'!A46:AV226,47,FALSE)</f>
        <v>1.1621215343475342</v>
      </c>
      <c r="AX51" s="131">
        <f>VLOOKUP(A51,'2022_PAPI_Indicators'!A46:AW226,48,FALSE)</f>
        <v>1.5743919610977173</v>
      </c>
      <c r="AY51" s="131">
        <f>VLOOKUP(A51,'2022_PAPI_Indicators'!A46:AX226,49,FALSE)</f>
        <v>1.2622513771057129</v>
      </c>
      <c r="AZ51" s="131">
        <f>VLOOKUP(A51,'2022_PAPI_Indicators'!A46:AY226,50,FALSE)</f>
        <v>1.2689719200134277</v>
      </c>
      <c r="BA51" s="131">
        <f>VLOOKUP(A51,'2022_PAPI_Indicators'!A46:AZ226,51,FALSE)</f>
        <v>1.2721726894378662</v>
      </c>
      <c r="BB51" s="131">
        <f>VLOOKUP(A51,'2022_PAPI_Indicators'!A46:BA226,52,FALSE)</f>
        <v>1.2857365608215332</v>
      </c>
      <c r="BC51" s="131">
        <f>VLOOKUP(A51,'2022_PAPI_Indicators'!A46:BB226,53,FALSE)</f>
        <v>1.2164220809936523</v>
      </c>
      <c r="BD51" s="131">
        <f>VLOOKUP(A51,'2022_PAPI_Indicators'!A46:BC226,54,FALSE)</f>
        <v>1.1688446998596191</v>
      </c>
      <c r="BE51" s="131">
        <f>VLOOKUP(A51,'2022_PAPI_Indicators'!A46:BD226,55,FALSE)</f>
        <v>1.2869025468826294</v>
      </c>
      <c r="BF51" s="131">
        <f>VLOOKUP(A51,'2022_PAPI_Indicators'!A46:BE226,56,FALSE)</f>
        <v>1.3593324422836304</v>
      </c>
      <c r="BG51" s="131">
        <f>VLOOKUP(A51,'2022_PAPI_Indicators'!A46:BF226,57,FALSE)</f>
        <v>1.3153939247131348</v>
      </c>
      <c r="BH51" s="131">
        <f>VLOOKUP(A51,'2022_PAPI_Indicators'!A46:BG226,58,FALSE)</f>
        <v>1.2488902807235718</v>
      </c>
      <c r="BI51" s="131">
        <f>VLOOKUP(A51,'2022_PAPI_Indicators'!A46:BH226,59,FALSE)</f>
        <v>1.331081748008728</v>
      </c>
      <c r="BJ51" s="131">
        <f>VLOOKUP(A51,'2022_PAPI_Indicators'!A46:BI226,60,FALSE)</f>
        <v>1.3288084268569946</v>
      </c>
      <c r="BK51" s="131">
        <f>VLOOKUP(A51,'2022_PAPI_Indicators'!A46:BJ226,61,FALSE)</f>
        <v>1.2721989154815674</v>
      </c>
      <c r="BL51" s="131">
        <f>VLOOKUP(A51,'2022_PAPI_Indicators'!A46:BK226,62,FALSE)</f>
        <v>1.3728290796279907</v>
      </c>
      <c r="BM51" s="131">
        <f>VLOOKUP(A51,'2022_PAPI_Indicators'!A46:BL226,63,FALSE)</f>
        <v>1.5337522029876709</v>
      </c>
      <c r="BN51" s="131">
        <f>VLOOKUP(A51,'2022_PAPI_Indicators'!A46:BM226,64,FALSE)</f>
        <v>1.3612214326858521</v>
      </c>
    </row>
    <row r="52" spans="1:66" x14ac:dyDescent="0.2">
      <c r="A52" s="70" t="s">
        <v>167</v>
      </c>
      <c r="B52" s="70" t="s">
        <v>168</v>
      </c>
      <c r="C52" s="89" t="s">
        <v>90</v>
      </c>
      <c r="D52" s="133">
        <f>VLOOKUP(A52,'2022_PAPI_Indicators'!A47:B227,2,)</f>
        <v>0.12767679989337921</v>
      </c>
      <c r="E52" s="133">
        <f>VLOOKUP(A52,'2022_PAPI_Indicators'!A47:C227,3,FALSE)</f>
        <v>0.14862194657325745</v>
      </c>
      <c r="F52" s="133">
        <f>VLOOKUP(A52,'2022_PAPI_Indicators'!A47:D227,4,FALSE)</f>
        <v>0.15034620463848114</v>
      </c>
      <c r="G52" s="133">
        <f>VLOOKUP(A52,'2022_PAPI_Indicators'!A47:E227,5,FALSE)</f>
        <v>0.17603114247322083</v>
      </c>
      <c r="H52" s="133">
        <f>VLOOKUP(A52,'2022_PAPI_Indicators'!A47:F227,6,FALSE)</f>
        <v>0.1358637660741806</v>
      </c>
      <c r="I52" s="133">
        <f>VLOOKUP(A52,'2022_PAPI_Indicators'!A47:G227,7,FALSE)</f>
        <v>0.12156722694635391</v>
      </c>
      <c r="J52" s="133">
        <f>VLOOKUP(A52,'2022_PAPI_Indicators'!A47:H227,8,FALSE)</f>
        <v>0.17168755829334259</v>
      </c>
      <c r="K52" s="133">
        <f>VLOOKUP(A52,'2022_PAPI_Indicators'!A47:I227,9,FALSE)</f>
        <v>0.10840778052806854</v>
      </c>
      <c r="L52" s="133">
        <f>VLOOKUP(A52,'2022_PAPI_Indicators'!A47:J227,10,FALSE)</f>
        <v>0.16510215401649475</v>
      </c>
      <c r="M52" s="133">
        <f>VLOOKUP(A52,'2022_PAPI_Indicators'!A47:K227,11,FALSE)</f>
        <v>9.4934865832328796E-2</v>
      </c>
      <c r="N52" s="133">
        <f>VLOOKUP(A52,'2022_PAPI_Indicators'!A47:L227,12,FALSE)</f>
        <v>0.12947554886341095</v>
      </c>
      <c r="O52" s="133">
        <f>VLOOKUP(A52,'2022_PAPI_Indicators'!A47:M227,13,FALSE)</f>
        <v>0.24001649022102356</v>
      </c>
      <c r="P52" s="133">
        <f>VLOOKUP(A52,'2022_PAPI_Indicators'!A47:N227,14,FALSE)</f>
        <v>0.17802950739860535</v>
      </c>
      <c r="Q52" s="133">
        <f>VLOOKUP(A52,'2022_PAPI_Indicators'!A47:O227,15,FALSE)</f>
        <v>0.20480027794837952</v>
      </c>
      <c r="R52" s="135">
        <f>VLOOKUP(A52,'2022_PAPI_Indicators'!A47:P227,16,FALSE)</f>
        <v>0</v>
      </c>
      <c r="S52" s="133">
        <f>VLOOKUP(A52,'2022_PAPI_Indicators'!A47:R227,17,FALSE)</f>
        <v>0.10813788324594498</v>
      </c>
      <c r="T52" s="133">
        <f>VLOOKUP(A52,'2022_PAPI_Indicators'!A47:S227,18,FALSE)</f>
        <v>0.13835150003433228</v>
      </c>
      <c r="U52" s="135">
        <f>VLOOKUP(A52,'2022_PAPI_Indicators'!A47:T227,19,FALSE)</f>
        <v>0</v>
      </c>
      <c r="V52" s="133">
        <f>VLOOKUP(A52,'2022_PAPI_Indicators'!A47:U227,20,FALSE)</f>
        <v>0.1576247364282608</v>
      </c>
      <c r="W52" s="133">
        <f>VLOOKUP(A52,'2022_PAPI_Indicators'!A47:V227,21,FALSE)</f>
        <v>0.13996782898902893</v>
      </c>
      <c r="X52" s="133">
        <f>VLOOKUP(A52,'2022_PAPI_Indicators'!A47:W227,22,FALSE)</f>
        <v>9.0122893452644348E-2</v>
      </c>
      <c r="Y52" s="133">
        <f>VLOOKUP(A52,'2022_PAPI_Indicators'!A47:X227,23,FALSE)</f>
        <v>0.13587859272956848</v>
      </c>
      <c r="Z52" s="133">
        <f>VLOOKUP(A52,'2022_PAPI_Indicators'!A47:Y227,24,FALSE)</f>
        <v>0.1478692889213562</v>
      </c>
      <c r="AA52" s="133">
        <f>VLOOKUP(A52,'2022_PAPI_Indicators'!A47:Z227,25,FALSE)</f>
        <v>0.178021639585495</v>
      </c>
      <c r="AB52" s="133">
        <f>VLOOKUP(A52,'2022_PAPI_Indicators'!A47:AA227,26,FALSE)</f>
        <v>9.7029343247413635E-2</v>
      </c>
      <c r="AC52" s="133">
        <f>VLOOKUP(A52,'2022_PAPI_Indicators'!A47:AB227,27,FALSE)</f>
        <v>0.14103859663009644</v>
      </c>
      <c r="AD52" s="133">
        <f>VLOOKUP(A52,'2022_PAPI_Indicators'!A47:AC227,28,FALSE)</f>
        <v>0.10892064869403839</v>
      </c>
      <c r="AE52" s="133">
        <f>VLOOKUP(A52,'2022_PAPI_Indicators'!A47:AD227,29,FALSE)</f>
        <v>0.14325357973575592</v>
      </c>
      <c r="AF52" s="133">
        <f>VLOOKUP(A52,'2022_PAPI_Indicators'!A47:AE227,30,FALSE)</f>
        <v>0.24595543742179871</v>
      </c>
      <c r="AG52" s="133">
        <f>VLOOKUP(A52,'2022_PAPI_Indicators'!A47:AF227,31,FALSE)</f>
        <v>0.19801110029220581</v>
      </c>
      <c r="AH52" s="133">
        <f>VLOOKUP(A52,'2022_PAPI_Indicators'!A47:AG227,32,FALSE)</f>
        <v>0.28759083151817322</v>
      </c>
      <c r="AI52" s="133">
        <f>VLOOKUP(A52,'2022_PAPI_Indicators'!A47:AH227,33,FALSE)</f>
        <v>9.00997593998909E-2</v>
      </c>
      <c r="AJ52" s="133">
        <f>VLOOKUP(A52,'2022_PAPI_Indicators'!A47:AI227,34,FALSE)</f>
        <v>0.16643665730953217</v>
      </c>
      <c r="AK52" s="133">
        <f>VLOOKUP(A52,'2022_PAPI_Indicators'!A47:AJ227,35,FALSE)</f>
        <v>0.15281330049037933</v>
      </c>
      <c r="AL52" s="133">
        <f>VLOOKUP(A52,'2022_PAPI_Indicators'!A47:AK227,36,FALSE)</f>
        <v>0.15729720890522003</v>
      </c>
      <c r="AM52" s="133">
        <f>VLOOKUP(A52,'2022_PAPI_Indicators'!A47:AL227,37,FALSE)</f>
        <v>0.15073585510253906</v>
      </c>
      <c r="AN52" s="133">
        <f>VLOOKUP(A52,'2022_PAPI_Indicators'!A47:AM227,38,FALSE)</f>
        <v>0.25915011763572693</v>
      </c>
      <c r="AO52" s="133">
        <f>VLOOKUP(A52,'2022_PAPI_Indicators'!A47:AN227,39,FALSE)</f>
        <v>0.28433665633201599</v>
      </c>
      <c r="AP52" s="133">
        <f>VLOOKUP(A52,'2022_PAPI_Indicators'!A47:AO227,40,FALSE)</f>
        <v>0.19021843373775482</v>
      </c>
      <c r="AQ52" s="133">
        <f>VLOOKUP(A52,'2022_PAPI_Indicators'!A47:AP227,41,FALSE)</f>
        <v>0.10677880048751831</v>
      </c>
      <c r="AR52" s="133">
        <f>VLOOKUP(A52,'2022_PAPI_Indicators'!A47:AQ227,42,FALSE)</f>
        <v>0.20304067432880402</v>
      </c>
      <c r="AS52" s="133">
        <f>VLOOKUP(A52,'2022_PAPI_Indicators'!A47:AR227,43,FALSE)</f>
        <v>0.12096952646970749</v>
      </c>
      <c r="AT52" s="133">
        <f>VLOOKUP(A52,'2022_PAPI_Indicators'!A47:AS227,44,FALSE)</f>
        <v>0.13303367793560028</v>
      </c>
      <c r="AU52" s="133">
        <f>VLOOKUP(A52,'2022_PAPI_Indicators'!A47:AT227,45,FALSE)</f>
        <v>0.14449414610862732</v>
      </c>
      <c r="AV52" s="133">
        <f>VLOOKUP(A52,'2022_PAPI_Indicators'!A47:AU227,46,FALSE)</f>
        <v>0.15665023028850555</v>
      </c>
      <c r="AW52" s="133">
        <f>VLOOKUP(A52,'2022_PAPI_Indicators'!A47:AV227,47,FALSE)</f>
        <v>0.13946926593780518</v>
      </c>
      <c r="AX52" s="133">
        <f>VLOOKUP(A52,'2022_PAPI_Indicators'!A47:AW227,48,FALSE)</f>
        <v>0.33854654431343079</v>
      </c>
      <c r="AY52" s="133">
        <f>VLOOKUP(A52,'2022_PAPI_Indicators'!A47:AX227,49,FALSE)</f>
        <v>0.19925703108310699</v>
      </c>
      <c r="AZ52" s="133">
        <f>VLOOKUP(A52,'2022_PAPI_Indicators'!A47:AY227,50,FALSE)</f>
        <v>0.13885729014873505</v>
      </c>
      <c r="BA52" s="133">
        <f>VLOOKUP(A52,'2022_PAPI_Indicators'!A47:AZ227,51,FALSE)</f>
        <v>6.9823935627937317E-2</v>
      </c>
      <c r="BB52" s="133">
        <f>VLOOKUP(A52,'2022_PAPI_Indicators'!A47:BA227,52,FALSE)</f>
        <v>0.19173304736614227</v>
      </c>
      <c r="BC52" s="133">
        <f>VLOOKUP(A52,'2022_PAPI_Indicators'!A47:BB227,53,FALSE)</f>
        <v>0.1171041801571846</v>
      </c>
      <c r="BD52" s="133">
        <f>VLOOKUP(A52,'2022_PAPI_Indicators'!A47:BC227,54,FALSE)</f>
        <v>0.11651363223791122</v>
      </c>
      <c r="BE52" s="133">
        <f>VLOOKUP(A52,'2022_PAPI_Indicators'!A47:BD227,55,FALSE)</f>
        <v>0.15818989276885986</v>
      </c>
      <c r="BF52" s="133">
        <f>VLOOKUP(A52,'2022_PAPI_Indicators'!A47:BE227,56,FALSE)</f>
        <v>0.17725008726119995</v>
      </c>
      <c r="BG52" s="133">
        <f>VLOOKUP(A52,'2022_PAPI_Indicators'!A47:BF227,57,FALSE)</f>
        <v>9.7145386040210724E-2</v>
      </c>
      <c r="BH52" s="133">
        <f>VLOOKUP(A52,'2022_PAPI_Indicators'!A47:BG227,58,FALSE)</f>
        <v>9.9008999764919281E-2</v>
      </c>
      <c r="BI52" s="133">
        <f>VLOOKUP(A52,'2022_PAPI_Indicators'!A47:BH227,59,FALSE)</f>
        <v>8.182099461555481E-2</v>
      </c>
      <c r="BJ52" s="133">
        <f>VLOOKUP(A52,'2022_PAPI_Indicators'!A47:BI227,60,FALSE)</f>
        <v>0.13372322916984558</v>
      </c>
      <c r="BK52" s="133">
        <f>VLOOKUP(A52,'2022_PAPI_Indicators'!A47:BJ227,61,FALSE)</f>
        <v>0.24356892704963684</v>
      </c>
      <c r="BL52" s="133">
        <f>VLOOKUP(A52,'2022_PAPI_Indicators'!A47:BK227,62,FALSE)</f>
        <v>8.5161842405796051E-2</v>
      </c>
      <c r="BM52" s="133">
        <f>VLOOKUP(A52,'2022_PAPI_Indicators'!A47:BL227,63,FALSE)</f>
        <v>0.23966673016548157</v>
      </c>
      <c r="BN52" s="133">
        <f>VLOOKUP(A52,'2022_PAPI_Indicators'!A47:BM227,64,FALSE)</f>
        <v>0.136849045753479</v>
      </c>
    </row>
    <row r="53" spans="1:66" x14ac:dyDescent="0.2">
      <c r="A53" s="70" t="s">
        <v>169</v>
      </c>
      <c r="B53" s="70" t="s">
        <v>170</v>
      </c>
      <c r="C53" s="89" t="s">
        <v>90</v>
      </c>
      <c r="D53" s="133">
        <f>VLOOKUP(A53,'2022_PAPI_Indicators'!A48:B228,2,)</f>
        <v>2.8265563771128654E-2</v>
      </c>
      <c r="E53" s="133">
        <f>VLOOKUP(A53,'2022_PAPI_Indicators'!A48:C228,3,FALSE)</f>
        <v>6.1942566186189651E-2</v>
      </c>
      <c r="F53" s="133">
        <f>VLOOKUP(A53,'2022_PAPI_Indicators'!A48:D228,4,FALSE)</f>
        <v>7.2208695113658905E-2</v>
      </c>
      <c r="G53" s="133">
        <f>VLOOKUP(A53,'2022_PAPI_Indicators'!A48:E228,5,FALSE)</f>
        <v>3.9523068815469742E-2</v>
      </c>
      <c r="H53" s="133">
        <f>VLOOKUP(A53,'2022_PAPI_Indicators'!A48:F228,6,FALSE)</f>
        <v>2.5852685794234276E-2</v>
      </c>
      <c r="I53" s="133">
        <f>VLOOKUP(A53,'2022_PAPI_Indicators'!A48:G228,7,FALSE)</f>
        <v>4.8171155154705048E-2</v>
      </c>
      <c r="J53" s="133">
        <f>VLOOKUP(A53,'2022_PAPI_Indicators'!A48:H228,8,FALSE)</f>
        <v>6.9911181926727295E-2</v>
      </c>
      <c r="K53" s="133">
        <f>VLOOKUP(A53,'2022_PAPI_Indicators'!A48:I228,9,FALSE)</f>
        <v>3.2760865986347198E-2</v>
      </c>
      <c r="L53" s="133">
        <f>VLOOKUP(A53,'2022_PAPI_Indicators'!A48:J228,10,FALSE)</f>
        <v>4.6181894838809967E-2</v>
      </c>
      <c r="M53" s="133">
        <f>VLOOKUP(A53,'2022_PAPI_Indicators'!A48:K228,11,FALSE)</f>
        <v>3.4061465412378311E-2</v>
      </c>
      <c r="N53" s="133">
        <f>VLOOKUP(A53,'2022_PAPI_Indicators'!A48:L228,12,FALSE)</f>
        <v>3.0578669160604477E-2</v>
      </c>
      <c r="O53" s="133">
        <f>VLOOKUP(A53,'2022_PAPI_Indicators'!A48:M228,13,FALSE)</f>
        <v>6.2137555330991745E-2</v>
      </c>
      <c r="P53" s="133">
        <f>VLOOKUP(A53,'2022_PAPI_Indicators'!A48:N228,14,FALSE)</f>
        <v>6.865449994802475E-2</v>
      </c>
      <c r="Q53" s="133">
        <f>VLOOKUP(A53,'2022_PAPI_Indicators'!A48:O228,15,FALSE)</f>
        <v>4.0627662092447281E-2</v>
      </c>
      <c r="R53" s="135">
        <f>VLOOKUP(A53,'2022_PAPI_Indicators'!A48:P228,16,FALSE)</f>
        <v>0</v>
      </c>
      <c r="S53" s="133">
        <f>VLOOKUP(A53,'2022_PAPI_Indicators'!A48:R228,17,FALSE)</f>
        <v>2.8775770217180252E-2</v>
      </c>
      <c r="T53" s="133">
        <f>VLOOKUP(A53,'2022_PAPI_Indicators'!A48:S228,18,FALSE)</f>
        <v>2.9899448156356812E-2</v>
      </c>
      <c r="U53" s="135">
        <f>VLOOKUP(A53,'2022_PAPI_Indicators'!A48:T228,19,FALSE)</f>
        <v>0</v>
      </c>
      <c r="V53" s="133">
        <f>VLOOKUP(A53,'2022_PAPI_Indicators'!A48:U228,20,FALSE)</f>
        <v>4.4156212359666824E-2</v>
      </c>
      <c r="W53" s="133">
        <f>VLOOKUP(A53,'2022_PAPI_Indicators'!A48:V228,21,FALSE)</f>
        <v>3.6530647426843643E-2</v>
      </c>
      <c r="X53" s="133">
        <f>VLOOKUP(A53,'2022_PAPI_Indicators'!A48:W228,22,FALSE)</f>
        <v>3.2010979950428009E-2</v>
      </c>
      <c r="Y53" s="133">
        <f>VLOOKUP(A53,'2022_PAPI_Indicators'!A48:X228,23,FALSE)</f>
        <v>2.5354361161589622E-2</v>
      </c>
      <c r="Z53" s="133">
        <f>VLOOKUP(A53,'2022_PAPI_Indicators'!A48:Y228,24,FALSE)</f>
        <v>4.3743409216403961E-2</v>
      </c>
      <c r="AA53" s="133">
        <f>VLOOKUP(A53,'2022_PAPI_Indicators'!A48:Z228,25,FALSE)</f>
        <v>3.9617788046598434E-2</v>
      </c>
      <c r="AB53" s="133">
        <f>VLOOKUP(A53,'2022_PAPI_Indicators'!A48:AA228,26,FALSE)</f>
        <v>1.6718115657567978E-2</v>
      </c>
      <c r="AC53" s="133">
        <f>VLOOKUP(A53,'2022_PAPI_Indicators'!A48:AB228,27,FALSE)</f>
        <v>2.7021238580346107E-2</v>
      </c>
      <c r="AD53" s="133">
        <f>VLOOKUP(A53,'2022_PAPI_Indicators'!A48:AC228,28,FALSE)</f>
        <v>4.7700077295303345E-2</v>
      </c>
      <c r="AE53" s="133">
        <f>VLOOKUP(A53,'2022_PAPI_Indicators'!A48:AD228,29,FALSE)</f>
        <v>9.794820100069046E-2</v>
      </c>
      <c r="AF53" s="133">
        <f>VLOOKUP(A53,'2022_PAPI_Indicators'!A48:AE228,30,FALSE)</f>
        <v>0.12359029054641724</v>
      </c>
      <c r="AG53" s="133">
        <f>VLOOKUP(A53,'2022_PAPI_Indicators'!A48:AF228,31,FALSE)</f>
        <v>8.4019787609577179E-2</v>
      </c>
      <c r="AH53" s="133">
        <f>VLOOKUP(A53,'2022_PAPI_Indicators'!A48:AG228,32,FALSE)</f>
        <v>0.1235625296831131</v>
      </c>
      <c r="AI53" s="133">
        <f>VLOOKUP(A53,'2022_PAPI_Indicators'!A48:AH228,33,FALSE)</f>
        <v>1.8545137718319893E-2</v>
      </c>
      <c r="AJ53" s="133">
        <f>VLOOKUP(A53,'2022_PAPI_Indicators'!A48:AI228,34,FALSE)</f>
        <v>3.669464960694313E-2</v>
      </c>
      <c r="AK53" s="133">
        <f>VLOOKUP(A53,'2022_PAPI_Indicators'!A48:AJ228,35,FALSE)</f>
        <v>5.5889099836349487E-2</v>
      </c>
      <c r="AL53" s="133">
        <f>VLOOKUP(A53,'2022_PAPI_Indicators'!A48:AK228,36,FALSE)</f>
        <v>2.9052110388875008E-2</v>
      </c>
      <c r="AM53" s="133">
        <f>VLOOKUP(A53,'2022_PAPI_Indicators'!A48:AL228,37,FALSE)</f>
        <v>6.4949676394462585E-2</v>
      </c>
      <c r="AN53" s="133">
        <f>VLOOKUP(A53,'2022_PAPI_Indicators'!A48:AM228,38,FALSE)</f>
        <v>3.125E-2</v>
      </c>
      <c r="AO53" s="133">
        <f>VLOOKUP(A53,'2022_PAPI_Indicators'!A48:AN228,39,FALSE)</f>
        <v>8.5354775190353394E-2</v>
      </c>
      <c r="AP53" s="133">
        <f>VLOOKUP(A53,'2022_PAPI_Indicators'!A48:AO228,40,FALSE)</f>
        <v>6.9746978580951691E-2</v>
      </c>
      <c r="AQ53" s="133">
        <f>VLOOKUP(A53,'2022_PAPI_Indicators'!A48:AP228,41,FALSE)</f>
        <v>1.7966359853744507E-2</v>
      </c>
      <c r="AR53" s="133">
        <f>VLOOKUP(A53,'2022_PAPI_Indicators'!A48:AQ228,42,FALSE)</f>
        <v>2.8378427028656006E-2</v>
      </c>
      <c r="AS53" s="133">
        <f>VLOOKUP(A53,'2022_PAPI_Indicators'!A48:AR228,43,FALSE)</f>
        <v>4.0832903236150742E-2</v>
      </c>
      <c r="AT53" s="133">
        <f>VLOOKUP(A53,'2022_PAPI_Indicators'!A48:AS228,44,FALSE)</f>
        <v>3.8703449070453644E-2</v>
      </c>
      <c r="AU53" s="133">
        <f>VLOOKUP(A53,'2022_PAPI_Indicators'!A48:AT228,45,FALSE)</f>
        <v>5.0654880702495575E-2</v>
      </c>
      <c r="AV53" s="133">
        <f>VLOOKUP(A53,'2022_PAPI_Indicators'!A48:AU228,46,FALSE)</f>
        <v>2.5320179760456085E-2</v>
      </c>
      <c r="AW53" s="133">
        <f>VLOOKUP(A53,'2022_PAPI_Indicators'!A48:AV228,47,FALSE)</f>
        <v>4.648975282907486E-2</v>
      </c>
      <c r="AX53" s="133">
        <f>VLOOKUP(A53,'2022_PAPI_Indicators'!A48:AW228,48,FALSE)</f>
        <v>0.12289242446422577</v>
      </c>
      <c r="AY53" s="133">
        <f>VLOOKUP(A53,'2022_PAPI_Indicators'!A48:AX228,49,FALSE)</f>
        <v>4.2202472686767578E-2</v>
      </c>
      <c r="AZ53" s="133">
        <f>VLOOKUP(A53,'2022_PAPI_Indicators'!A48:AY228,50,FALSE)</f>
        <v>3.1425110995769501E-2</v>
      </c>
      <c r="BA53" s="133">
        <f>VLOOKUP(A53,'2022_PAPI_Indicators'!A48:AZ228,51,FALSE)</f>
        <v>1.7539294436573982E-2</v>
      </c>
      <c r="BB53" s="133">
        <f>VLOOKUP(A53,'2022_PAPI_Indicators'!A48:BA228,52,FALSE)</f>
        <v>3.9651274681091309E-2</v>
      </c>
      <c r="BC53" s="133">
        <f>VLOOKUP(A53,'2022_PAPI_Indicators'!A48:BB228,53,FALSE)</f>
        <v>3.2930970191955566E-2</v>
      </c>
      <c r="BD53" s="133">
        <f>VLOOKUP(A53,'2022_PAPI_Indicators'!A48:BC228,54,FALSE)</f>
        <v>1.558790635317564E-2</v>
      </c>
      <c r="BE53" s="133">
        <f>VLOOKUP(A53,'2022_PAPI_Indicators'!A48:BD228,55,FALSE)</f>
        <v>4.7178257256746292E-2</v>
      </c>
      <c r="BF53" s="133">
        <f>VLOOKUP(A53,'2022_PAPI_Indicators'!A48:BE228,56,FALSE)</f>
        <v>4.8130292445421219E-2</v>
      </c>
      <c r="BG53" s="133">
        <f>VLOOKUP(A53,'2022_PAPI_Indicators'!A48:BF228,57,FALSE)</f>
        <v>1.7322693020105362E-2</v>
      </c>
      <c r="BH53" s="133">
        <f>VLOOKUP(A53,'2022_PAPI_Indicators'!A48:BG228,58,FALSE)</f>
        <v>1.7822401598095894E-2</v>
      </c>
      <c r="BI53" s="133">
        <f>VLOOKUP(A53,'2022_PAPI_Indicators'!A48:BH228,59,FALSE)</f>
        <v>3.6902695894241333E-2</v>
      </c>
      <c r="BJ53" s="133">
        <f>VLOOKUP(A53,'2022_PAPI_Indicators'!A48:BI228,60,FALSE)</f>
        <v>3.9426069706678391E-2</v>
      </c>
      <c r="BK53" s="133">
        <f>VLOOKUP(A53,'2022_PAPI_Indicators'!A48:BJ228,61,FALSE)</f>
        <v>0.11173553019762039</v>
      </c>
      <c r="BL53" s="133">
        <f>VLOOKUP(A53,'2022_PAPI_Indicators'!A48:BK228,62,FALSE)</f>
        <v>3.0797991901636124E-2</v>
      </c>
      <c r="BM53" s="133">
        <f>VLOOKUP(A53,'2022_PAPI_Indicators'!A48:BL228,63,FALSE)</f>
        <v>4.8908647149801254E-2</v>
      </c>
      <c r="BN53" s="133">
        <f>VLOOKUP(A53,'2022_PAPI_Indicators'!A48:BM228,64,FALSE)</f>
        <v>4.8622883856296539E-2</v>
      </c>
    </row>
    <row r="54" spans="1:66" x14ac:dyDescent="0.2">
      <c r="A54" s="70" t="s">
        <v>171</v>
      </c>
      <c r="B54" s="70" t="s">
        <v>172</v>
      </c>
      <c r="C54" s="89" t="s">
        <v>90</v>
      </c>
      <c r="D54" s="133">
        <f>VLOOKUP(A54,'2022_PAPI_Indicators'!A49:B229,2,)</f>
        <v>0.79274260997772217</v>
      </c>
      <c r="E54" s="133">
        <f>VLOOKUP(A54,'2022_PAPI_Indicators'!A49:C229,3,FALSE)</f>
        <v>0.75635236501693726</v>
      </c>
      <c r="F54" s="133">
        <f>VLOOKUP(A54,'2022_PAPI_Indicators'!A49:D229,4,FALSE)</f>
        <v>0.89801186323165894</v>
      </c>
      <c r="G54" s="133">
        <f>VLOOKUP(A54,'2022_PAPI_Indicators'!A49:E229,5,FALSE)</f>
        <v>0.81826460361480713</v>
      </c>
      <c r="H54" s="133">
        <f>VLOOKUP(A54,'2022_PAPI_Indicators'!A49:F229,6,FALSE)</f>
        <v>1</v>
      </c>
      <c r="I54" s="133">
        <f>VLOOKUP(A54,'2022_PAPI_Indicators'!A49:G229,7,FALSE)</f>
        <v>0.57512575387954712</v>
      </c>
      <c r="J54" s="133">
        <f>VLOOKUP(A54,'2022_PAPI_Indicators'!A49:H229,8,FALSE)</f>
        <v>0.89399147033691406</v>
      </c>
      <c r="K54" s="133">
        <f>VLOOKUP(A54,'2022_PAPI_Indicators'!A49:I229,9,FALSE)</f>
        <v>0.98487204313278198</v>
      </c>
      <c r="L54" s="133">
        <f>VLOOKUP(A54,'2022_PAPI_Indicators'!A49:J229,10,FALSE)</f>
        <v>0.83833605051040649</v>
      </c>
      <c r="M54" s="133">
        <f>VLOOKUP(A54,'2022_PAPI_Indicators'!A49:K229,11,FALSE)</f>
        <v>0.97026932239532471</v>
      </c>
      <c r="N54" s="133">
        <f>VLOOKUP(A54,'2022_PAPI_Indicators'!A49:L229,12,FALSE)</f>
        <v>1</v>
      </c>
      <c r="O54" s="133">
        <f>VLOOKUP(A54,'2022_PAPI_Indicators'!A49:M229,13,FALSE)</f>
        <v>0.92752838134765625</v>
      </c>
      <c r="P54" s="133">
        <f>VLOOKUP(A54,'2022_PAPI_Indicators'!A49:N229,14,FALSE)</f>
        <v>0.96780019998550415</v>
      </c>
      <c r="Q54" s="133">
        <f>VLOOKUP(A54,'2022_PAPI_Indicators'!A49:O229,15,FALSE)</f>
        <v>0.68181443214416504</v>
      </c>
      <c r="R54" s="135">
        <f>VLOOKUP(A54,'2022_PAPI_Indicators'!A49:P229,16,FALSE)</f>
        <v>0</v>
      </c>
      <c r="S54" s="133">
        <f>VLOOKUP(A54,'2022_PAPI_Indicators'!A49:R229,17,FALSE)</f>
        <v>1</v>
      </c>
      <c r="T54" s="133">
        <f>VLOOKUP(A54,'2022_PAPI_Indicators'!A49:S229,18,FALSE)</f>
        <v>0.97271686792373657</v>
      </c>
      <c r="U54" s="135">
        <f>VLOOKUP(A54,'2022_PAPI_Indicators'!A49:T229,19,FALSE)</f>
        <v>0</v>
      </c>
      <c r="V54" s="133">
        <f>VLOOKUP(A54,'2022_PAPI_Indicators'!A49:U229,20,FALSE)</f>
        <v>1</v>
      </c>
      <c r="W54" s="133">
        <f>VLOOKUP(A54,'2022_PAPI_Indicators'!A49:V229,21,FALSE)</f>
        <v>1</v>
      </c>
      <c r="X54" s="133">
        <f>VLOOKUP(A54,'2022_PAPI_Indicators'!A49:W229,22,FALSE)</f>
        <v>1</v>
      </c>
      <c r="Y54" s="133">
        <f>VLOOKUP(A54,'2022_PAPI_Indicators'!A49:X229,23,FALSE)</f>
        <v>0.92879778146743774</v>
      </c>
      <c r="Z54" s="133">
        <f>VLOOKUP(A54,'2022_PAPI_Indicators'!A49:Y229,24,FALSE)</f>
        <v>0.84509468078613281</v>
      </c>
      <c r="AA54" s="133">
        <f>VLOOKUP(A54,'2022_PAPI_Indicators'!A49:Z229,25,FALSE)</f>
        <v>0.45045796036720276</v>
      </c>
      <c r="AB54" s="133">
        <f>VLOOKUP(A54,'2022_PAPI_Indicators'!A49:AA229,26,FALSE)</f>
        <v>1</v>
      </c>
      <c r="AC54" s="133">
        <f>VLOOKUP(A54,'2022_PAPI_Indicators'!A49:AB229,27,FALSE)</f>
        <v>0.89022713899612427</v>
      </c>
      <c r="AD54" s="133">
        <f>VLOOKUP(A54,'2022_PAPI_Indicators'!A49:AC229,28,FALSE)</f>
        <v>0.93794012069702148</v>
      </c>
      <c r="AE54" s="133">
        <f>VLOOKUP(A54,'2022_PAPI_Indicators'!A49:AD229,29,FALSE)</f>
        <v>0.77077901363372803</v>
      </c>
      <c r="AF54" s="133">
        <f>VLOOKUP(A54,'2022_PAPI_Indicators'!A49:AE229,30,FALSE)</f>
        <v>0.82061386108398438</v>
      </c>
      <c r="AG54" s="133">
        <f>VLOOKUP(A54,'2022_PAPI_Indicators'!A49:AF229,31,FALSE)</f>
        <v>1</v>
      </c>
      <c r="AH54" s="133">
        <f>VLOOKUP(A54,'2022_PAPI_Indicators'!A49:AG229,32,FALSE)</f>
        <v>0.93886291980743408</v>
      </c>
      <c r="AI54" s="133">
        <f>VLOOKUP(A54,'2022_PAPI_Indicators'!A49:AH229,33,FALSE)</f>
        <v>0.93705207109451294</v>
      </c>
      <c r="AJ54" s="133">
        <f>VLOOKUP(A54,'2022_PAPI_Indicators'!A49:AI229,34,FALSE)</f>
        <v>1</v>
      </c>
      <c r="AK54" s="133">
        <f>VLOOKUP(A54,'2022_PAPI_Indicators'!A49:AJ229,35,FALSE)</f>
        <v>0.88288819789886475</v>
      </c>
      <c r="AL54" s="133">
        <f>VLOOKUP(A54,'2022_PAPI_Indicators'!A49:AK229,36,FALSE)</f>
        <v>1</v>
      </c>
      <c r="AM54" s="133">
        <f>VLOOKUP(A54,'2022_PAPI_Indicators'!A49:AL229,37,FALSE)</f>
        <v>0.89151012897491455</v>
      </c>
      <c r="AN54" s="133">
        <f>VLOOKUP(A54,'2022_PAPI_Indicators'!A49:AM229,38,FALSE)</f>
        <v>1</v>
      </c>
      <c r="AO54" s="133">
        <f>VLOOKUP(A54,'2022_PAPI_Indicators'!A49:AN229,39,FALSE)</f>
        <v>1</v>
      </c>
      <c r="AP54" s="133">
        <f>VLOOKUP(A54,'2022_PAPI_Indicators'!A49:AO229,40,FALSE)</f>
        <v>1</v>
      </c>
      <c r="AQ54" s="133">
        <f>VLOOKUP(A54,'2022_PAPI_Indicators'!A49:AP229,41,FALSE)</f>
        <v>0.5</v>
      </c>
      <c r="AR54" s="133">
        <f>VLOOKUP(A54,'2022_PAPI_Indicators'!A49:AQ229,42,FALSE)</f>
        <v>1</v>
      </c>
      <c r="AS54" s="133">
        <f>VLOOKUP(A54,'2022_PAPI_Indicators'!A49:AR229,43,FALSE)</f>
        <v>0.84003698825836182</v>
      </c>
      <c r="AT54" s="133">
        <f>VLOOKUP(A54,'2022_PAPI_Indicators'!A49:AS229,44,FALSE)</f>
        <v>0.98531126976013184</v>
      </c>
      <c r="AU54" s="133">
        <f>VLOOKUP(A54,'2022_PAPI_Indicators'!A49:AT229,45,FALSE)</f>
        <v>0.73058098554611206</v>
      </c>
      <c r="AV54" s="133">
        <f>VLOOKUP(A54,'2022_PAPI_Indicators'!A49:AU229,46,FALSE)</f>
        <v>1</v>
      </c>
      <c r="AW54" s="133">
        <f>VLOOKUP(A54,'2022_PAPI_Indicators'!A49:AV229,47,FALSE)</f>
        <v>0.8029855489730835</v>
      </c>
      <c r="AX54" s="133">
        <f>VLOOKUP(A54,'2022_PAPI_Indicators'!A49:AW229,48,FALSE)</f>
        <v>1</v>
      </c>
      <c r="AY54" s="133">
        <f>VLOOKUP(A54,'2022_PAPI_Indicators'!A49:AX229,49,FALSE)</f>
        <v>0.827495276927948</v>
      </c>
      <c r="AZ54" s="133">
        <f>VLOOKUP(A54,'2022_PAPI_Indicators'!A49:AY229,50,FALSE)</f>
        <v>0.87977081537246704</v>
      </c>
      <c r="BA54" s="133">
        <f>VLOOKUP(A54,'2022_PAPI_Indicators'!A49:AZ229,51,FALSE)</f>
        <v>0.83333331346511841</v>
      </c>
      <c r="BB54" s="133">
        <f>VLOOKUP(A54,'2022_PAPI_Indicators'!A49:BA229,52,FALSE)</f>
        <v>1</v>
      </c>
      <c r="BC54" s="133">
        <f>VLOOKUP(A54,'2022_PAPI_Indicators'!A49:BB229,53,FALSE)</f>
        <v>1</v>
      </c>
      <c r="BD54" s="133">
        <f>VLOOKUP(A54,'2022_PAPI_Indicators'!A49:BC229,54,FALSE)</f>
        <v>1</v>
      </c>
      <c r="BE54" s="133">
        <f>VLOOKUP(A54,'2022_PAPI_Indicators'!A49:BD229,55,FALSE)</f>
        <v>0.84317928552627563</v>
      </c>
      <c r="BF54" s="133">
        <f>VLOOKUP(A54,'2022_PAPI_Indicators'!A49:BE229,56,FALSE)</f>
        <v>1</v>
      </c>
      <c r="BG54" s="133">
        <f>VLOOKUP(A54,'2022_PAPI_Indicators'!A49:BF229,57,FALSE)</f>
        <v>0.95099800825119019</v>
      </c>
      <c r="BH54" s="133">
        <f>VLOOKUP(A54,'2022_PAPI_Indicators'!A49:BG229,58,FALSE)</f>
        <v>0.83333331346511841</v>
      </c>
      <c r="BI54" s="133">
        <f>VLOOKUP(A54,'2022_PAPI_Indicators'!A49:BH229,59,FALSE)</f>
        <v>1</v>
      </c>
      <c r="BJ54" s="133">
        <f>VLOOKUP(A54,'2022_PAPI_Indicators'!A49:BI229,60,FALSE)</f>
        <v>1</v>
      </c>
      <c r="BK54" s="133">
        <f>VLOOKUP(A54,'2022_PAPI_Indicators'!A49:BJ229,61,FALSE)</f>
        <v>0.8633083701133728</v>
      </c>
      <c r="BL54" s="133">
        <f>VLOOKUP(A54,'2022_PAPI_Indicators'!A49:BK229,62,FALSE)</f>
        <v>1</v>
      </c>
      <c r="BM54" s="133">
        <f>VLOOKUP(A54,'2022_PAPI_Indicators'!A49:BL229,63,FALSE)</f>
        <v>1</v>
      </c>
      <c r="BN54" s="133">
        <f>VLOOKUP(A54,'2022_PAPI_Indicators'!A49:BM229,64,FALSE)</f>
        <v>1</v>
      </c>
    </row>
    <row r="55" spans="1:66" x14ac:dyDescent="0.2">
      <c r="A55" s="70" t="s">
        <v>173</v>
      </c>
      <c r="B55" s="70" t="s">
        <v>174</v>
      </c>
      <c r="C55" s="89" t="s">
        <v>175</v>
      </c>
      <c r="D55" s="124">
        <f>VLOOKUP(A55,'2022_PAPI_Indicators'!A50:B230,2,)</f>
        <v>2.3341126441955566</v>
      </c>
      <c r="E55" s="124">
        <f>VLOOKUP(A55,'2022_PAPI_Indicators'!A50:C230,3,FALSE)</f>
        <v>2.4675531387329102</v>
      </c>
      <c r="F55" s="124">
        <f>VLOOKUP(A55,'2022_PAPI_Indicators'!A50:D230,4,FALSE)</f>
        <v>2.2495594024658203</v>
      </c>
      <c r="G55" s="124">
        <f>VLOOKUP(A55,'2022_PAPI_Indicators'!A50:E230,5,FALSE)</f>
        <v>2.3971071243286133</v>
      </c>
      <c r="H55" s="124">
        <f>VLOOKUP(A55,'2022_PAPI_Indicators'!A50:F230,6,FALSE)</f>
        <v>2.121457576751709</v>
      </c>
      <c r="I55" s="124">
        <f>VLOOKUP(A55,'2022_PAPI_Indicators'!A50:G230,7,FALSE)</f>
        <v>2.0357224941253662</v>
      </c>
      <c r="J55" s="124">
        <f>VLOOKUP(A55,'2022_PAPI_Indicators'!A50:H230,8,FALSE)</f>
        <v>2.5741000175476074</v>
      </c>
      <c r="K55" s="124">
        <f>VLOOKUP(A55,'2022_PAPI_Indicators'!A50:I230,9,FALSE)</f>
        <v>2.2974967956542969</v>
      </c>
      <c r="L55" s="124">
        <f>VLOOKUP(A55,'2022_PAPI_Indicators'!A50:J230,10,FALSE)</f>
        <v>2.3579144477844238</v>
      </c>
      <c r="M55" s="124">
        <f>VLOOKUP(A55,'2022_PAPI_Indicators'!A50:K230,11,FALSE)</f>
        <v>2.2930915355682373</v>
      </c>
      <c r="N55" s="124">
        <f>VLOOKUP(A55,'2022_PAPI_Indicators'!A50:L230,12,FALSE)</f>
        <v>2.3189787864685059</v>
      </c>
      <c r="O55" s="124">
        <f>VLOOKUP(A55,'2022_PAPI_Indicators'!A50:M230,13,FALSE)</f>
        <v>2.2504031658172607</v>
      </c>
      <c r="P55" s="124">
        <f>VLOOKUP(A55,'2022_PAPI_Indicators'!A50:N230,14,FALSE)</f>
        <v>2.3670094013214111</v>
      </c>
      <c r="Q55" s="124">
        <f>VLOOKUP(A55,'2022_PAPI_Indicators'!A50:O230,15,FALSE)</f>
        <v>2.1890120506286621</v>
      </c>
      <c r="R55" s="125">
        <f>VLOOKUP(A55,'2022_PAPI_Indicators'!A50:P230,16,FALSE)</f>
        <v>0</v>
      </c>
      <c r="S55" s="124">
        <f>VLOOKUP(A55,'2022_PAPI_Indicators'!A50:R230,17,FALSE)</f>
        <v>2.465679407119751</v>
      </c>
      <c r="T55" s="124">
        <f>VLOOKUP(A55,'2022_PAPI_Indicators'!A50:S230,18,FALSE)</f>
        <v>2.2161121368408203</v>
      </c>
      <c r="U55" s="125">
        <f>VLOOKUP(A55,'2022_PAPI_Indicators'!A50:T230,19,FALSE)</f>
        <v>0</v>
      </c>
      <c r="V55" s="124">
        <f>VLOOKUP(A55,'2022_PAPI_Indicators'!A50:U230,20,FALSE)</f>
        <v>2.2996623516082764</v>
      </c>
      <c r="W55" s="124">
        <f>VLOOKUP(A55,'2022_PAPI_Indicators'!A50:V230,21,FALSE)</f>
        <v>2.5736708641052246</v>
      </c>
      <c r="X55" s="124">
        <f>VLOOKUP(A55,'2022_PAPI_Indicators'!A50:W230,22,FALSE)</f>
        <v>2.3636362552642822</v>
      </c>
      <c r="Y55" s="124">
        <f>VLOOKUP(A55,'2022_PAPI_Indicators'!A50:X230,23,FALSE)</f>
        <v>2.1900925636291504</v>
      </c>
      <c r="Z55" s="124">
        <f>VLOOKUP(A55,'2022_PAPI_Indicators'!A50:Y230,24,FALSE)</f>
        <v>2.193737268447876</v>
      </c>
      <c r="AA55" s="124">
        <f>VLOOKUP(A55,'2022_PAPI_Indicators'!A50:Z230,25,FALSE)</f>
        <v>2.4858555793762207</v>
      </c>
      <c r="AB55" s="124">
        <f>VLOOKUP(A55,'2022_PAPI_Indicators'!A50:AA230,26,FALSE)</f>
        <v>2.3333332538604736</v>
      </c>
      <c r="AC55" s="124">
        <f>VLOOKUP(A55,'2022_PAPI_Indicators'!A50:AB230,27,FALSE)</f>
        <v>2.4152469635009766</v>
      </c>
      <c r="AD55" s="124">
        <f>VLOOKUP(A55,'2022_PAPI_Indicators'!A50:AC230,28,FALSE)</f>
        <v>2.3563997745513916</v>
      </c>
      <c r="AE55" s="124">
        <f>VLOOKUP(A55,'2022_PAPI_Indicators'!A50:AD230,29,FALSE)</f>
        <v>2.5203008651733398</v>
      </c>
      <c r="AF55" s="124">
        <f>VLOOKUP(A55,'2022_PAPI_Indicators'!A50:AE230,30,FALSE)</f>
        <v>2.3091204166412354</v>
      </c>
      <c r="AG55" s="124">
        <f>VLOOKUP(A55,'2022_PAPI_Indicators'!A50:AF230,31,FALSE)</f>
        <v>2.3012380599975586</v>
      </c>
      <c r="AH55" s="124">
        <f>VLOOKUP(A55,'2022_PAPI_Indicators'!A50:AG230,32,FALSE)</f>
        <v>2.3174996376037598</v>
      </c>
      <c r="AI55" s="124">
        <f>VLOOKUP(A55,'2022_PAPI_Indicators'!A50:AH230,33,FALSE)</f>
        <v>2.193044900894165</v>
      </c>
      <c r="AJ55" s="124">
        <f>VLOOKUP(A55,'2022_PAPI_Indicators'!A50:AI230,34,FALSE)</f>
        <v>2.2855384349822998</v>
      </c>
      <c r="AK55" s="124">
        <f>VLOOKUP(A55,'2022_PAPI_Indicators'!A50:AJ230,35,FALSE)</f>
        <v>2.2833406925201416</v>
      </c>
      <c r="AL55" s="124">
        <f>VLOOKUP(A55,'2022_PAPI_Indicators'!A50:AK230,36,FALSE)</f>
        <v>2.1020667552947998</v>
      </c>
      <c r="AM55" s="124">
        <f>VLOOKUP(A55,'2022_PAPI_Indicators'!A50:AL230,37,FALSE)</f>
        <v>2.1422488689422607</v>
      </c>
      <c r="AN55" s="124">
        <f>VLOOKUP(A55,'2022_PAPI_Indicators'!A50:AM230,38,FALSE)</f>
        <v>2.363210916519165</v>
      </c>
      <c r="AO55" s="124">
        <f>VLOOKUP(A55,'2022_PAPI_Indicators'!A50:AN230,39,FALSE)</f>
        <v>2.3351650238037109</v>
      </c>
      <c r="AP55" s="124">
        <f>VLOOKUP(A55,'2022_PAPI_Indicators'!A50:AO230,40,FALSE)</f>
        <v>2.2595245838165283</v>
      </c>
      <c r="AQ55" s="124">
        <f>VLOOKUP(A55,'2022_PAPI_Indicators'!A50:AP230,41,FALSE)</f>
        <v>2.1508011817932129</v>
      </c>
      <c r="AR55" s="124">
        <f>VLOOKUP(A55,'2022_PAPI_Indicators'!A50:AQ230,42,FALSE)</f>
        <v>2.280306339263916</v>
      </c>
      <c r="AS55" s="124">
        <f>VLOOKUP(A55,'2022_PAPI_Indicators'!A50:AR230,43,FALSE)</f>
        <v>2.0944132804870605</v>
      </c>
      <c r="AT55" s="124">
        <f>VLOOKUP(A55,'2022_PAPI_Indicators'!A50:AS230,44,FALSE)</f>
        <v>2.2625889778137207</v>
      </c>
      <c r="AU55" s="124">
        <f>VLOOKUP(A55,'2022_PAPI_Indicators'!A50:AT230,45,FALSE)</f>
        <v>2.1988959312438965</v>
      </c>
      <c r="AV55" s="124">
        <f>VLOOKUP(A55,'2022_PAPI_Indicators'!A50:AU230,46,FALSE)</f>
        <v>2.1502838134765625</v>
      </c>
      <c r="AW55" s="124">
        <f>VLOOKUP(A55,'2022_PAPI_Indicators'!A50:AV230,47,FALSE)</f>
        <v>2.2049126625061035</v>
      </c>
      <c r="AX55" s="124">
        <f>VLOOKUP(A55,'2022_PAPI_Indicators'!A50:AW230,48,FALSE)</f>
        <v>2.3836021423339844</v>
      </c>
      <c r="AY55" s="124">
        <f>VLOOKUP(A55,'2022_PAPI_Indicators'!A50:AX230,49,FALSE)</f>
        <v>2.0875973701477051</v>
      </c>
      <c r="AZ55" s="124">
        <f>VLOOKUP(A55,'2022_PAPI_Indicators'!A50:AY230,50,FALSE)</f>
        <v>2.3315157890319824</v>
      </c>
      <c r="BA55" s="124">
        <f>VLOOKUP(A55,'2022_PAPI_Indicators'!A50:AZ230,51,FALSE)</f>
        <v>2.228179931640625</v>
      </c>
      <c r="BB55" s="124">
        <f>VLOOKUP(A55,'2022_PAPI_Indicators'!A50:BA230,52,FALSE)</f>
        <v>2.258246898651123</v>
      </c>
      <c r="BC55" s="124">
        <f>VLOOKUP(A55,'2022_PAPI_Indicators'!A50:BB230,53,FALSE)</f>
        <v>2.3763656616210938</v>
      </c>
      <c r="BD55" s="124">
        <f>VLOOKUP(A55,'2022_PAPI_Indicators'!A50:BC230,54,FALSE)</f>
        <v>2.0702888965606689</v>
      </c>
      <c r="BE55" s="124">
        <f>VLOOKUP(A55,'2022_PAPI_Indicators'!A50:BD230,55,FALSE)</f>
        <v>2.2164440155029297</v>
      </c>
      <c r="BF55" s="124">
        <f>VLOOKUP(A55,'2022_PAPI_Indicators'!A50:BE230,56,FALSE)</f>
        <v>2.3163738250732422</v>
      </c>
      <c r="BG55" s="124">
        <f>VLOOKUP(A55,'2022_PAPI_Indicators'!A50:BF230,57,FALSE)</f>
        <v>2.3031237125396729</v>
      </c>
      <c r="BH55" s="124">
        <f>VLOOKUP(A55,'2022_PAPI_Indicators'!A50:BG230,58,FALSE)</f>
        <v>2.4196887016296387</v>
      </c>
      <c r="BI55" s="124">
        <f>VLOOKUP(A55,'2022_PAPI_Indicators'!A50:BH230,59,FALSE)</f>
        <v>2.2809593677520752</v>
      </c>
      <c r="BJ55" s="124">
        <f>VLOOKUP(A55,'2022_PAPI_Indicators'!A50:BI230,60,FALSE)</f>
        <v>2.3133206367492676</v>
      </c>
      <c r="BK55" s="124">
        <f>VLOOKUP(A55,'2022_PAPI_Indicators'!A50:BJ230,61,FALSE)</f>
        <v>2.2284796237945557</v>
      </c>
      <c r="BL55" s="124">
        <f>VLOOKUP(A55,'2022_PAPI_Indicators'!A50:BK230,62,FALSE)</f>
        <v>2.2767186164855957</v>
      </c>
      <c r="BM55" s="124">
        <f>VLOOKUP(A55,'2022_PAPI_Indicators'!A50:BL230,63,FALSE)</f>
        <v>2.3706831932067871</v>
      </c>
      <c r="BN55" s="124">
        <f>VLOOKUP(A55,'2022_PAPI_Indicators'!A50:BM230,64,FALSE)</f>
        <v>2.3208301067352295</v>
      </c>
    </row>
    <row r="56" spans="1:66" x14ac:dyDescent="0.2">
      <c r="A56" s="70" t="s">
        <v>176</v>
      </c>
      <c r="B56" s="70" t="s">
        <v>177</v>
      </c>
      <c r="C56" s="89" t="s">
        <v>90</v>
      </c>
      <c r="D56" s="133">
        <f>VLOOKUP(A56,'2022_PAPI_Indicators'!A51:B231,2,)</f>
        <v>0.90610748529434204</v>
      </c>
      <c r="E56" s="133">
        <f>VLOOKUP(A56,'2022_PAPI_Indicators'!A51:C231,3,FALSE)</f>
        <v>0.82873982191085815</v>
      </c>
      <c r="F56" s="133">
        <f>VLOOKUP(A56,'2022_PAPI_Indicators'!A51:D231,4,FALSE)</f>
        <v>0.61779916286468506</v>
      </c>
      <c r="G56" s="133">
        <f>VLOOKUP(A56,'2022_PAPI_Indicators'!A51:E231,5,FALSE)</f>
        <v>0.64316123723983765</v>
      </c>
      <c r="H56" s="133">
        <f>VLOOKUP(A56,'2022_PAPI_Indicators'!A51:F231,6,FALSE)</f>
        <v>0.81573128700256348</v>
      </c>
      <c r="I56" s="133">
        <f>VLOOKUP(A56,'2022_PAPI_Indicators'!A51:G231,7,FALSE)</f>
        <v>0.74095618724822998</v>
      </c>
      <c r="J56" s="133">
        <f>VLOOKUP(A56,'2022_PAPI_Indicators'!A51:H231,8,FALSE)</f>
        <v>0.79644721746444702</v>
      </c>
      <c r="K56" s="133">
        <f>VLOOKUP(A56,'2022_PAPI_Indicators'!A51:I231,9,FALSE)</f>
        <v>0.84994214773178101</v>
      </c>
      <c r="L56" s="133">
        <f>VLOOKUP(A56,'2022_PAPI_Indicators'!A51:J231,10,FALSE)</f>
        <v>0.82743191719055176</v>
      </c>
      <c r="M56" s="133">
        <f>VLOOKUP(A56,'2022_PAPI_Indicators'!A51:K231,11,FALSE)</f>
        <v>0.89461678266525269</v>
      </c>
      <c r="N56" s="133">
        <f>VLOOKUP(A56,'2022_PAPI_Indicators'!A51:L231,12,FALSE)</f>
        <v>0.82852685451507568</v>
      </c>
      <c r="O56" s="133">
        <f>VLOOKUP(A56,'2022_PAPI_Indicators'!A51:M231,13,FALSE)</f>
        <v>0.73894971609115601</v>
      </c>
      <c r="P56" s="133">
        <f>VLOOKUP(A56,'2022_PAPI_Indicators'!A51:N231,14,FALSE)</f>
        <v>0.69697052240371704</v>
      </c>
      <c r="Q56" s="133">
        <f>VLOOKUP(A56,'2022_PAPI_Indicators'!A51:O231,15,FALSE)</f>
        <v>0.89639860391616821</v>
      </c>
      <c r="R56" s="135">
        <f>VLOOKUP(A56,'2022_PAPI_Indicators'!A51:P231,16,FALSE)</f>
        <v>0</v>
      </c>
      <c r="S56" s="133">
        <f>VLOOKUP(A56,'2022_PAPI_Indicators'!A51:R231,17,FALSE)</f>
        <v>0.85442656278610229</v>
      </c>
      <c r="T56" s="133">
        <f>VLOOKUP(A56,'2022_PAPI_Indicators'!A51:S231,18,FALSE)</f>
        <v>0.93558138608932495</v>
      </c>
      <c r="U56" s="135">
        <f>VLOOKUP(A56,'2022_PAPI_Indicators'!A51:T231,19,FALSE)</f>
        <v>0</v>
      </c>
      <c r="V56" s="133">
        <f>VLOOKUP(A56,'2022_PAPI_Indicators'!A51:U231,20,FALSE)</f>
        <v>0.91973096132278442</v>
      </c>
      <c r="W56" s="133">
        <f>VLOOKUP(A56,'2022_PAPI_Indicators'!A51:V231,21,FALSE)</f>
        <v>0.89620304107666016</v>
      </c>
      <c r="X56" s="133">
        <f>VLOOKUP(A56,'2022_PAPI_Indicators'!A51:W231,22,FALSE)</f>
        <v>0.85861402750015259</v>
      </c>
      <c r="Y56" s="133">
        <f>VLOOKUP(A56,'2022_PAPI_Indicators'!A51:X231,23,FALSE)</f>
        <v>0.86234289407730103</v>
      </c>
      <c r="Z56" s="133">
        <f>VLOOKUP(A56,'2022_PAPI_Indicators'!A51:Y231,24,FALSE)</f>
        <v>0.83334589004516602</v>
      </c>
      <c r="AA56" s="133">
        <f>VLOOKUP(A56,'2022_PAPI_Indicators'!A51:Z231,25,FALSE)</f>
        <v>0.88336777687072754</v>
      </c>
      <c r="AB56" s="133">
        <f>VLOOKUP(A56,'2022_PAPI_Indicators'!A51:AA231,26,FALSE)</f>
        <v>0.82921808958053589</v>
      </c>
      <c r="AC56" s="133">
        <f>VLOOKUP(A56,'2022_PAPI_Indicators'!A51:AB231,27,FALSE)</f>
        <v>0.88402992486953735</v>
      </c>
      <c r="AD56" s="133">
        <f>VLOOKUP(A56,'2022_PAPI_Indicators'!A51:AC231,28,FALSE)</f>
        <v>0.90392804145812988</v>
      </c>
      <c r="AE56" s="133">
        <f>VLOOKUP(A56,'2022_PAPI_Indicators'!A51:AD231,29,FALSE)</f>
        <v>0.79201966524124146</v>
      </c>
      <c r="AF56" s="133">
        <f>VLOOKUP(A56,'2022_PAPI_Indicators'!A51:AE231,30,FALSE)</f>
        <v>0.78319668769836426</v>
      </c>
      <c r="AG56" s="133">
        <f>VLOOKUP(A56,'2022_PAPI_Indicators'!A51:AF231,31,FALSE)</f>
        <v>0.75049757957458496</v>
      </c>
      <c r="AH56" s="133">
        <f>VLOOKUP(A56,'2022_PAPI_Indicators'!A51:AG231,32,FALSE)</f>
        <v>0.66241639852523804</v>
      </c>
      <c r="AI56" s="133">
        <f>VLOOKUP(A56,'2022_PAPI_Indicators'!A51:AH231,33,FALSE)</f>
        <v>0.85593408346176147</v>
      </c>
      <c r="AJ56" s="133">
        <f>VLOOKUP(A56,'2022_PAPI_Indicators'!A51:AI231,34,FALSE)</f>
        <v>0.8069387674331665</v>
      </c>
      <c r="AK56" s="133">
        <f>VLOOKUP(A56,'2022_PAPI_Indicators'!A51:AJ231,35,FALSE)</f>
        <v>0.82653379440307617</v>
      </c>
      <c r="AL56" s="133">
        <f>VLOOKUP(A56,'2022_PAPI_Indicators'!A51:AK231,36,FALSE)</f>
        <v>0.83627408742904663</v>
      </c>
      <c r="AM56" s="133">
        <f>VLOOKUP(A56,'2022_PAPI_Indicators'!A51:AL231,37,FALSE)</f>
        <v>0.69485855102539063</v>
      </c>
      <c r="AN56" s="133">
        <f>VLOOKUP(A56,'2022_PAPI_Indicators'!A51:AM231,38,FALSE)</f>
        <v>0.890625</v>
      </c>
      <c r="AO56" s="133">
        <f>VLOOKUP(A56,'2022_PAPI_Indicators'!A51:AN231,39,FALSE)</f>
        <v>0.7425076961517334</v>
      </c>
      <c r="AP56" s="133">
        <f>VLOOKUP(A56,'2022_PAPI_Indicators'!A51:AO231,40,FALSE)</f>
        <v>0.80774438381195068</v>
      </c>
      <c r="AQ56" s="133">
        <f>VLOOKUP(A56,'2022_PAPI_Indicators'!A51:AP231,41,FALSE)</f>
        <v>0.85626912117004395</v>
      </c>
      <c r="AR56" s="133">
        <f>VLOOKUP(A56,'2022_PAPI_Indicators'!A51:AQ231,42,FALSE)</f>
        <v>0.62778723239898682</v>
      </c>
      <c r="AS56" s="133">
        <f>VLOOKUP(A56,'2022_PAPI_Indicators'!A51:AR231,43,FALSE)</f>
        <v>0.86768478155136108</v>
      </c>
      <c r="AT56" s="133">
        <f>VLOOKUP(A56,'2022_PAPI_Indicators'!A51:AS231,44,FALSE)</f>
        <v>0.74718016386032104</v>
      </c>
      <c r="AU56" s="133">
        <f>VLOOKUP(A56,'2022_PAPI_Indicators'!A51:AT231,45,FALSE)</f>
        <v>0.68884813785552979</v>
      </c>
      <c r="AV56" s="133">
        <f>VLOOKUP(A56,'2022_PAPI_Indicators'!A51:AU231,46,FALSE)</f>
        <v>0.69203412532806396</v>
      </c>
      <c r="AW56" s="133">
        <f>VLOOKUP(A56,'2022_PAPI_Indicators'!A51:AV231,47,FALSE)</f>
        <v>0.7969098687171936</v>
      </c>
      <c r="AX56" s="133">
        <f>VLOOKUP(A56,'2022_PAPI_Indicators'!A51:AW231,48,FALSE)</f>
        <v>0.88158416748046875</v>
      </c>
      <c r="AY56" s="133">
        <f>VLOOKUP(A56,'2022_PAPI_Indicators'!A51:AX231,49,FALSE)</f>
        <v>0.80369085073471069</v>
      </c>
      <c r="AZ56" s="133">
        <f>VLOOKUP(A56,'2022_PAPI_Indicators'!A51:AY231,50,FALSE)</f>
        <v>0.70088016986846924</v>
      </c>
      <c r="BA56" s="133">
        <f>VLOOKUP(A56,'2022_PAPI_Indicators'!A51:AZ231,51,FALSE)</f>
        <v>0.90581154823303223</v>
      </c>
      <c r="BB56" s="133">
        <f>VLOOKUP(A56,'2022_PAPI_Indicators'!A51:BA231,52,FALSE)</f>
        <v>0.65872937440872192</v>
      </c>
      <c r="BC56" s="133">
        <f>VLOOKUP(A56,'2022_PAPI_Indicators'!A51:BB231,53,FALSE)</f>
        <v>0.8789210319519043</v>
      </c>
      <c r="BD56" s="133">
        <f>VLOOKUP(A56,'2022_PAPI_Indicators'!A51:BC231,54,FALSE)</f>
        <v>0.73975354433059692</v>
      </c>
      <c r="BE56" s="133">
        <f>VLOOKUP(A56,'2022_PAPI_Indicators'!A51:BD231,55,FALSE)</f>
        <v>0.71324807405471802</v>
      </c>
      <c r="BF56" s="133">
        <f>VLOOKUP(A56,'2022_PAPI_Indicators'!A51:BE231,56,FALSE)</f>
        <v>0.56433576345443726</v>
      </c>
      <c r="BG56" s="133">
        <f>VLOOKUP(A56,'2022_PAPI_Indicators'!A51:BF231,57,FALSE)</f>
        <v>0.87899267673492432</v>
      </c>
      <c r="BH56" s="133">
        <f>VLOOKUP(A56,'2022_PAPI_Indicators'!A51:BG231,58,FALSE)</f>
        <v>0.79752802848815918</v>
      </c>
      <c r="BI56" s="133">
        <f>VLOOKUP(A56,'2022_PAPI_Indicators'!A51:BH231,59,FALSE)</f>
        <v>0.8604048490524292</v>
      </c>
      <c r="BJ56" s="133">
        <f>VLOOKUP(A56,'2022_PAPI_Indicators'!A51:BI231,60,FALSE)</f>
        <v>0.77174443006515503</v>
      </c>
      <c r="BK56" s="133">
        <f>VLOOKUP(A56,'2022_PAPI_Indicators'!A51:BJ231,61,FALSE)</f>
        <v>0.61012846231460571</v>
      </c>
      <c r="BL56" s="133">
        <f>VLOOKUP(A56,'2022_PAPI_Indicators'!A51:BK231,62,FALSE)</f>
        <v>0.86421322822570801</v>
      </c>
      <c r="BM56" s="133">
        <f>VLOOKUP(A56,'2022_PAPI_Indicators'!A51:BL231,63,FALSE)</f>
        <v>0.91201889514923096</v>
      </c>
      <c r="BN56" s="133">
        <f>VLOOKUP(A56,'2022_PAPI_Indicators'!A51:BM231,64,FALSE)</f>
        <v>0.85133218765258789</v>
      </c>
    </row>
    <row r="57" spans="1:66" x14ac:dyDescent="0.2">
      <c r="A57" s="70" t="s">
        <v>178</v>
      </c>
      <c r="B57" s="70" t="s">
        <v>179</v>
      </c>
      <c r="C57" s="89" t="s">
        <v>90</v>
      </c>
      <c r="D57" s="133">
        <f>VLOOKUP(A57,'2022_PAPI_Indicators'!A52:B232,2,)</f>
        <v>0.25136688351631165</v>
      </c>
      <c r="E57" s="133">
        <f>VLOOKUP(A57,'2022_PAPI_Indicators'!A52:C232,3,FALSE)</f>
        <v>0.22547943890094757</v>
      </c>
      <c r="F57" s="133">
        <f>VLOOKUP(A57,'2022_PAPI_Indicators'!A52:D232,4,FALSE)</f>
        <v>9.0909093618392944E-2</v>
      </c>
      <c r="G57" s="133">
        <f>VLOOKUP(A57,'2022_PAPI_Indicators'!A52:E232,5,FALSE)</f>
        <v>0.30163377523422241</v>
      </c>
      <c r="H57" s="133">
        <f>VLOOKUP(A57,'2022_PAPI_Indicators'!A52:F232,6,FALSE)</f>
        <v>0.32236915826797485</v>
      </c>
      <c r="I57" s="133">
        <f>VLOOKUP(A57,'2022_PAPI_Indicators'!A52:G232,7,FALSE)</f>
        <v>4.932645708322525E-2</v>
      </c>
      <c r="J57" s="133">
        <f>VLOOKUP(A57,'2022_PAPI_Indicators'!A52:H232,8,FALSE)</f>
        <v>0.26333573460578918</v>
      </c>
      <c r="K57" s="133">
        <f>VLOOKUP(A57,'2022_PAPI_Indicators'!A52:I232,9,FALSE)</f>
        <v>0.3128473162651062</v>
      </c>
      <c r="L57" s="133">
        <f>VLOOKUP(A57,'2022_PAPI_Indicators'!A52:J232,10,FALSE)</f>
        <v>0.25183472037315369</v>
      </c>
      <c r="M57" s="133">
        <f>VLOOKUP(A57,'2022_PAPI_Indicators'!A52:K232,11,FALSE)</f>
        <v>0.86429846286773682</v>
      </c>
      <c r="N57" s="133">
        <f>VLOOKUP(A57,'2022_PAPI_Indicators'!A52:L232,12,FALSE)</f>
        <v>0.10481641441583633</v>
      </c>
      <c r="O57" s="133">
        <f>VLOOKUP(A57,'2022_PAPI_Indicators'!A52:M232,13,FALSE)</f>
        <v>0.32534345984458923</v>
      </c>
      <c r="P57" s="133">
        <f>VLOOKUP(A57,'2022_PAPI_Indicators'!A52:N232,14,FALSE)</f>
        <v>0.14066652953624725</v>
      </c>
      <c r="Q57" s="133">
        <f>VLOOKUP(A57,'2022_PAPI_Indicators'!A52:O232,15,FALSE)</f>
        <v>0.36269623041152954</v>
      </c>
      <c r="R57" s="135">
        <f>VLOOKUP(A57,'2022_PAPI_Indicators'!A52:P232,16,FALSE)</f>
        <v>0</v>
      </c>
      <c r="S57" s="133">
        <f>VLOOKUP(A57,'2022_PAPI_Indicators'!A52:R232,17,FALSE)</f>
        <v>2.0961865782737732E-2</v>
      </c>
      <c r="T57" s="133">
        <f>VLOOKUP(A57,'2022_PAPI_Indicators'!A52:S232,18,FALSE)</f>
        <v>0.41353917121887207</v>
      </c>
      <c r="U57" s="135">
        <f>VLOOKUP(A57,'2022_PAPI_Indicators'!A52:T232,19,FALSE)</f>
        <v>0</v>
      </c>
      <c r="V57" s="133">
        <f>VLOOKUP(A57,'2022_PAPI_Indicators'!A52:U232,20,FALSE)</f>
        <v>0.30372822284698486</v>
      </c>
      <c r="W57" s="133">
        <f>VLOOKUP(A57,'2022_PAPI_Indicators'!A52:V232,21,FALSE)</f>
        <v>0.67210280895233154</v>
      </c>
      <c r="X57" s="133">
        <f>VLOOKUP(A57,'2022_PAPI_Indicators'!A52:W232,22,FALSE)</f>
        <v>0.56748032569885254</v>
      </c>
      <c r="Y57" s="133">
        <f>VLOOKUP(A57,'2022_PAPI_Indicators'!A52:X232,23,FALSE)</f>
        <v>0.5</v>
      </c>
      <c r="Z57" s="133">
        <f>VLOOKUP(A57,'2022_PAPI_Indicators'!A52:Y232,24,FALSE)</f>
        <v>0.1605709046125412</v>
      </c>
      <c r="AA57" s="133">
        <f>VLOOKUP(A57,'2022_PAPI_Indicators'!A52:Z232,25,FALSE)</f>
        <v>2.9697155579924583E-2</v>
      </c>
      <c r="AB57" s="133">
        <f>VLOOKUP(A57,'2022_PAPI_Indicators'!A52:AA232,26,FALSE)</f>
        <v>0.42688742280006409</v>
      </c>
      <c r="AC57" s="133">
        <f>VLOOKUP(A57,'2022_PAPI_Indicators'!A52:AB232,27,FALSE)</f>
        <v>0.48266416788101196</v>
      </c>
      <c r="AD57" s="133">
        <f>VLOOKUP(A57,'2022_PAPI_Indicators'!A52:AC232,28,FALSE)</f>
        <v>0.44990465044975281</v>
      </c>
      <c r="AE57" s="133">
        <f>VLOOKUP(A57,'2022_PAPI_Indicators'!A52:AD232,29,FALSE)</f>
        <v>0.17756591737270355</v>
      </c>
      <c r="AF57" s="133">
        <f>VLOOKUP(A57,'2022_PAPI_Indicators'!A52:AE232,30,FALSE)</f>
        <v>0.40000000596046448</v>
      </c>
      <c r="AG57" s="133">
        <f>VLOOKUP(A57,'2022_PAPI_Indicators'!A52:AF232,31,FALSE)</f>
        <v>0.36852923035621643</v>
      </c>
      <c r="AH57" s="133">
        <f>VLOOKUP(A57,'2022_PAPI_Indicators'!A52:AG232,32,FALSE)</f>
        <v>0.26783478260040283</v>
      </c>
      <c r="AI57" s="133">
        <f>VLOOKUP(A57,'2022_PAPI_Indicators'!A52:AH232,33,FALSE)</f>
        <v>0.64568400382995605</v>
      </c>
      <c r="AJ57" s="133">
        <f>VLOOKUP(A57,'2022_PAPI_Indicators'!A52:AI232,34,FALSE)</f>
        <v>0.63863176107406616</v>
      </c>
      <c r="AK57" s="133">
        <f>VLOOKUP(A57,'2022_PAPI_Indicators'!A52:AJ232,35,FALSE)</f>
        <v>0.2881280779838562</v>
      </c>
      <c r="AL57" s="133">
        <f>VLOOKUP(A57,'2022_PAPI_Indicators'!A52:AK232,36,FALSE)</f>
        <v>0.52464652061462402</v>
      </c>
      <c r="AM57" s="133">
        <f>VLOOKUP(A57,'2022_PAPI_Indicators'!A52:AL232,37,FALSE)</f>
        <v>0.25784441828727722</v>
      </c>
      <c r="AN57" s="133">
        <f>VLOOKUP(A57,'2022_PAPI_Indicators'!A52:AM232,38,FALSE)</f>
        <v>0.23342449963092804</v>
      </c>
      <c r="AO57" s="133">
        <f>VLOOKUP(A57,'2022_PAPI_Indicators'!A52:AN232,39,FALSE)</f>
        <v>0.30639508366584778</v>
      </c>
      <c r="AP57" s="133">
        <f>VLOOKUP(A57,'2022_PAPI_Indicators'!A52:AO232,40,FALSE)</f>
        <v>0.4609416127204895</v>
      </c>
      <c r="AQ57" s="133">
        <f>VLOOKUP(A57,'2022_PAPI_Indicators'!A52:AP232,41,FALSE)</f>
        <v>0.30888739228248596</v>
      </c>
      <c r="AR57" s="133">
        <f>VLOOKUP(A57,'2022_PAPI_Indicators'!A52:AQ232,42,FALSE)</f>
        <v>0.11679255217313766</v>
      </c>
      <c r="AS57" s="133">
        <f>VLOOKUP(A57,'2022_PAPI_Indicators'!A52:AR232,43,FALSE)</f>
        <v>5.9143207967281342E-2</v>
      </c>
      <c r="AT57" s="133">
        <f>VLOOKUP(A57,'2022_PAPI_Indicators'!A52:AS232,44,FALSE)</f>
        <v>0.1250046044588089</v>
      </c>
      <c r="AU57" s="133">
        <f>VLOOKUP(A57,'2022_PAPI_Indicators'!A52:AT232,45,FALSE)</f>
        <v>0.10095694661140442</v>
      </c>
      <c r="AV57" s="133">
        <f>VLOOKUP(A57,'2022_PAPI_Indicators'!A52:AU232,46,FALSE)</f>
        <v>6.8665772676467896E-2</v>
      </c>
      <c r="AW57" s="133">
        <f>VLOOKUP(A57,'2022_PAPI_Indicators'!A52:AV232,47,FALSE)</f>
        <v>0.13673660159111023</v>
      </c>
      <c r="AX57" s="133">
        <f>VLOOKUP(A57,'2022_PAPI_Indicators'!A52:AW232,48,FALSE)</f>
        <v>0.34505987167358398</v>
      </c>
      <c r="AY57" s="133">
        <f>VLOOKUP(A57,'2022_PAPI_Indicators'!A52:AX232,49,FALSE)</f>
        <v>0.25469458103179932</v>
      </c>
      <c r="AZ57" s="133">
        <f>VLOOKUP(A57,'2022_PAPI_Indicators'!A52:AY232,50,FALSE)</f>
        <v>0.23619093000888824</v>
      </c>
      <c r="BA57" s="133">
        <f>VLOOKUP(A57,'2022_PAPI_Indicators'!A52:AZ232,51,FALSE)</f>
        <v>0.23238308727741241</v>
      </c>
      <c r="BB57" s="133">
        <f>VLOOKUP(A57,'2022_PAPI_Indicators'!A52:BA232,52,FALSE)</f>
        <v>0.34538686275482178</v>
      </c>
      <c r="BC57" s="133">
        <f>VLOOKUP(A57,'2022_PAPI_Indicators'!A52:BB232,53,FALSE)</f>
        <v>0</v>
      </c>
      <c r="BD57" s="133">
        <f>VLOOKUP(A57,'2022_PAPI_Indicators'!A52:BC232,54,FALSE)</f>
        <v>0.18067480623722076</v>
      </c>
      <c r="BE57" s="133">
        <f>VLOOKUP(A57,'2022_PAPI_Indicators'!A52:BD232,55,FALSE)</f>
        <v>0.41235175728797913</v>
      </c>
      <c r="BF57" s="133">
        <f>VLOOKUP(A57,'2022_PAPI_Indicators'!A52:BE232,56,FALSE)</f>
        <v>0.55285024642944336</v>
      </c>
      <c r="BG57" s="133">
        <f>VLOOKUP(A57,'2022_PAPI_Indicators'!A52:BF232,57,FALSE)</f>
        <v>0.59166640043258667</v>
      </c>
      <c r="BH57" s="133">
        <f>VLOOKUP(A57,'2022_PAPI_Indicators'!A52:BG232,58,FALSE)</f>
        <v>0.37502574920654297</v>
      </c>
      <c r="BI57" s="133">
        <f>VLOOKUP(A57,'2022_PAPI_Indicators'!A52:BH232,59,FALSE)</f>
        <v>0.46465441584587097</v>
      </c>
      <c r="BJ57" s="133">
        <f>VLOOKUP(A57,'2022_PAPI_Indicators'!A52:BI232,60,FALSE)</f>
        <v>0.32960164546966553</v>
      </c>
      <c r="BK57" s="133">
        <f>VLOOKUP(A57,'2022_PAPI_Indicators'!A52:BJ232,61,FALSE)</f>
        <v>0.30303537845611572</v>
      </c>
      <c r="BL57" s="133">
        <f>VLOOKUP(A57,'2022_PAPI_Indicators'!A52:BK232,62,FALSE)</f>
        <v>0.49205049872398376</v>
      </c>
      <c r="BM57" s="133">
        <f>VLOOKUP(A57,'2022_PAPI_Indicators'!A52:BL232,63,FALSE)</f>
        <v>0.69381028413772583</v>
      </c>
      <c r="BN57" s="133">
        <f>VLOOKUP(A57,'2022_PAPI_Indicators'!A52:BM232,64,FALSE)</f>
        <v>0.32083004713058472</v>
      </c>
    </row>
    <row r="58" spans="1:66" x14ac:dyDescent="0.2">
      <c r="A58" s="70" t="s">
        <v>180</v>
      </c>
      <c r="B58" s="70" t="s">
        <v>181</v>
      </c>
      <c r="C58" s="89" t="s">
        <v>90</v>
      </c>
      <c r="D58" s="133">
        <f>VLOOKUP(A58,'2022_PAPI_Indicators'!A53:B233,2,)</f>
        <v>0.75</v>
      </c>
      <c r="E58" s="133">
        <f>VLOOKUP(A58,'2022_PAPI_Indicators'!A53:C233,3,FALSE)</f>
        <v>0.94247341156005859</v>
      </c>
      <c r="F58" s="133">
        <f>VLOOKUP(A58,'2022_PAPI_Indicators'!A53:D233,4,FALSE)</f>
        <v>0.60000002384185791</v>
      </c>
      <c r="G58" s="133">
        <f>VLOOKUP(A58,'2022_PAPI_Indicators'!A53:E233,5,FALSE)</f>
        <v>0.86366742849349976</v>
      </c>
      <c r="H58" s="133">
        <f>VLOOKUP(A58,'2022_PAPI_Indicators'!A53:F233,6,FALSE)</f>
        <v>0.90475958585739136</v>
      </c>
      <c r="I58" s="133">
        <f>VLOOKUP(A58,'2022_PAPI_Indicators'!A53:G233,7,FALSE)</f>
        <v>1</v>
      </c>
      <c r="J58" s="133">
        <f>VLOOKUP(A58,'2022_PAPI_Indicators'!A53:H233,8,FALSE)</f>
        <v>1</v>
      </c>
      <c r="K58" s="133">
        <f>VLOOKUP(A58,'2022_PAPI_Indicators'!A53:I233,9,FALSE)</f>
        <v>0.61535930633544922</v>
      </c>
      <c r="L58" s="133">
        <f>VLOOKUP(A58,'2022_PAPI_Indicators'!A53:J233,10,FALSE)</f>
        <v>0.80000001192092896</v>
      </c>
      <c r="M58" s="133">
        <f>VLOOKUP(A58,'2022_PAPI_Indicators'!A53:K233,11,FALSE)</f>
        <v>1</v>
      </c>
      <c r="N58" s="133">
        <f>VLOOKUP(A58,'2022_PAPI_Indicators'!A53:L233,12,FALSE)</f>
        <v>1</v>
      </c>
      <c r="O58" s="133">
        <f>VLOOKUP(A58,'2022_PAPI_Indicators'!A53:M233,13,FALSE)</f>
        <v>0.42778480052947998</v>
      </c>
      <c r="P58" s="133">
        <f>VLOOKUP(A58,'2022_PAPI_Indicators'!A53:N233,14,FALSE)</f>
        <v>1</v>
      </c>
      <c r="Q58" s="133">
        <f>VLOOKUP(A58,'2022_PAPI_Indicators'!A53:O233,15,FALSE)</f>
        <v>1</v>
      </c>
      <c r="R58" s="135">
        <f>VLOOKUP(A58,'2022_PAPI_Indicators'!A53:P233,16,FALSE)</f>
        <v>0</v>
      </c>
      <c r="S58" s="133">
        <f>VLOOKUP(A58,'2022_PAPI_Indicators'!A53:R233,17,FALSE)</f>
        <v>1</v>
      </c>
      <c r="T58" s="133">
        <f>VLOOKUP(A58,'2022_PAPI_Indicators'!A53:S233,18,FALSE)</f>
        <v>1</v>
      </c>
      <c r="U58" s="135">
        <f>VLOOKUP(A58,'2022_PAPI_Indicators'!A53:T233,19,FALSE)</f>
        <v>0</v>
      </c>
      <c r="V58" s="133">
        <f>VLOOKUP(A58,'2022_PAPI_Indicators'!A53:U233,20,FALSE)</f>
        <v>1</v>
      </c>
      <c r="W58" s="133">
        <f>VLOOKUP(A58,'2022_PAPI_Indicators'!A53:V233,21,FALSE)</f>
        <v>9.9704138934612274E-2</v>
      </c>
      <c r="X58" s="133">
        <f>VLOOKUP(A58,'2022_PAPI_Indicators'!A53:W233,22,FALSE)</f>
        <v>1</v>
      </c>
      <c r="Y58" s="133">
        <f>VLOOKUP(A58,'2022_PAPI_Indicators'!A53:X233,23,FALSE)</f>
        <v>1</v>
      </c>
      <c r="Z58" s="133">
        <f>VLOOKUP(A58,'2022_PAPI_Indicators'!A53:Y233,24,FALSE)</f>
        <v>1</v>
      </c>
      <c r="AA58" s="133">
        <f>VLOOKUP(A58,'2022_PAPI_Indicators'!A53:Z233,25,FALSE)</f>
        <v>0.91002333164215088</v>
      </c>
      <c r="AB58" s="133">
        <f>VLOOKUP(A58,'2022_PAPI_Indicators'!A53:AA233,26,FALSE)</f>
        <v>1</v>
      </c>
      <c r="AC58" s="133">
        <f>VLOOKUP(A58,'2022_PAPI_Indicators'!A53:AB233,27,FALSE)</f>
        <v>0.3333333432674408</v>
      </c>
      <c r="AD58" s="133">
        <f>VLOOKUP(A58,'2022_PAPI_Indicators'!A53:AC233,28,FALSE)</f>
        <v>0.75</v>
      </c>
      <c r="AE58" s="133">
        <f>VLOOKUP(A58,'2022_PAPI_Indicators'!A53:AD233,29,FALSE)</f>
        <v>0.81330937147140503</v>
      </c>
      <c r="AF58" s="133">
        <f>VLOOKUP(A58,'2022_PAPI_Indicators'!A53:AE233,30,FALSE)</f>
        <v>0.95633459091186523</v>
      </c>
      <c r="AG58" s="133">
        <f>VLOOKUP(A58,'2022_PAPI_Indicators'!A53:AF233,31,FALSE)</f>
        <v>0.84914124011993408</v>
      </c>
      <c r="AH58" s="133">
        <f>VLOOKUP(A58,'2022_PAPI_Indicators'!A53:AG233,32,FALSE)</f>
        <v>0.97196513414382935</v>
      </c>
      <c r="AI58" s="133">
        <f>VLOOKUP(A58,'2022_PAPI_Indicators'!A53:AH233,33,FALSE)</f>
        <v>1</v>
      </c>
      <c r="AJ58" s="133">
        <f>VLOOKUP(A58,'2022_PAPI_Indicators'!A53:AI233,34,FALSE)</f>
        <v>1</v>
      </c>
      <c r="AK58" s="133">
        <f>VLOOKUP(A58,'2022_PAPI_Indicators'!A53:AJ233,35,FALSE)</f>
        <v>0.93428593873977661</v>
      </c>
      <c r="AL58" s="133">
        <f>VLOOKUP(A58,'2022_PAPI_Indicators'!A53:AK233,36,FALSE)</f>
        <v>0.66666668653488159</v>
      </c>
      <c r="AM58" s="133">
        <f>VLOOKUP(A58,'2022_PAPI_Indicators'!A53:AL233,37,FALSE)</f>
        <v>1</v>
      </c>
      <c r="AN58" s="133">
        <f>VLOOKUP(A58,'2022_PAPI_Indicators'!A53:AM233,38,FALSE)</f>
        <v>1</v>
      </c>
      <c r="AO58" s="133">
        <f>VLOOKUP(A58,'2022_PAPI_Indicators'!A53:AN233,39,FALSE)</f>
        <v>1</v>
      </c>
      <c r="AP58" s="133">
        <f>VLOOKUP(A58,'2022_PAPI_Indicators'!A53:AO233,40,FALSE)</f>
        <v>0.66666668653488159</v>
      </c>
      <c r="AQ58" s="133">
        <f>VLOOKUP(A58,'2022_PAPI_Indicators'!A53:AP233,41,FALSE)</f>
        <v>0.95291227102279663</v>
      </c>
      <c r="AR58" s="133">
        <f>VLOOKUP(A58,'2022_PAPI_Indicators'!A53:AQ233,42,FALSE)</f>
        <v>1</v>
      </c>
      <c r="AS58" s="133">
        <f>VLOOKUP(A58,'2022_PAPI_Indicators'!A53:AR233,43,FALSE)</f>
        <v>0.6336473822593689</v>
      </c>
      <c r="AT58" s="133">
        <f>VLOOKUP(A58,'2022_PAPI_Indicators'!A53:AS233,44,FALSE)</f>
        <v>0.68043309450149536</v>
      </c>
      <c r="AU58" s="133">
        <f>VLOOKUP(A58,'2022_PAPI_Indicators'!A53:AT233,45,FALSE)</f>
        <v>0.75</v>
      </c>
      <c r="AV58" s="133">
        <f>VLOOKUP(A58,'2022_PAPI_Indicators'!A53:AU233,46,FALSE)</f>
        <v>0.70086187124252319</v>
      </c>
      <c r="AW58" s="133">
        <f>VLOOKUP(A58,'2022_PAPI_Indicators'!A53:AV233,47,FALSE)</f>
        <v>0.78947371244430542</v>
      </c>
      <c r="AX58" s="133">
        <f>VLOOKUP(A58,'2022_PAPI_Indicators'!A53:AW233,48,FALSE)</f>
        <v>1</v>
      </c>
      <c r="AY58" s="133">
        <f>VLOOKUP(A58,'2022_PAPI_Indicators'!A53:AX233,49,FALSE)</f>
        <v>0.52386510372161865</v>
      </c>
      <c r="AZ58" s="133">
        <f>VLOOKUP(A58,'2022_PAPI_Indicators'!A53:AY233,50,FALSE)</f>
        <v>0.6823885440826416</v>
      </c>
      <c r="BA58" s="133">
        <f>VLOOKUP(A58,'2022_PAPI_Indicators'!A53:AZ233,51,FALSE)</f>
        <v>1</v>
      </c>
      <c r="BB58" s="133">
        <f>VLOOKUP(A58,'2022_PAPI_Indicators'!A53:BA233,52,FALSE)</f>
        <v>0.70169824361801147</v>
      </c>
      <c r="BC58" s="133">
        <f>VLOOKUP(A58,'2022_PAPI_Indicators'!A53:BB233,53,FALSE)</f>
        <v>0.77079766988754272</v>
      </c>
      <c r="BD58" s="133">
        <f>VLOOKUP(A58,'2022_PAPI_Indicators'!A53:BC233,54,FALSE)</f>
        <v>0</v>
      </c>
      <c r="BE58" s="133">
        <f>VLOOKUP(A58,'2022_PAPI_Indicators'!A53:BD233,55,FALSE)</f>
        <v>1</v>
      </c>
      <c r="BF58" s="133">
        <f>VLOOKUP(A58,'2022_PAPI_Indicators'!A53:BE233,56,FALSE)</f>
        <v>0</v>
      </c>
      <c r="BG58" s="133">
        <f>VLOOKUP(A58,'2022_PAPI_Indicators'!A53:BF233,57,FALSE)</f>
        <v>0.9026140570640564</v>
      </c>
      <c r="BH58" s="133">
        <f>VLOOKUP(A58,'2022_PAPI_Indicators'!A53:BG233,58,FALSE)</f>
        <v>0.80000412464141846</v>
      </c>
      <c r="BI58" s="133">
        <f>VLOOKUP(A58,'2022_PAPI_Indicators'!A53:BH233,59,FALSE)</f>
        <v>0.65260875225067139</v>
      </c>
      <c r="BJ58" s="133">
        <f>VLOOKUP(A58,'2022_PAPI_Indicators'!A53:BI233,60,FALSE)</f>
        <v>1</v>
      </c>
      <c r="BK58" s="133">
        <f>VLOOKUP(A58,'2022_PAPI_Indicators'!A53:BJ233,61,FALSE)</f>
        <v>0.55233842134475708</v>
      </c>
      <c r="BL58" s="133">
        <f>VLOOKUP(A58,'2022_PAPI_Indicators'!A53:BK233,62,FALSE)</f>
        <v>0</v>
      </c>
      <c r="BM58" s="133">
        <f>VLOOKUP(A58,'2022_PAPI_Indicators'!A53:BL233,63,FALSE)</f>
        <v>0</v>
      </c>
      <c r="BN58" s="133">
        <f>VLOOKUP(A58,'2022_PAPI_Indicators'!A53:BM233,64,FALSE)</f>
        <v>0</v>
      </c>
    </row>
    <row r="59" spans="1:66" x14ac:dyDescent="0.2">
      <c r="A59" s="70" t="s">
        <v>182</v>
      </c>
      <c r="B59" s="70" t="s">
        <v>183</v>
      </c>
      <c r="C59" s="89" t="s">
        <v>90</v>
      </c>
      <c r="D59" s="133">
        <f>VLOOKUP(A59,'2022_PAPI_Indicators'!A54:B234,2,)</f>
        <v>0.5</v>
      </c>
      <c r="E59" s="133">
        <f>VLOOKUP(A59,'2022_PAPI_Indicators'!A54:C234,3,FALSE)</f>
        <v>0.17257975041866302</v>
      </c>
      <c r="F59" s="133">
        <f>VLOOKUP(A59,'2022_PAPI_Indicators'!A54:D234,4,FALSE)</f>
        <v>0.75</v>
      </c>
      <c r="G59" s="133">
        <f>VLOOKUP(A59,'2022_PAPI_Indicators'!A54:E234,5,FALSE)</f>
        <v>0.97716408967971802</v>
      </c>
      <c r="H59" s="133">
        <f>VLOOKUP(A59,'2022_PAPI_Indicators'!A54:F234,6,FALSE)</f>
        <v>1</v>
      </c>
      <c r="I59" s="133">
        <f>VLOOKUP(A59,'2022_PAPI_Indicators'!A54:G234,7,FALSE)</f>
        <v>0.94962644577026367</v>
      </c>
      <c r="J59" s="133">
        <f>VLOOKUP(A59,'2022_PAPI_Indicators'!A54:H234,8,FALSE)</f>
        <v>0.59816604852676392</v>
      </c>
      <c r="K59" s="133">
        <f>VLOOKUP(A59,'2022_PAPI_Indicators'!A54:I234,9,FALSE)</f>
        <v>1</v>
      </c>
      <c r="L59" s="133">
        <f>VLOOKUP(A59,'2022_PAPI_Indicators'!A54:J234,10,FALSE)</f>
        <v>0.80000001192092896</v>
      </c>
      <c r="M59" s="133">
        <f>VLOOKUP(A59,'2022_PAPI_Indicators'!A54:K234,11,FALSE)</f>
        <v>1</v>
      </c>
      <c r="N59" s="133">
        <f>VLOOKUP(A59,'2022_PAPI_Indicators'!A54:L234,12,FALSE)</f>
        <v>1</v>
      </c>
      <c r="O59" s="133">
        <f>VLOOKUP(A59,'2022_PAPI_Indicators'!A54:M234,13,FALSE)</f>
        <v>0.91904163360595703</v>
      </c>
      <c r="P59" s="133">
        <f>VLOOKUP(A59,'2022_PAPI_Indicators'!A54:N234,14,FALSE)</f>
        <v>1</v>
      </c>
      <c r="Q59" s="133">
        <f>VLOOKUP(A59,'2022_PAPI_Indicators'!A54:O234,15,FALSE)</f>
        <v>1</v>
      </c>
      <c r="R59" s="135">
        <f>VLOOKUP(A59,'2022_PAPI_Indicators'!A54:P234,16,FALSE)</f>
        <v>0</v>
      </c>
      <c r="S59" s="133">
        <f>VLOOKUP(A59,'2022_PAPI_Indicators'!A54:R234,17,FALSE)</f>
        <v>1</v>
      </c>
      <c r="T59" s="133">
        <f>VLOOKUP(A59,'2022_PAPI_Indicators'!A54:S234,18,FALSE)</f>
        <v>1</v>
      </c>
      <c r="U59" s="135">
        <f>VLOOKUP(A59,'2022_PAPI_Indicators'!A54:T234,19,FALSE)</f>
        <v>0</v>
      </c>
      <c r="V59" s="133">
        <f>VLOOKUP(A59,'2022_PAPI_Indicators'!A54:U234,20,FALSE)</f>
        <v>1</v>
      </c>
      <c r="W59" s="133">
        <f>VLOOKUP(A59,'2022_PAPI_Indicators'!A54:V234,21,FALSE)</f>
        <v>0.19940827786922455</v>
      </c>
      <c r="X59" s="133">
        <f>VLOOKUP(A59,'2022_PAPI_Indicators'!A54:W234,22,FALSE)</f>
        <v>1</v>
      </c>
      <c r="Y59" s="133">
        <f>VLOOKUP(A59,'2022_PAPI_Indicators'!A54:X234,23,FALSE)</f>
        <v>1</v>
      </c>
      <c r="Z59" s="133">
        <f>VLOOKUP(A59,'2022_PAPI_Indicators'!A54:Y234,24,FALSE)</f>
        <v>1</v>
      </c>
      <c r="AA59" s="133">
        <f>VLOOKUP(A59,'2022_PAPI_Indicators'!A54:Z234,25,FALSE)</f>
        <v>0.91002333164215088</v>
      </c>
      <c r="AB59" s="133">
        <f>VLOOKUP(A59,'2022_PAPI_Indicators'!A54:AA234,26,FALSE)</f>
        <v>1</v>
      </c>
      <c r="AC59" s="133">
        <f>VLOOKUP(A59,'2022_PAPI_Indicators'!A54:AB234,27,FALSE)</f>
        <v>1</v>
      </c>
      <c r="AD59" s="133">
        <f>VLOOKUP(A59,'2022_PAPI_Indicators'!A54:AC234,28,FALSE)</f>
        <v>1</v>
      </c>
      <c r="AE59" s="133">
        <f>VLOOKUP(A59,'2022_PAPI_Indicators'!A54:AD234,29,FALSE)</f>
        <v>1</v>
      </c>
      <c r="AF59" s="133">
        <f>VLOOKUP(A59,'2022_PAPI_Indicators'!A54:AE234,30,FALSE)</f>
        <v>0.88769668340682983</v>
      </c>
      <c r="AG59" s="133">
        <f>VLOOKUP(A59,'2022_PAPI_Indicators'!A54:AF234,31,FALSE)</f>
        <v>0.84914124011993408</v>
      </c>
      <c r="AH59" s="133">
        <f>VLOOKUP(A59,'2022_PAPI_Indicators'!A54:AG234,32,FALSE)</f>
        <v>1</v>
      </c>
      <c r="AI59" s="133">
        <f>VLOOKUP(A59,'2022_PAPI_Indicators'!A54:AH234,33,FALSE)</f>
        <v>1</v>
      </c>
      <c r="AJ59" s="133">
        <f>VLOOKUP(A59,'2022_PAPI_Indicators'!A54:AI234,34,FALSE)</f>
        <v>1</v>
      </c>
      <c r="AK59" s="133">
        <f>VLOOKUP(A59,'2022_PAPI_Indicators'!A54:AJ234,35,FALSE)</f>
        <v>0.92966389656066895</v>
      </c>
      <c r="AL59" s="133">
        <f>VLOOKUP(A59,'2022_PAPI_Indicators'!A54:AK234,36,FALSE)</f>
        <v>1</v>
      </c>
      <c r="AM59" s="133">
        <f>VLOOKUP(A59,'2022_PAPI_Indicators'!A54:AL234,37,FALSE)</f>
        <v>0.31134745478630066</v>
      </c>
      <c r="AN59" s="133">
        <f>VLOOKUP(A59,'2022_PAPI_Indicators'!A54:AM234,38,FALSE)</f>
        <v>1</v>
      </c>
      <c r="AO59" s="133">
        <f>VLOOKUP(A59,'2022_PAPI_Indicators'!A54:AN234,39,FALSE)</f>
        <v>0.66666668653488159</v>
      </c>
      <c r="AP59" s="133">
        <f>VLOOKUP(A59,'2022_PAPI_Indicators'!A54:AO234,40,FALSE)</f>
        <v>0.96179002523422241</v>
      </c>
      <c r="AQ59" s="133">
        <f>VLOOKUP(A59,'2022_PAPI_Indicators'!A54:AP234,41,FALSE)</f>
        <v>1</v>
      </c>
      <c r="AR59" s="133">
        <f>VLOOKUP(A59,'2022_PAPI_Indicators'!A54:AQ234,42,FALSE)</f>
        <v>0.74547880887985229</v>
      </c>
      <c r="AS59" s="133">
        <f>VLOOKUP(A59,'2022_PAPI_Indicators'!A54:AR234,43,FALSE)</f>
        <v>0.68043309450149536</v>
      </c>
      <c r="AT59" s="133">
        <f>VLOOKUP(A59,'2022_PAPI_Indicators'!A54:AS234,44,FALSE)</f>
        <v>1</v>
      </c>
      <c r="AU59" s="133">
        <f>VLOOKUP(A59,'2022_PAPI_Indicators'!A54:AT234,45,FALSE)</f>
        <v>0.7162933349609375</v>
      </c>
      <c r="AV59" s="133">
        <f>VLOOKUP(A59,'2022_PAPI_Indicators'!A54:AU234,46,FALSE)</f>
        <v>0.8125</v>
      </c>
      <c r="AW59" s="133">
        <f>VLOOKUP(A59,'2022_PAPI_Indicators'!A54:AV234,47,FALSE)</f>
        <v>1</v>
      </c>
      <c r="AX59" s="133">
        <f>VLOOKUP(A59,'2022_PAPI_Indicators'!A54:AW234,48,FALSE)</f>
        <v>1</v>
      </c>
      <c r="AY59" s="133">
        <f>VLOOKUP(A59,'2022_PAPI_Indicators'!A54:AX234,49,FALSE)</f>
        <v>1</v>
      </c>
      <c r="AZ59" s="133">
        <f>VLOOKUP(A59,'2022_PAPI_Indicators'!A54:AY234,50,FALSE)</f>
        <v>0.68885374069213867</v>
      </c>
      <c r="BA59" s="133">
        <f>VLOOKUP(A59,'2022_PAPI_Indicators'!A54:AZ234,51,FALSE)</f>
        <v>0.97550129890441895</v>
      </c>
      <c r="BB59" s="133">
        <f>VLOOKUP(A59,'2022_PAPI_Indicators'!A54:BA234,52,FALSE)</f>
        <v>0.95132941007614136</v>
      </c>
      <c r="BC59" s="133">
        <f>VLOOKUP(A59,'2022_PAPI_Indicators'!A54:BB234,53,FALSE)</f>
        <v>0</v>
      </c>
      <c r="BD59" s="133">
        <f>VLOOKUP(A59,'2022_PAPI_Indicators'!A54:BC234,54,FALSE)</f>
        <v>1</v>
      </c>
      <c r="BE59" s="133">
        <f>VLOOKUP(A59,'2022_PAPI_Indicators'!A54:BD234,55,FALSE)</f>
        <v>0.83061057329177856</v>
      </c>
      <c r="BF59" s="133">
        <f>VLOOKUP(A59,'2022_PAPI_Indicators'!A54:BE234,56,FALSE)</f>
        <v>0.91851562261581421</v>
      </c>
      <c r="BG59" s="133">
        <f>VLOOKUP(A59,'2022_PAPI_Indicators'!A54:BF234,57,FALSE)</f>
        <v>0.83333331346511841</v>
      </c>
      <c r="BH59" s="133">
        <f>VLOOKUP(A59,'2022_PAPI_Indicators'!A54:BG234,58,FALSE)</f>
        <v>1</v>
      </c>
      <c r="BI59" s="133">
        <f>VLOOKUP(A59,'2022_PAPI_Indicators'!A54:BH234,59,FALSE)</f>
        <v>1</v>
      </c>
      <c r="BJ59" s="133">
        <f>VLOOKUP(A59,'2022_PAPI_Indicators'!A54:BI234,60,FALSE)</f>
        <v>0</v>
      </c>
      <c r="BK59" s="133">
        <f>VLOOKUP(A59,'2022_PAPI_Indicators'!A54:BJ234,61,FALSE)</f>
        <v>0</v>
      </c>
      <c r="BL59" s="133">
        <f>VLOOKUP(A59,'2022_PAPI_Indicators'!A54:BK234,62,FALSE)</f>
        <v>0</v>
      </c>
      <c r="BM59" s="133">
        <f>VLOOKUP(A59,'2022_PAPI_Indicators'!A54:BL234,63,FALSE)</f>
        <v>0</v>
      </c>
      <c r="BN59" s="133">
        <f>VLOOKUP(A59,'2022_PAPI_Indicators'!A54:BM234,64,FALSE)</f>
        <v>0</v>
      </c>
    </row>
    <row r="60" spans="1:66" x14ac:dyDescent="0.2">
      <c r="A60" s="70" t="s">
        <v>184</v>
      </c>
      <c r="B60" s="70" t="s">
        <v>185</v>
      </c>
      <c r="C60" s="89" t="s">
        <v>90</v>
      </c>
      <c r="D60" s="133">
        <f>VLOOKUP(A60,'2022_PAPI_Indicators'!A55:B235,2,)</f>
        <v>0.60328829288482666</v>
      </c>
      <c r="E60" s="133">
        <f>VLOOKUP(A60,'2022_PAPI_Indicators'!A55:C235,3,FALSE)</f>
        <v>0.34179463982582092</v>
      </c>
      <c r="F60" s="133">
        <f>VLOOKUP(A60,'2022_PAPI_Indicators'!A55:D235,4,FALSE)</f>
        <v>0.34319350123405457</v>
      </c>
      <c r="G60" s="133">
        <f>VLOOKUP(A60,'2022_PAPI_Indicators'!A55:E235,5,FALSE)</f>
        <v>0.3880479633808136</v>
      </c>
      <c r="H60" s="133">
        <f>VLOOKUP(A60,'2022_PAPI_Indicators'!A55:F235,6,FALSE)</f>
        <v>0.37293744087219238</v>
      </c>
      <c r="I60" s="133">
        <f>VLOOKUP(A60,'2022_PAPI_Indicators'!A55:G235,7,FALSE)</f>
        <v>0.47013109922409058</v>
      </c>
      <c r="J60" s="133">
        <f>VLOOKUP(A60,'2022_PAPI_Indicators'!A55:H235,8,FALSE)</f>
        <v>0.24702976644039154</v>
      </c>
      <c r="K60" s="133">
        <f>VLOOKUP(A60,'2022_PAPI_Indicators'!A55:I235,9,FALSE)</f>
        <v>0.4666806161403656</v>
      </c>
      <c r="L60" s="133">
        <f>VLOOKUP(A60,'2022_PAPI_Indicators'!A55:J235,10,FALSE)</f>
        <v>0.43627199530601501</v>
      </c>
      <c r="M60" s="133">
        <f>VLOOKUP(A60,'2022_PAPI_Indicators'!A55:K235,11,FALSE)</f>
        <v>0.40703389048576355</v>
      </c>
      <c r="N60" s="133">
        <f>VLOOKUP(A60,'2022_PAPI_Indicators'!A55:L235,12,FALSE)</f>
        <v>0.45964762568473816</v>
      </c>
      <c r="O60" s="133">
        <f>VLOOKUP(A60,'2022_PAPI_Indicators'!A55:M235,13,FALSE)</f>
        <v>0.55240249633789063</v>
      </c>
      <c r="P60" s="133">
        <f>VLOOKUP(A60,'2022_PAPI_Indicators'!A55:N235,14,FALSE)</f>
        <v>0.459757000207901</v>
      </c>
      <c r="Q60" s="133">
        <f>VLOOKUP(A60,'2022_PAPI_Indicators'!A55:O235,15,FALSE)</f>
        <v>0.74090445041656494</v>
      </c>
      <c r="R60" s="135">
        <f>VLOOKUP(A60,'2022_PAPI_Indicators'!A55:P235,16,FALSE)</f>
        <v>0</v>
      </c>
      <c r="S60" s="133">
        <f>VLOOKUP(A60,'2022_PAPI_Indicators'!A55:R235,17,FALSE)</f>
        <v>0.55878865718841553</v>
      </c>
      <c r="T60" s="133">
        <f>VLOOKUP(A60,'2022_PAPI_Indicators'!A55:S235,18,FALSE)</f>
        <v>0.58901572227478027</v>
      </c>
      <c r="U60" s="135">
        <f>VLOOKUP(A60,'2022_PAPI_Indicators'!A55:T235,19,FALSE)</f>
        <v>0</v>
      </c>
      <c r="V60" s="133">
        <f>VLOOKUP(A60,'2022_PAPI_Indicators'!A55:U235,20,FALSE)</f>
        <v>0.41981327533721924</v>
      </c>
      <c r="W60" s="133">
        <f>VLOOKUP(A60,'2022_PAPI_Indicators'!A55:V235,21,FALSE)</f>
        <v>0.50487637519836426</v>
      </c>
      <c r="X60" s="133">
        <f>VLOOKUP(A60,'2022_PAPI_Indicators'!A55:W235,22,FALSE)</f>
        <v>0.52551776170730591</v>
      </c>
      <c r="Y60" s="133">
        <f>VLOOKUP(A60,'2022_PAPI_Indicators'!A55:X235,23,FALSE)</f>
        <v>0.54800081253051758</v>
      </c>
      <c r="Z60" s="133">
        <f>VLOOKUP(A60,'2022_PAPI_Indicators'!A55:Y235,24,FALSE)</f>
        <v>0.49017471075057983</v>
      </c>
      <c r="AA60" s="133">
        <f>VLOOKUP(A60,'2022_PAPI_Indicators'!A55:Z235,25,FALSE)</f>
        <v>0.42853844165802002</v>
      </c>
      <c r="AB60" s="133">
        <f>VLOOKUP(A60,'2022_PAPI_Indicators'!A55:AA235,26,FALSE)</f>
        <v>0.39030361175537109</v>
      </c>
      <c r="AC60" s="133">
        <f>VLOOKUP(A60,'2022_PAPI_Indicators'!A55:AB235,27,FALSE)</f>
        <v>0.6286855936050415</v>
      </c>
      <c r="AD60" s="133">
        <f>VLOOKUP(A60,'2022_PAPI_Indicators'!A55:AC235,28,FALSE)</f>
        <v>0.45445182919502258</v>
      </c>
      <c r="AE60" s="133">
        <f>VLOOKUP(A60,'2022_PAPI_Indicators'!A55:AD235,29,FALSE)</f>
        <v>0.5127410888671875</v>
      </c>
      <c r="AF60" s="133">
        <f>VLOOKUP(A60,'2022_PAPI_Indicators'!A55:AE235,30,FALSE)</f>
        <v>0.40519273281097412</v>
      </c>
      <c r="AG60" s="133">
        <f>VLOOKUP(A60,'2022_PAPI_Indicators'!A55:AF235,31,FALSE)</f>
        <v>0.38728716969490051</v>
      </c>
      <c r="AH60" s="133">
        <f>VLOOKUP(A60,'2022_PAPI_Indicators'!A55:AG235,32,FALSE)</f>
        <v>0.53668862581253052</v>
      </c>
      <c r="AI60" s="133">
        <f>VLOOKUP(A60,'2022_PAPI_Indicators'!A55:AH235,33,FALSE)</f>
        <v>0.53752076625823975</v>
      </c>
      <c r="AJ60" s="133">
        <f>VLOOKUP(A60,'2022_PAPI_Indicators'!A55:AI235,34,FALSE)</f>
        <v>0.42964500188827515</v>
      </c>
      <c r="AK60" s="133">
        <f>VLOOKUP(A60,'2022_PAPI_Indicators'!A55:AJ235,35,FALSE)</f>
        <v>0.48489171266555786</v>
      </c>
      <c r="AL60" s="133">
        <f>VLOOKUP(A60,'2022_PAPI_Indicators'!A55:AK235,36,FALSE)</f>
        <v>0.34114804863929749</v>
      </c>
      <c r="AM60" s="133">
        <f>VLOOKUP(A60,'2022_PAPI_Indicators'!A55:AL235,37,FALSE)</f>
        <v>0.3682657778263092</v>
      </c>
      <c r="AN60" s="133">
        <f>VLOOKUP(A60,'2022_PAPI_Indicators'!A55:AM235,38,FALSE)</f>
        <v>0.58065509796142578</v>
      </c>
      <c r="AO60" s="133">
        <f>VLOOKUP(A60,'2022_PAPI_Indicators'!A55:AN235,39,FALSE)</f>
        <v>0.62111937999725342</v>
      </c>
      <c r="AP60" s="133">
        <f>VLOOKUP(A60,'2022_PAPI_Indicators'!A55:AO235,40,FALSE)</f>
        <v>0.50588887929916382</v>
      </c>
      <c r="AQ60" s="133">
        <f>VLOOKUP(A60,'2022_PAPI_Indicators'!A55:AP235,41,FALSE)</f>
        <v>0.36627167463302612</v>
      </c>
      <c r="AR60" s="133">
        <f>VLOOKUP(A60,'2022_PAPI_Indicators'!A55:AQ235,42,FALSE)</f>
        <v>0.46013528108596802</v>
      </c>
      <c r="AS60" s="133">
        <f>VLOOKUP(A60,'2022_PAPI_Indicators'!A55:AR235,43,FALSE)</f>
        <v>0.48048019409179688</v>
      </c>
      <c r="AT60" s="133">
        <f>VLOOKUP(A60,'2022_PAPI_Indicators'!A55:AS235,44,FALSE)</f>
        <v>0.49195283651351929</v>
      </c>
      <c r="AU60" s="133">
        <f>VLOOKUP(A60,'2022_PAPI_Indicators'!A55:AT235,45,FALSE)</f>
        <v>0.48478412628173828</v>
      </c>
      <c r="AV60" s="133">
        <f>VLOOKUP(A60,'2022_PAPI_Indicators'!A55:AU235,46,FALSE)</f>
        <v>0.46906158328056335</v>
      </c>
      <c r="AW60" s="133">
        <f>VLOOKUP(A60,'2022_PAPI_Indicators'!A55:AV235,47,FALSE)</f>
        <v>0.35033062100410461</v>
      </c>
      <c r="AX60" s="133">
        <f>VLOOKUP(A60,'2022_PAPI_Indicators'!A55:AW235,48,FALSE)</f>
        <v>0.65565639734268188</v>
      </c>
      <c r="AY60" s="133">
        <f>VLOOKUP(A60,'2022_PAPI_Indicators'!A55:AX235,49,FALSE)</f>
        <v>0.4902421236038208</v>
      </c>
      <c r="AZ60" s="133">
        <f>VLOOKUP(A60,'2022_PAPI_Indicators'!A55:AY235,50,FALSE)</f>
        <v>0.51627844572067261</v>
      </c>
      <c r="BA60" s="133">
        <f>VLOOKUP(A60,'2022_PAPI_Indicators'!A55:AZ235,51,FALSE)</f>
        <v>0.51520025730133057</v>
      </c>
      <c r="BB60" s="133">
        <f>VLOOKUP(A60,'2022_PAPI_Indicators'!A55:BA235,52,FALSE)</f>
        <v>0.34955629706382751</v>
      </c>
      <c r="BC60" s="133">
        <f>VLOOKUP(A60,'2022_PAPI_Indicators'!A55:BB235,53,FALSE)</f>
        <v>0.32689753174781799</v>
      </c>
      <c r="BD60" s="133">
        <f>VLOOKUP(A60,'2022_PAPI_Indicators'!A55:BC235,54,FALSE)</f>
        <v>0.33921599388122559</v>
      </c>
      <c r="BE60" s="133">
        <f>VLOOKUP(A60,'2022_PAPI_Indicators'!A55:BD235,55,FALSE)</f>
        <v>0.39414864778518677</v>
      </c>
      <c r="BF60" s="133">
        <f>VLOOKUP(A60,'2022_PAPI_Indicators'!A55:BE235,56,FALSE)</f>
        <v>0.50138270854949951</v>
      </c>
      <c r="BG60" s="133">
        <f>VLOOKUP(A60,'2022_PAPI_Indicators'!A55:BF235,57,FALSE)</f>
        <v>0.48038232326507568</v>
      </c>
      <c r="BH60" s="133">
        <f>VLOOKUP(A60,'2022_PAPI_Indicators'!A55:BG235,58,FALSE)</f>
        <v>0.36237579584121704</v>
      </c>
      <c r="BI60" s="133">
        <f>VLOOKUP(A60,'2022_PAPI_Indicators'!A55:BH235,59,FALSE)</f>
        <v>0.39397761225700378</v>
      </c>
      <c r="BJ60" s="133">
        <f>VLOOKUP(A60,'2022_PAPI_Indicators'!A55:BI235,60,FALSE)</f>
        <v>0.32561767101287842</v>
      </c>
      <c r="BK60" s="133">
        <f>VLOOKUP(A60,'2022_PAPI_Indicators'!A55:BJ235,61,FALSE)</f>
        <v>0.35611078143119812</v>
      </c>
      <c r="BL60" s="133">
        <f>VLOOKUP(A60,'2022_PAPI_Indicators'!A55:BK235,62,FALSE)</f>
        <v>0.41951179504394531</v>
      </c>
      <c r="BM60" s="133">
        <f>VLOOKUP(A60,'2022_PAPI_Indicators'!A55:BL235,63,FALSE)</f>
        <v>0.54990285634994507</v>
      </c>
      <c r="BN60" s="133">
        <f>VLOOKUP(A60,'2022_PAPI_Indicators'!A55:BM235,64,FALSE)</f>
        <v>0.48795658349990845</v>
      </c>
    </row>
    <row r="61" spans="1:66" s="75" customFormat="1" x14ac:dyDescent="0.2">
      <c r="A61" s="75" t="s">
        <v>186</v>
      </c>
      <c r="B61" s="76" t="s">
        <v>187</v>
      </c>
      <c r="C61" s="91" t="s">
        <v>85</v>
      </c>
      <c r="D61" s="129">
        <f>VLOOKUP(A61,'2022_PAPI_Indicators'!A56:B236,2,)</f>
        <v>4.3706684112548828</v>
      </c>
      <c r="E61" s="129">
        <f>VLOOKUP(A61,'2022_PAPI_Indicators'!A56:C236,3,FALSE)</f>
        <v>4.1183452606201172</v>
      </c>
      <c r="F61" s="129">
        <f>VLOOKUP(A61,'2022_PAPI_Indicators'!A56:D236,4,FALSE)</f>
        <v>4.1071596145629883</v>
      </c>
      <c r="G61" s="129">
        <f>VLOOKUP(A61,'2022_PAPI_Indicators'!A56:E236,5,FALSE)</f>
        <v>4.3556170463562012</v>
      </c>
      <c r="H61" s="129">
        <f>VLOOKUP(A61,'2022_PAPI_Indicators'!A56:F236,6,FALSE)</f>
        <v>4.4065399169921875</v>
      </c>
      <c r="I61" s="129">
        <f>VLOOKUP(A61,'2022_PAPI_Indicators'!A56:G236,7,FALSE)</f>
        <v>4.2149209976196289</v>
      </c>
      <c r="J61" s="129">
        <f>VLOOKUP(A61,'2022_PAPI_Indicators'!A56:H236,8,FALSE)</f>
        <v>4.1838650703430176</v>
      </c>
      <c r="K61" s="129">
        <f>VLOOKUP(A61,'2022_PAPI_Indicators'!A56:I236,9,FALSE)</f>
        <v>4.3170757293701172</v>
      </c>
      <c r="L61" s="129">
        <f>VLOOKUP(A61,'2022_PAPI_Indicators'!A56:J236,10,FALSE)</f>
        <v>4.21875</v>
      </c>
      <c r="M61" s="129">
        <f>VLOOKUP(A61,'2022_PAPI_Indicators'!A56:K236,11,FALSE)</f>
        <v>4.3560056686401367</v>
      </c>
      <c r="N61" s="129">
        <f>VLOOKUP(A61,'2022_PAPI_Indicators'!A56:L236,12,FALSE)</f>
        <v>4.3150782585144043</v>
      </c>
      <c r="O61" s="129">
        <f>VLOOKUP(A61,'2022_PAPI_Indicators'!A56:M236,13,FALSE)</f>
        <v>4.4112863540649414</v>
      </c>
      <c r="P61" s="129">
        <f>VLOOKUP(A61,'2022_PAPI_Indicators'!A56:N236,14,FALSE)</f>
        <v>4.4797568321228027</v>
      </c>
      <c r="Q61" s="129">
        <f>VLOOKUP(A61,'2022_PAPI_Indicators'!A56:O236,15,FALSE)</f>
        <v>4.5820865631103516</v>
      </c>
      <c r="R61" s="130">
        <f>VLOOKUP(A61,'2022_PAPI_Indicators'!A56:P236,16,FALSE)</f>
        <v>4.3967270851135254</v>
      </c>
      <c r="S61" s="129">
        <f>VLOOKUP(A61,'2022_PAPI_Indicators'!A56:R236,17,FALSE)</f>
        <v>4.2259016036987305</v>
      </c>
      <c r="T61" s="129">
        <f>VLOOKUP(A61,'2022_PAPI_Indicators'!A56:S236,18,FALSE)</f>
        <v>4.505192756652832</v>
      </c>
      <c r="U61" s="130">
        <f>VLOOKUP(A61,'2022_PAPI_Indicators'!A56:T236,19,FALSE)</f>
        <v>0</v>
      </c>
      <c r="V61" s="129">
        <f>VLOOKUP(A61,'2022_PAPI_Indicators'!A56:U236,20,FALSE)</f>
        <v>4.2873167991638184</v>
      </c>
      <c r="W61" s="129">
        <f>VLOOKUP(A61,'2022_PAPI_Indicators'!A56:V236,21,FALSE)</f>
        <v>4.5039429664611816</v>
      </c>
      <c r="X61" s="129">
        <f>VLOOKUP(A61,'2022_PAPI_Indicators'!A56:W236,22,FALSE)</f>
        <v>4.2877058982849121</v>
      </c>
      <c r="Y61" s="129">
        <f>VLOOKUP(A61,'2022_PAPI_Indicators'!A56:X236,23,FALSE)</f>
        <v>4.3360552787780762</v>
      </c>
      <c r="Z61" s="129">
        <f>VLOOKUP(A61,'2022_PAPI_Indicators'!A56:Y236,24,FALSE)</f>
        <v>4.4197750091552734</v>
      </c>
      <c r="AA61" s="129">
        <f>VLOOKUP(A61,'2022_PAPI_Indicators'!A56:Z236,25,FALSE)</f>
        <v>4.3349323272705078</v>
      </c>
      <c r="AB61" s="129">
        <f>VLOOKUP(A61,'2022_PAPI_Indicators'!A56:AA236,26,FALSE)</f>
        <v>4.1995658874511719</v>
      </c>
      <c r="AC61" s="129">
        <f>VLOOKUP(A61,'2022_PAPI_Indicators'!A56:AB236,27,FALSE)</f>
        <v>4.5242900848388672</v>
      </c>
      <c r="AD61" s="129">
        <f>VLOOKUP(A61,'2022_PAPI_Indicators'!A56:AC236,28,FALSE)</f>
        <v>4.3129062652587891</v>
      </c>
      <c r="AE61" s="129">
        <f>VLOOKUP(A61,'2022_PAPI_Indicators'!A56:AD236,29,FALSE)</f>
        <v>4.5541276931762695</v>
      </c>
      <c r="AF61" s="129">
        <f>VLOOKUP(A61,'2022_PAPI_Indicators'!A56:AE236,30,FALSE)</f>
        <v>4.2742500305175781</v>
      </c>
      <c r="AG61" s="129">
        <f>VLOOKUP(A61,'2022_PAPI_Indicators'!A56:AF236,31,FALSE)</f>
        <v>4.3313045501708984</v>
      </c>
      <c r="AH61" s="129">
        <f>VLOOKUP(A61,'2022_PAPI_Indicators'!A56:AG236,32,FALSE)</f>
        <v>4.3262863159179688</v>
      </c>
      <c r="AI61" s="129">
        <f>VLOOKUP(A61,'2022_PAPI_Indicators'!A56:AH236,33,FALSE)</f>
        <v>4.2023048400878906</v>
      </c>
      <c r="AJ61" s="129">
        <f>VLOOKUP(A61,'2022_PAPI_Indicators'!A56:AI236,34,FALSE)</f>
        <v>4.3640437126159668</v>
      </c>
      <c r="AK61" s="129">
        <f>VLOOKUP(A61,'2022_PAPI_Indicators'!A56:AJ236,35,FALSE)</f>
        <v>4.3955349922180176</v>
      </c>
      <c r="AL61" s="129">
        <f>VLOOKUP(A61,'2022_PAPI_Indicators'!A56:AK236,36,FALSE)</f>
        <v>4.1415824890136719</v>
      </c>
      <c r="AM61" s="129">
        <f>VLOOKUP(A61,'2022_PAPI_Indicators'!A56:AL236,37,FALSE)</f>
        <v>4.0884356498718262</v>
      </c>
      <c r="AN61" s="129">
        <f>VLOOKUP(A61,'2022_PAPI_Indicators'!A56:AM236,38,FALSE)</f>
        <v>4.4444003105163574</v>
      </c>
      <c r="AO61" s="129">
        <f>VLOOKUP(A61,'2022_PAPI_Indicators'!A56:AN236,39,FALSE)</f>
        <v>4.3562006950378418</v>
      </c>
      <c r="AP61" s="129">
        <f>VLOOKUP(A61,'2022_PAPI_Indicators'!A56:AO236,40,FALSE)</f>
        <v>4.4257078170776367</v>
      </c>
      <c r="AQ61" s="129">
        <f>VLOOKUP(A61,'2022_PAPI_Indicators'!A56:AP236,41,FALSE)</f>
        <v>4.1791086196899414</v>
      </c>
      <c r="AR61" s="129">
        <f>VLOOKUP(A61,'2022_PAPI_Indicators'!A56:AQ236,42,FALSE)</f>
        <v>3.9166488647460938</v>
      </c>
      <c r="AS61" s="129">
        <f>VLOOKUP(A61,'2022_PAPI_Indicators'!A56:AR236,43,FALSE)</f>
        <v>4.1477422714233398</v>
      </c>
      <c r="AT61" s="129">
        <f>VLOOKUP(A61,'2022_PAPI_Indicators'!A56:AS236,44,FALSE)</f>
        <v>4.3238558769226074</v>
      </c>
      <c r="AU61" s="129">
        <f>VLOOKUP(A61,'2022_PAPI_Indicators'!A56:AT236,45,FALSE)</f>
        <v>4.1752843856811523</v>
      </c>
      <c r="AV61" s="129">
        <f>VLOOKUP(A61,'2022_PAPI_Indicators'!A56:AU236,46,FALSE)</f>
        <v>4.0014863014221191</v>
      </c>
      <c r="AW61" s="129">
        <f>VLOOKUP(A61,'2022_PAPI_Indicators'!A56:AV236,47,FALSE)</f>
        <v>4.0198574066162109</v>
      </c>
      <c r="AX61" s="129">
        <f>VLOOKUP(A61,'2022_PAPI_Indicators'!A56:AW236,48,FALSE)</f>
        <v>4.5423116683959961</v>
      </c>
      <c r="AY61" s="129">
        <f>VLOOKUP(A61,'2022_PAPI_Indicators'!A56:AX236,49,FALSE)</f>
        <v>4.180880069732666</v>
      </c>
      <c r="AZ61" s="129">
        <f>VLOOKUP(A61,'2022_PAPI_Indicators'!A56:AY236,50,FALSE)</f>
        <v>4.2505388259887695</v>
      </c>
      <c r="BA61" s="129">
        <f>VLOOKUP(A61,'2022_PAPI_Indicators'!A56:AZ236,51,FALSE)</f>
        <v>4.3024554252624512</v>
      </c>
      <c r="BB61" s="129">
        <f>VLOOKUP(A61,'2022_PAPI_Indicators'!A56:BA236,52,FALSE)</f>
        <v>3.9954378604888916</v>
      </c>
      <c r="BC61" s="129">
        <f>VLOOKUP(A61,'2022_PAPI_Indicators'!A56:BB236,53,FALSE)</f>
        <v>4.1569485664367676</v>
      </c>
      <c r="BD61" s="129">
        <f>VLOOKUP(A61,'2022_PAPI_Indicators'!A56:BC236,54,FALSE)</f>
        <v>3.9702434539794922</v>
      </c>
      <c r="BE61" s="129">
        <f>VLOOKUP(A61,'2022_PAPI_Indicators'!A56:BD236,55,FALSE)</f>
        <v>3.9934396743774414</v>
      </c>
      <c r="BF61" s="129">
        <f>VLOOKUP(A61,'2022_PAPI_Indicators'!A56:BE236,56,FALSE)</f>
        <v>4.4151415824890137</v>
      </c>
      <c r="BG61" s="129">
        <f>VLOOKUP(A61,'2022_PAPI_Indicators'!A56:BF236,57,FALSE)</f>
        <v>4.240199089050293</v>
      </c>
      <c r="BH61" s="129">
        <f>VLOOKUP(A61,'2022_PAPI_Indicators'!A56:BG236,58,FALSE)</f>
        <v>4.1583843231201172</v>
      </c>
      <c r="BI61" s="129">
        <f>VLOOKUP(A61,'2022_PAPI_Indicators'!A56:BH236,59,FALSE)</f>
        <v>4.2855372428894043</v>
      </c>
      <c r="BJ61" s="129">
        <f>VLOOKUP(A61,'2022_PAPI_Indicators'!A56:BI236,60,FALSE)</f>
        <v>4.0008220672607422</v>
      </c>
      <c r="BK61" s="129">
        <f>VLOOKUP(A61,'2022_PAPI_Indicators'!A56:BJ236,61,FALSE)</f>
        <v>4.228569507598877</v>
      </c>
      <c r="BL61" s="129">
        <f>VLOOKUP(A61,'2022_PAPI_Indicators'!A56:BK236,62,FALSE)</f>
        <v>4.358424186706543</v>
      </c>
      <c r="BM61" s="129">
        <f>VLOOKUP(A61,'2022_PAPI_Indicators'!A56:BL236,63,FALSE)</f>
        <v>4.5169539451599121</v>
      </c>
      <c r="BN61" s="129">
        <f>VLOOKUP(A61,'2022_PAPI_Indicators'!A56:BM236,64,FALSE)</f>
        <v>4.463716983795166</v>
      </c>
    </row>
    <row r="62" spans="1:66" s="112" customFormat="1" x14ac:dyDescent="0.2">
      <c r="A62" s="77" t="s">
        <v>188</v>
      </c>
      <c r="B62" s="77" t="s">
        <v>189</v>
      </c>
      <c r="C62" s="92" t="s">
        <v>449</v>
      </c>
      <c r="D62" s="131">
        <f>VLOOKUP(A62,'2022_PAPI_Indicators'!A57:B237,2,)</f>
        <v>1.9230015277862549</v>
      </c>
      <c r="E62" s="131">
        <f>VLOOKUP(A62,'2022_PAPI_Indicators'!A57:C237,3,FALSE)</f>
        <v>1.8746364116668701</v>
      </c>
      <c r="F62" s="131">
        <f>VLOOKUP(A62,'2022_PAPI_Indicators'!A57:D237,4,FALSE)</f>
        <v>1.9430040121078491</v>
      </c>
      <c r="G62" s="131">
        <f>VLOOKUP(A62,'2022_PAPI_Indicators'!A57:E237,5,FALSE)</f>
        <v>2.0441956520080566</v>
      </c>
      <c r="H62" s="131">
        <f>VLOOKUP(A62,'2022_PAPI_Indicators'!A57:F237,6,FALSE)</f>
        <v>1.9316078424453735</v>
      </c>
      <c r="I62" s="131">
        <f>VLOOKUP(A62,'2022_PAPI_Indicators'!A57:G237,7,FALSE)</f>
        <v>1.8640562295913696</v>
      </c>
      <c r="J62" s="131">
        <f>VLOOKUP(A62,'2022_PAPI_Indicators'!A57:H237,8,FALSE)</f>
        <v>1.9812419414520264</v>
      </c>
      <c r="K62" s="131">
        <f>VLOOKUP(A62,'2022_PAPI_Indicators'!A57:I237,9,FALSE)</f>
        <v>1.9272472858428955</v>
      </c>
      <c r="L62" s="131">
        <f>VLOOKUP(A62,'2022_PAPI_Indicators'!A57:J237,10,FALSE)</f>
        <v>2.0037767887115479</v>
      </c>
      <c r="M62" s="131">
        <f>VLOOKUP(A62,'2022_PAPI_Indicators'!A57:K237,11,FALSE)</f>
        <v>2.0050358772277832</v>
      </c>
      <c r="N62" s="131">
        <f>VLOOKUP(A62,'2022_PAPI_Indicators'!A57:L237,12,FALSE)</f>
        <v>2.0020654201507568</v>
      </c>
      <c r="O62" s="131">
        <f>VLOOKUP(A62,'2022_PAPI_Indicators'!A57:M237,13,FALSE)</f>
        <v>1.891130805015564</v>
      </c>
      <c r="P62" s="131">
        <f>VLOOKUP(A62,'2022_PAPI_Indicators'!A57:N237,14,FALSE)</f>
        <v>2.0125181674957275</v>
      </c>
      <c r="Q62" s="131">
        <f>VLOOKUP(A62,'2022_PAPI_Indicators'!A57:O237,15,FALSE)</f>
        <v>2.0563600063323975</v>
      </c>
      <c r="R62" s="132">
        <f>VLOOKUP(A62,'2022_PAPI_Indicators'!A57:P237,16,FALSE)</f>
        <v>1.9629161357879639</v>
      </c>
      <c r="S62" s="131">
        <f>VLOOKUP(A62,'2022_PAPI_Indicators'!A57:R237,17,FALSE)</f>
        <v>1.7504445314407349</v>
      </c>
      <c r="T62" s="131">
        <f>VLOOKUP(A62,'2022_PAPI_Indicators'!A57:S237,18,FALSE)</f>
        <v>1.9782552719116211</v>
      </c>
      <c r="U62" s="132">
        <f>VLOOKUP(A62,'2022_PAPI_Indicators'!A57:T237,19,FALSE)</f>
        <v>0</v>
      </c>
      <c r="V62" s="131">
        <f>VLOOKUP(A62,'2022_PAPI_Indicators'!A57:U237,20,FALSE)</f>
        <v>1.825230598449707</v>
      </c>
      <c r="W62" s="131">
        <f>VLOOKUP(A62,'2022_PAPI_Indicators'!A57:V237,21,FALSE)</f>
        <v>1.9939992427825928</v>
      </c>
      <c r="X62" s="131">
        <f>VLOOKUP(A62,'2022_PAPI_Indicators'!A57:W237,22,FALSE)</f>
        <v>1.9649109840393066</v>
      </c>
      <c r="Y62" s="131">
        <f>VLOOKUP(A62,'2022_PAPI_Indicators'!A57:X237,23,FALSE)</f>
        <v>1.9209442138671875</v>
      </c>
      <c r="Z62" s="131">
        <f>VLOOKUP(A62,'2022_PAPI_Indicators'!A57:Y237,24,FALSE)</f>
        <v>2.0132269859313965</v>
      </c>
      <c r="AA62" s="131">
        <f>VLOOKUP(A62,'2022_PAPI_Indicators'!A57:Z237,25,FALSE)</f>
        <v>2.0096182823181152</v>
      </c>
      <c r="AB62" s="131">
        <f>VLOOKUP(A62,'2022_PAPI_Indicators'!A57:AA237,26,FALSE)</f>
        <v>1.922540545463562</v>
      </c>
      <c r="AC62" s="131">
        <f>VLOOKUP(A62,'2022_PAPI_Indicators'!A57:AB237,27,FALSE)</f>
        <v>1.925123929977417</v>
      </c>
      <c r="AD62" s="131">
        <f>VLOOKUP(A62,'2022_PAPI_Indicators'!A57:AC237,28,FALSE)</f>
        <v>1.8374037742614746</v>
      </c>
      <c r="AE62" s="131">
        <f>VLOOKUP(A62,'2022_PAPI_Indicators'!A57:AD237,29,FALSE)</f>
        <v>2.0507962703704834</v>
      </c>
      <c r="AF62" s="131">
        <f>VLOOKUP(A62,'2022_PAPI_Indicators'!A57:AE237,30,FALSE)</f>
        <v>1.9529178142547607</v>
      </c>
      <c r="AG62" s="131">
        <f>VLOOKUP(A62,'2022_PAPI_Indicators'!A57:AF237,31,FALSE)</f>
        <v>2.012031078338623</v>
      </c>
      <c r="AH62" s="131">
        <f>VLOOKUP(A62,'2022_PAPI_Indicators'!A57:AG237,32,FALSE)</f>
        <v>2.043917179107666</v>
      </c>
      <c r="AI62" s="131">
        <f>VLOOKUP(A62,'2022_PAPI_Indicators'!A57:AH237,33,FALSE)</f>
        <v>1.884727954864502</v>
      </c>
      <c r="AJ62" s="131">
        <f>VLOOKUP(A62,'2022_PAPI_Indicators'!A57:AI237,34,FALSE)</f>
        <v>1.9635727405548096</v>
      </c>
      <c r="AK62" s="131">
        <f>VLOOKUP(A62,'2022_PAPI_Indicators'!A57:AJ237,35,FALSE)</f>
        <v>2.0623252391815186</v>
      </c>
      <c r="AL62" s="131">
        <f>VLOOKUP(A62,'2022_PAPI_Indicators'!A57:AK237,36,FALSE)</f>
        <v>1.9619832038879395</v>
      </c>
      <c r="AM62" s="131">
        <f>VLOOKUP(A62,'2022_PAPI_Indicators'!A57:AL237,37,FALSE)</f>
        <v>1.9620602130889893</v>
      </c>
      <c r="AN62" s="131">
        <f>VLOOKUP(A62,'2022_PAPI_Indicators'!A57:AM237,38,FALSE)</f>
        <v>2.1116266250610352</v>
      </c>
      <c r="AO62" s="131">
        <f>VLOOKUP(A62,'2022_PAPI_Indicators'!A57:AN237,39,FALSE)</f>
        <v>2.0481455326080322</v>
      </c>
      <c r="AP62" s="131">
        <f>VLOOKUP(A62,'2022_PAPI_Indicators'!A57:AO237,40,FALSE)</f>
        <v>2.1344633102416992</v>
      </c>
      <c r="AQ62" s="131">
        <f>VLOOKUP(A62,'2022_PAPI_Indicators'!A57:AP237,41,FALSE)</f>
        <v>1.8910651206970215</v>
      </c>
      <c r="AR62" s="131">
        <f>VLOOKUP(A62,'2022_PAPI_Indicators'!A57:AQ237,42,FALSE)</f>
        <v>1.7098203897476196</v>
      </c>
      <c r="AS62" s="131">
        <f>VLOOKUP(A62,'2022_PAPI_Indicators'!A57:AR237,43,FALSE)</f>
        <v>1.8803080320358276</v>
      </c>
      <c r="AT62" s="131">
        <f>VLOOKUP(A62,'2022_PAPI_Indicators'!A57:AS237,44,FALSE)</f>
        <v>1.9366908073425293</v>
      </c>
      <c r="AU62" s="131">
        <f>VLOOKUP(A62,'2022_PAPI_Indicators'!A57:AT237,45,FALSE)</f>
        <v>2.0588905811309814</v>
      </c>
      <c r="AV62" s="131">
        <f>VLOOKUP(A62,'2022_PAPI_Indicators'!A57:AU237,46,FALSE)</f>
        <v>1.8506265878677368</v>
      </c>
      <c r="AW62" s="131">
        <f>VLOOKUP(A62,'2022_PAPI_Indicators'!A57:AV237,47,FALSE)</f>
        <v>1.9577521085739136</v>
      </c>
      <c r="AX62" s="131">
        <f>VLOOKUP(A62,'2022_PAPI_Indicators'!A57:AW237,48,FALSE)</f>
        <v>2.1368610858917236</v>
      </c>
      <c r="AY62" s="131">
        <f>VLOOKUP(A62,'2022_PAPI_Indicators'!A57:AX237,49,FALSE)</f>
        <v>1.9423329830169678</v>
      </c>
      <c r="AZ62" s="131">
        <f>VLOOKUP(A62,'2022_PAPI_Indicators'!A57:AY237,50,FALSE)</f>
        <v>1.9737216234207153</v>
      </c>
      <c r="BA62" s="131">
        <f>VLOOKUP(A62,'2022_PAPI_Indicators'!A57:AZ237,51,FALSE)</f>
        <v>2.0186238288879395</v>
      </c>
      <c r="BB62" s="131">
        <f>VLOOKUP(A62,'2022_PAPI_Indicators'!A57:BA237,52,FALSE)</f>
        <v>1.93994140625</v>
      </c>
      <c r="BC62" s="131">
        <f>VLOOKUP(A62,'2022_PAPI_Indicators'!A57:BB237,53,FALSE)</f>
        <v>2.0404708385467529</v>
      </c>
      <c r="BD62" s="131">
        <f>VLOOKUP(A62,'2022_PAPI_Indicators'!A57:BC237,54,FALSE)</f>
        <v>1.8536423444747925</v>
      </c>
      <c r="BE62" s="131">
        <f>VLOOKUP(A62,'2022_PAPI_Indicators'!A57:BD237,55,FALSE)</f>
        <v>1.9197350740432739</v>
      </c>
      <c r="BF62" s="131">
        <f>VLOOKUP(A62,'2022_PAPI_Indicators'!A57:BE237,56,FALSE)</f>
        <v>2.051851749420166</v>
      </c>
      <c r="BG62" s="131">
        <f>VLOOKUP(A62,'2022_PAPI_Indicators'!A57:BF237,57,FALSE)</f>
        <v>2.1742615699768066</v>
      </c>
      <c r="BH62" s="131">
        <f>VLOOKUP(A62,'2022_PAPI_Indicators'!A57:BG237,58,FALSE)</f>
        <v>1.9035793542861938</v>
      </c>
      <c r="BI62" s="131">
        <f>VLOOKUP(A62,'2022_PAPI_Indicators'!A57:BH237,59,FALSE)</f>
        <v>1.9492110013961792</v>
      </c>
      <c r="BJ62" s="131">
        <f>VLOOKUP(A62,'2022_PAPI_Indicators'!A57:BI237,60,FALSE)</f>
        <v>2.0000336170196533</v>
      </c>
      <c r="BK62" s="131">
        <f>VLOOKUP(A62,'2022_PAPI_Indicators'!A57:BJ237,61,FALSE)</f>
        <v>2.0936932563781738</v>
      </c>
      <c r="BL62" s="131">
        <f>VLOOKUP(A62,'2022_PAPI_Indicators'!A57:BK237,62,FALSE)</f>
        <v>2.0959300994873047</v>
      </c>
      <c r="BM62" s="131">
        <f>VLOOKUP(A62,'2022_PAPI_Indicators'!A57:BL237,63,FALSE)</f>
        <v>2.1971137523651123</v>
      </c>
      <c r="BN62" s="131">
        <f>VLOOKUP(A62,'2022_PAPI_Indicators'!A57:BM237,64,FALSE)</f>
        <v>2.1138999462127686</v>
      </c>
    </row>
    <row r="63" spans="1:66" x14ac:dyDescent="0.2">
      <c r="A63" s="70" t="s">
        <v>191</v>
      </c>
      <c r="B63" s="70" t="s">
        <v>192</v>
      </c>
      <c r="C63" s="89" t="s">
        <v>90</v>
      </c>
      <c r="D63" s="133">
        <f>VLOOKUP(A63,'2022_PAPI_Indicators'!A58:B238,2,)</f>
        <v>0.26114705204963684</v>
      </c>
      <c r="E63" s="133">
        <f>VLOOKUP(A63,'2022_PAPI_Indicators'!A58:C238,3,FALSE)</f>
        <v>0.15909373760223389</v>
      </c>
      <c r="F63" s="133">
        <f>VLOOKUP(A63,'2022_PAPI_Indicators'!A58:D238,4,FALSE)</f>
        <v>0.19895800948143005</v>
      </c>
      <c r="G63" s="133">
        <f>VLOOKUP(A63,'2022_PAPI_Indicators'!A58:E238,5,FALSE)</f>
        <v>0.3405931293964386</v>
      </c>
      <c r="H63" s="133">
        <f>VLOOKUP(A63,'2022_PAPI_Indicators'!A58:F238,6,FALSE)</f>
        <v>0.22937317192554474</v>
      </c>
      <c r="I63" s="133">
        <f>VLOOKUP(A63,'2022_PAPI_Indicators'!A58:G238,7,FALSE)</f>
        <v>0.20441295206546783</v>
      </c>
      <c r="J63" s="133">
        <f>VLOOKUP(A63,'2022_PAPI_Indicators'!A58:H238,8,FALSE)</f>
        <v>0.27165144681930542</v>
      </c>
      <c r="K63" s="133">
        <f>VLOOKUP(A63,'2022_PAPI_Indicators'!A58:I238,9,FALSE)</f>
        <v>0.28588926792144775</v>
      </c>
      <c r="L63" s="133">
        <f>VLOOKUP(A63,'2022_PAPI_Indicators'!A58:J238,10,FALSE)</f>
        <v>0.25467380881309509</v>
      </c>
      <c r="M63" s="133">
        <f>VLOOKUP(A63,'2022_PAPI_Indicators'!A58:K238,11,FALSE)</f>
        <v>0.21772994101047516</v>
      </c>
      <c r="N63" s="133">
        <f>VLOOKUP(A63,'2022_PAPI_Indicators'!A58:L238,12,FALSE)</f>
        <v>0.22378161549568176</v>
      </c>
      <c r="O63" s="133">
        <f>VLOOKUP(A63,'2022_PAPI_Indicators'!A58:M238,13,FALSE)</f>
        <v>0.20188212394714355</v>
      </c>
      <c r="P63" s="133">
        <f>VLOOKUP(A63,'2022_PAPI_Indicators'!A58:N238,14,FALSE)</f>
        <v>0.234375</v>
      </c>
      <c r="Q63" s="133">
        <f>VLOOKUP(A63,'2022_PAPI_Indicators'!A58:O238,15,FALSE)</f>
        <v>0.23841148614883423</v>
      </c>
      <c r="R63" s="135">
        <f>VLOOKUP(A63,'2022_PAPI_Indicators'!A58:P238,16,FALSE)</f>
        <v>0.26986974477767944</v>
      </c>
      <c r="S63" s="133">
        <f>VLOOKUP(A63,'2022_PAPI_Indicators'!A58:R238,17,FALSE)</f>
        <v>0.28496134281158447</v>
      </c>
      <c r="T63" s="133">
        <f>VLOOKUP(A63,'2022_PAPI_Indicators'!A58:S238,18,FALSE)</f>
        <v>0.24789406359195709</v>
      </c>
      <c r="U63" s="135">
        <f>VLOOKUP(A63,'2022_PAPI_Indicators'!A58:T238,19,FALSE)</f>
        <v>0</v>
      </c>
      <c r="V63" s="133">
        <f>VLOOKUP(A63,'2022_PAPI_Indicators'!A58:U238,20,FALSE)</f>
        <v>0.10850315541028976</v>
      </c>
      <c r="W63" s="133">
        <f>VLOOKUP(A63,'2022_PAPI_Indicators'!A58:V238,21,FALSE)</f>
        <v>0.18760845065116882</v>
      </c>
      <c r="X63" s="133">
        <f>VLOOKUP(A63,'2022_PAPI_Indicators'!A58:W238,22,FALSE)</f>
        <v>0.18553604185581207</v>
      </c>
      <c r="Y63" s="133">
        <f>VLOOKUP(A63,'2022_PAPI_Indicators'!A58:X238,23,FALSE)</f>
        <v>0.1530555933713913</v>
      </c>
      <c r="Z63" s="133">
        <f>VLOOKUP(A63,'2022_PAPI_Indicators'!A58:Y238,24,FALSE)</f>
        <v>0.2211567610502243</v>
      </c>
      <c r="AA63" s="133">
        <f>VLOOKUP(A63,'2022_PAPI_Indicators'!A58:Z238,25,FALSE)</f>
        <v>0.19468024373054504</v>
      </c>
      <c r="AB63" s="133">
        <f>VLOOKUP(A63,'2022_PAPI_Indicators'!A58:AA238,26,FALSE)</f>
        <v>0.17572389543056488</v>
      </c>
      <c r="AC63" s="133">
        <f>VLOOKUP(A63,'2022_PAPI_Indicators'!A58:AB238,27,FALSE)</f>
        <v>0.20945313572883606</v>
      </c>
      <c r="AD63" s="133">
        <f>VLOOKUP(A63,'2022_PAPI_Indicators'!A58:AC238,28,FALSE)</f>
        <v>0.2382272332906723</v>
      </c>
      <c r="AE63" s="133">
        <f>VLOOKUP(A63,'2022_PAPI_Indicators'!A58:AD238,29,FALSE)</f>
        <v>0.27993571758270264</v>
      </c>
      <c r="AF63" s="133">
        <f>VLOOKUP(A63,'2022_PAPI_Indicators'!A58:AE238,30,FALSE)</f>
        <v>0.2542252242565155</v>
      </c>
      <c r="AG63" s="133">
        <f>VLOOKUP(A63,'2022_PAPI_Indicators'!A58:AF238,31,FALSE)</f>
        <v>0.34702014923095703</v>
      </c>
      <c r="AH63" s="133">
        <f>VLOOKUP(A63,'2022_PAPI_Indicators'!A58:AG238,32,FALSE)</f>
        <v>0.25817877054214478</v>
      </c>
      <c r="AI63" s="133">
        <f>VLOOKUP(A63,'2022_PAPI_Indicators'!A58:AH238,33,FALSE)</f>
        <v>0.32430607080459595</v>
      </c>
      <c r="AJ63" s="133">
        <f>VLOOKUP(A63,'2022_PAPI_Indicators'!A58:AI238,34,FALSE)</f>
        <v>0.23388463258743286</v>
      </c>
      <c r="AK63" s="133">
        <f>VLOOKUP(A63,'2022_PAPI_Indicators'!A58:AJ238,35,FALSE)</f>
        <v>0.26071274280548096</v>
      </c>
      <c r="AL63" s="133">
        <f>VLOOKUP(A63,'2022_PAPI_Indicators'!A58:AK238,36,FALSE)</f>
        <v>0.24742287397384644</v>
      </c>
      <c r="AM63" s="133">
        <f>VLOOKUP(A63,'2022_PAPI_Indicators'!A58:AL238,37,FALSE)</f>
        <v>0.23162268102169037</v>
      </c>
      <c r="AN63" s="133">
        <f>VLOOKUP(A63,'2022_PAPI_Indicators'!A58:AM238,38,FALSE)</f>
        <v>0.3817560076713562</v>
      </c>
      <c r="AO63" s="133">
        <f>VLOOKUP(A63,'2022_PAPI_Indicators'!A58:AN238,39,FALSE)</f>
        <v>0.29700309038162231</v>
      </c>
      <c r="AP63" s="133">
        <f>VLOOKUP(A63,'2022_PAPI_Indicators'!A58:AO238,40,FALSE)</f>
        <v>0.35472971200942993</v>
      </c>
      <c r="AQ63" s="133">
        <f>VLOOKUP(A63,'2022_PAPI_Indicators'!A58:AP238,41,FALSE)</f>
        <v>0.21910600364208221</v>
      </c>
      <c r="AR63" s="133">
        <f>VLOOKUP(A63,'2022_PAPI_Indicators'!A58:AQ238,42,FALSE)</f>
        <v>0.23252770304679871</v>
      </c>
      <c r="AS63" s="133">
        <f>VLOOKUP(A63,'2022_PAPI_Indicators'!A58:AR238,43,FALSE)</f>
        <v>0.16016006469726563</v>
      </c>
      <c r="AT63" s="133">
        <f>VLOOKUP(A63,'2022_PAPI_Indicators'!A58:AS238,44,FALSE)</f>
        <v>0.29032915830612183</v>
      </c>
      <c r="AU63" s="133">
        <f>VLOOKUP(A63,'2022_PAPI_Indicators'!A58:AT238,45,FALSE)</f>
        <v>0.3060099184513092</v>
      </c>
      <c r="AV63" s="133">
        <f>VLOOKUP(A63,'2022_PAPI_Indicators'!A58:AU238,46,FALSE)</f>
        <v>0.22804144024848938</v>
      </c>
      <c r="AW63" s="133">
        <f>VLOOKUP(A63,'2022_PAPI_Indicators'!A58:AV238,47,FALSE)</f>
        <v>0.31125643849372864</v>
      </c>
      <c r="AX63" s="133">
        <f>VLOOKUP(A63,'2022_PAPI_Indicators'!A58:AW238,48,FALSE)</f>
        <v>0.4240727424621582</v>
      </c>
      <c r="AY63" s="133">
        <f>VLOOKUP(A63,'2022_PAPI_Indicators'!A58:AX238,49,FALSE)</f>
        <v>0.27126288414001465</v>
      </c>
      <c r="AZ63" s="133">
        <f>VLOOKUP(A63,'2022_PAPI_Indicators'!A58:AY238,50,FALSE)</f>
        <v>0.26926746964454651</v>
      </c>
      <c r="BA63" s="133">
        <f>VLOOKUP(A63,'2022_PAPI_Indicators'!A58:AZ238,51,FALSE)</f>
        <v>0.31714364886283875</v>
      </c>
      <c r="BB63" s="133">
        <f>VLOOKUP(A63,'2022_PAPI_Indicators'!A58:BA238,52,FALSE)</f>
        <v>0.27689605951309204</v>
      </c>
      <c r="BC63" s="133">
        <f>VLOOKUP(A63,'2022_PAPI_Indicators'!A58:BB238,53,FALSE)</f>
        <v>0.31052899360656738</v>
      </c>
      <c r="BD63" s="133">
        <f>VLOOKUP(A63,'2022_PAPI_Indicators'!A58:BC238,54,FALSE)</f>
        <v>0.32888928055763245</v>
      </c>
      <c r="BE63" s="133">
        <f>VLOOKUP(A63,'2022_PAPI_Indicators'!A58:BD238,55,FALSE)</f>
        <v>0.29766166210174561</v>
      </c>
      <c r="BF63" s="133">
        <f>VLOOKUP(A63,'2022_PAPI_Indicators'!A58:BE238,56,FALSE)</f>
        <v>0.37248733639717102</v>
      </c>
      <c r="BG63" s="133">
        <f>VLOOKUP(A63,'2022_PAPI_Indicators'!A58:BF238,57,FALSE)</f>
        <v>0.38900595903396606</v>
      </c>
      <c r="BH63" s="133">
        <f>VLOOKUP(A63,'2022_PAPI_Indicators'!A58:BG238,58,FALSE)</f>
        <v>0.22659553587436676</v>
      </c>
      <c r="BI63" s="133">
        <f>VLOOKUP(A63,'2022_PAPI_Indicators'!A58:BH238,59,FALSE)</f>
        <v>0.2816014289855957</v>
      </c>
      <c r="BJ63" s="133">
        <f>VLOOKUP(A63,'2022_PAPI_Indicators'!A58:BI238,60,FALSE)</f>
        <v>0.25876244902610779</v>
      </c>
      <c r="BK63" s="133">
        <f>VLOOKUP(A63,'2022_PAPI_Indicators'!A58:BJ238,61,FALSE)</f>
        <v>0.38137558102607727</v>
      </c>
      <c r="BL63" s="133">
        <f>VLOOKUP(A63,'2022_PAPI_Indicators'!A58:BK238,62,FALSE)</f>
        <v>0.34345155954360962</v>
      </c>
      <c r="BM63" s="133">
        <f>VLOOKUP(A63,'2022_PAPI_Indicators'!A58:BL238,63,FALSE)</f>
        <v>0.40317690372467041</v>
      </c>
      <c r="BN63" s="133">
        <f>VLOOKUP(A63,'2022_PAPI_Indicators'!A58:BM238,64,FALSE)</f>
        <v>0.37861207127571106</v>
      </c>
    </row>
    <row r="64" spans="1:66" x14ac:dyDescent="0.2">
      <c r="A64" s="70" t="s">
        <v>193</v>
      </c>
      <c r="B64" s="70" t="s">
        <v>194</v>
      </c>
      <c r="C64" s="89" t="s">
        <v>90</v>
      </c>
      <c r="D64" s="133">
        <f>VLOOKUP(A64,'2022_PAPI_Indicators'!A59:B239,2,)</f>
        <v>0.933746337890625</v>
      </c>
      <c r="E64" s="133">
        <f>VLOOKUP(A64,'2022_PAPI_Indicators'!A59:C239,3,FALSE)</f>
        <v>0.95184153318405151</v>
      </c>
      <c r="F64" s="133">
        <f>VLOOKUP(A64,'2022_PAPI_Indicators'!A59:D239,4,FALSE)</f>
        <v>0.84744608402252197</v>
      </c>
      <c r="G64" s="133">
        <f>VLOOKUP(A64,'2022_PAPI_Indicators'!A59:E239,5,FALSE)</f>
        <v>0.8642888069152832</v>
      </c>
      <c r="H64" s="133">
        <f>VLOOKUP(A64,'2022_PAPI_Indicators'!A59:F239,6,FALSE)</f>
        <v>0.89688253402709961</v>
      </c>
      <c r="I64" s="133">
        <f>VLOOKUP(A64,'2022_PAPI_Indicators'!A59:G239,7,FALSE)</f>
        <v>0.9923560619354248</v>
      </c>
      <c r="J64" s="133">
        <f>VLOOKUP(A64,'2022_PAPI_Indicators'!A59:H239,8,FALSE)</f>
        <v>0.94347506761550903</v>
      </c>
      <c r="K64" s="133">
        <f>VLOOKUP(A64,'2022_PAPI_Indicators'!A59:I239,9,FALSE)</f>
        <v>0.95788067579269409</v>
      </c>
      <c r="L64" s="133">
        <f>VLOOKUP(A64,'2022_PAPI_Indicators'!A59:J239,10,FALSE)</f>
        <v>1</v>
      </c>
      <c r="M64" s="133">
        <f>VLOOKUP(A64,'2022_PAPI_Indicators'!A59:K239,11,FALSE)</f>
        <v>0.93059396743774414</v>
      </c>
      <c r="N64" s="133">
        <f>VLOOKUP(A64,'2022_PAPI_Indicators'!A59:L239,12,FALSE)</f>
        <v>0.96341478824615479</v>
      </c>
      <c r="O64" s="133">
        <f>VLOOKUP(A64,'2022_PAPI_Indicators'!A59:M239,13,FALSE)</f>
        <v>0.83923596143722534</v>
      </c>
      <c r="P64" s="133">
        <f>VLOOKUP(A64,'2022_PAPI_Indicators'!A59:N239,14,FALSE)</f>
        <v>0.93333333730697632</v>
      </c>
      <c r="Q64" s="133">
        <f>VLOOKUP(A64,'2022_PAPI_Indicators'!A59:O239,15,FALSE)</f>
        <v>0.96591800451278687</v>
      </c>
      <c r="R64" s="135">
        <f>VLOOKUP(A64,'2022_PAPI_Indicators'!A59:P239,16,FALSE)</f>
        <v>0.96958190202713013</v>
      </c>
      <c r="S64" s="133">
        <f>VLOOKUP(A64,'2022_PAPI_Indicators'!A59:R239,17,FALSE)</f>
        <v>0.90853381156921387</v>
      </c>
      <c r="T64" s="133">
        <f>VLOOKUP(A64,'2022_PAPI_Indicators'!A59:S239,18,FALSE)</f>
        <v>0.93969309329986572</v>
      </c>
      <c r="U64" s="135">
        <f>VLOOKUP(A64,'2022_PAPI_Indicators'!A59:T239,19,FALSE)</f>
        <v>0</v>
      </c>
      <c r="V64" s="133">
        <f>VLOOKUP(A64,'2022_PAPI_Indicators'!A59:U239,20,FALSE)</f>
        <v>0.92586970329284668</v>
      </c>
      <c r="W64" s="133">
        <f>VLOOKUP(A64,'2022_PAPI_Indicators'!A59:V239,21,FALSE)</f>
        <v>0.91652274131774902</v>
      </c>
      <c r="X64" s="133">
        <f>VLOOKUP(A64,'2022_PAPI_Indicators'!A59:W239,22,FALSE)</f>
        <v>0.87152832746505737</v>
      </c>
      <c r="Y64" s="133">
        <f>VLOOKUP(A64,'2022_PAPI_Indicators'!A59:X239,23,FALSE)</f>
        <v>0.89349526166915894</v>
      </c>
      <c r="Z64" s="133">
        <f>VLOOKUP(A64,'2022_PAPI_Indicators'!A59:Y239,24,FALSE)</f>
        <v>0.96915167570114136</v>
      </c>
      <c r="AA64" s="133">
        <f>VLOOKUP(A64,'2022_PAPI_Indicators'!A59:Z239,25,FALSE)</f>
        <v>0.96272242069244385</v>
      </c>
      <c r="AB64" s="133">
        <f>VLOOKUP(A64,'2022_PAPI_Indicators'!A59:AA239,26,FALSE)</f>
        <v>0.91617220640182495</v>
      </c>
      <c r="AC64" s="133">
        <f>VLOOKUP(A64,'2022_PAPI_Indicators'!A59:AB239,27,FALSE)</f>
        <v>0.92407995462417603</v>
      </c>
      <c r="AD64" s="133">
        <f>VLOOKUP(A64,'2022_PAPI_Indicators'!A59:AC239,28,FALSE)</f>
        <v>0.92544275522232056</v>
      </c>
      <c r="AE64" s="133">
        <f>VLOOKUP(A64,'2022_PAPI_Indicators'!A59:AD239,29,FALSE)</f>
        <v>0.97091805934906006</v>
      </c>
      <c r="AF64" s="133">
        <f>VLOOKUP(A64,'2022_PAPI_Indicators'!A59:AE239,30,FALSE)</f>
        <v>0.91703218221664429</v>
      </c>
      <c r="AG64" s="133">
        <f>VLOOKUP(A64,'2022_PAPI_Indicators'!A59:AF239,31,FALSE)</f>
        <v>0.93596810102462769</v>
      </c>
      <c r="AH64" s="133">
        <f>VLOOKUP(A64,'2022_PAPI_Indicators'!A59:AG239,32,FALSE)</f>
        <v>0.89672255516052246</v>
      </c>
      <c r="AI64" s="133">
        <f>VLOOKUP(A64,'2022_PAPI_Indicators'!A59:AH239,33,FALSE)</f>
        <v>0.88153362274169922</v>
      </c>
      <c r="AJ64" s="133">
        <f>VLOOKUP(A64,'2022_PAPI_Indicators'!A59:AI239,34,FALSE)</f>
        <v>0.87018078565597534</v>
      </c>
      <c r="AK64" s="133">
        <f>VLOOKUP(A64,'2022_PAPI_Indicators'!A59:AJ239,35,FALSE)</f>
        <v>0.96770799160003662</v>
      </c>
      <c r="AL64" s="133">
        <f>VLOOKUP(A64,'2022_PAPI_Indicators'!A59:AK239,36,FALSE)</f>
        <v>0.90221208333969116</v>
      </c>
      <c r="AM64" s="133">
        <f>VLOOKUP(A64,'2022_PAPI_Indicators'!A59:AL239,37,FALSE)</f>
        <v>0.94973254203796387</v>
      </c>
      <c r="AN64" s="133">
        <f>VLOOKUP(A64,'2022_PAPI_Indicators'!A59:AM239,38,FALSE)</f>
        <v>0.93436586856842041</v>
      </c>
      <c r="AO64" s="133">
        <f>VLOOKUP(A64,'2022_PAPI_Indicators'!A59:AN239,39,FALSE)</f>
        <v>0.94174212217330933</v>
      </c>
      <c r="AP64" s="133">
        <f>VLOOKUP(A64,'2022_PAPI_Indicators'!A59:AO239,40,FALSE)</f>
        <v>0.93158572912216187</v>
      </c>
      <c r="AQ64" s="133">
        <f>VLOOKUP(A64,'2022_PAPI_Indicators'!A59:AP239,41,FALSE)</f>
        <v>0.9740028977394104</v>
      </c>
      <c r="AR64" s="133">
        <f>VLOOKUP(A64,'2022_PAPI_Indicators'!A59:AQ239,42,FALSE)</f>
        <v>0.93084108829498291</v>
      </c>
      <c r="AS64" s="133">
        <f>VLOOKUP(A64,'2022_PAPI_Indicators'!A59:AR239,43,FALSE)</f>
        <v>0.93870818614959717</v>
      </c>
      <c r="AT64" s="133">
        <f>VLOOKUP(A64,'2022_PAPI_Indicators'!A59:AS239,44,FALSE)</f>
        <v>0.9232984185218811</v>
      </c>
      <c r="AU64" s="133">
        <f>VLOOKUP(A64,'2022_PAPI_Indicators'!A59:AT239,45,FALSE)</f>
        <v>0.92344111204147339</v>
      </c>
      <c r="AV64" s="133">
        <f>VLOOKUP(A64,'2022_PAPI_Indicators'!A59:AU239,46,FALSE)</f>
        <v>0.76782959699630737</v>
      </c>
      <c r="AW64" s="133">
        <f>VLOOKUP(A64,'2022_PAPI_Indicators'!A59:AV239,47,FALSE)</f>
        <v>0.97035789489746094</v>
      </c>
      <c r="AX64" s="133">
        <f>VLOOKUP(A64,'2022_PAPI_Indicators'!A59:AW239,48,FALSE)</f>
        <v>0.94688469171524048</v>
      </c>
      <c r="AY64" s="133">
        <f>VLOOKUP(A64,'2022_PAPI_Indicators'!A59:AX239,49,FALSE)</f>
        <v>0.8852543830871582</v>
      </c>
      <c r="AZ64" s="133">
        <f>VLOOKUP(A64,'2022_PAPI_Indicators'!A59:AY239,50,FALSE)</f>
        <v>0.89950990676879883</v>
      </c>
      <c r="BA64" s="133">
        <f>VLOOKUP(A64,'2022_PAPI_Indicators'!A59:AZ239,51,FALSE)</f>
        <v>0.93787205219268799</v>
      </c>
      <c r="BB64" s="133">
        <f>VLOOKUP(A64,'2022_PAPI_Indicators'!A59:BA239,52,FALSE)</f>
        <v>0.90632092952728271</v>
      </c>
      <c r="BC64" s="133">
        <f>VLOOKUP(A64,'2022_PAPI_Indicators'!A59:BB239,53,FALSE)</f>
        <v>0.92334252595901489</v>
      </c>
      <c r="BD64" s="133">
        <f>VLOOKUP(A64,'2022_PAPI_Indicators'!A59:BC239,54,FALSE)</f>
        <v>0.87913733720779419</v>
      </c>
      <c r="BE64" s="133">
        <f>VLOOKUP(A64,'2022_PAPI_Indicators'!A59:BD239,55,FALSE)</f>
        <v>0.84079539775848389</v>
      </c>
      <c r="BF64" s="133">
        <f>VLOOKUP(A64,'2022_PAPI_Indicators'!A59:BE239,56,FALSE)</f>
        <v>0.88336902856826782</v>
      </c>
      <c r="BG64" s="133">
        <f>VLOOKUP(A64,'2022_PAPI_Indicators'!A59:BF239,57,FALSE)</f>
        <v>0.93642318248748779</v>
      </c>
      <c r="BH64" s="133">
        <f>VLOOKUP(A64,'2022_PAPI_Indicators'!A59:BG239,58,FALSE)</f>
        <v>0.93406420946121216</v>
      </c>
      <c r="BI64" s="133">
        <f>VLOOKUP(A64,'2022_PAPI_Indicators'!A59:BH239,59,FALSE)</f>
        <v>0.84315729141235352</v>
      </c>
      <c r="BJ64" s="133">
        <f>VLOOKUP(A64,'2022_PAPI_Indicators'!A59:BI239,60,FALSE)</f>
        <v>0.93205708265304565</v>
      </c>
      <c r="BK64" s="133">
        <f>VLOOKUP(A64,'2022_PAPI_Indicators'!A59:BJ239,61,FALSE)</f>
        <v>0.90021234750747681</v>
      </c>
      <c r="BL64" s="133">
        <f>VLOOKUP(A64,'2022_PAPI_Indicators'!A59:BK239,62,FALSE)</f>
        <v>0.97622120380401611</v>
      </c>
      <c r="BM64" s="133">
        <f>VLOOKUP(A64,'2022_PAPI_Indicators'!A59:BL239,63,FALSE)</f>
        <v>0.96195173263549805</v>
      </c>
      <c r="BN64" s="133">
        <f>VLOOKUP(A64,'2022_PAPI_Indicators'!A59:BM239,64,FALSE)</f>
        <v>0.98114621639251709</v>
      </c>
    </row>
    <row r="65" spans="1:66" x14ac:dyDescent="0.2">
      <c r="A65" s="70" t="s">
        <v>195</v>
      </c>
      <c r="B65" s="70" t="s">
        <v>196</v>
      </c>
      <c r="C65" s="89" t="s">
        <v>90</v>
      </c>
      <c r="D65" s="133">
        <f>VLOOKUP(A65,'2022_PAPI_Indicators'!A60:B240,2,)</f>
        <v>0.12513060867786407</v>
      </c>
      <c r="E65" s="133">
        <f>VLOOKUP(A65,'2022_PAPI_Indicators'!A60:C240,3,FALSE)</f>
        <v>0.10856291651725769</v>
      </c>
      <c r="F65" s="133">
        <f>VLOOKUP(A65,'2022_PAPI_Indicators'!A60:D240,4,FALSE)</f>
        <v>0.117793008685112</v>
      </c>
      <c r="G65" s="133">
        <f>VLOOKUP(A65,'2022_PAPI_Indicators'!A60:E240,5,FALSE)</f>
        <v>0.19581930339336395</v>
      </c>
      <c r="H65" s="133">
        <f>VLOOKUP(A65,'2022_PAPI_Indicators'!A60:F240,6,FALSE)</f>
        <v>0.13861386477947235</v>
      </c>
      <c r="I65" s="133">
        <f>VLOOKUP(A65,'2022_PAPI_Indicators'!A60:G240,7,FALSE)</f>
        <v>0.15154026448726654</v>
      </c>
      <c r="J65" s="133">
        <f>VLOOKUP(A65,'2022_PAPI_Indicators'!A60:H240,8,FALSE)</f>
        <v>0.12170132249593735</v>
      </c>
      <c r="K65" s="133">
        <f>VLOOKUP(A65,'2022_PAPI_Indicators'!A60:I240,9,FALSE)</f>
        <v>0.16163745522499084</v>
      </c>
      <c r="L65" s="133">
        <f>VLOOKUP(A65,'2022_PAPI_Indicators'!A60:J240,10,FALSE)</f>
        <v>0.10537458211183548</v>
      </c>
      <c r="M65" s="133">
        <f>VLOOKUP(A65,'2022_PAPI_Indicators'!A60:K240,11,FALSE)</f>
        <v>0.14280438423156738</v>
      </c>
      <c r="N65" s="133">
        <f>VLOOKUP(A65,'2022_PAPI_Indicators'!A60:L240,12,FALSE)</f>
        <v>0.14379727840423584</v>
      </c>
      <c r="O65" s="133">
        <f>VLOOKUP(A65,'2022_PAPI_Indicators'!A60:M240,13,FALSE)</f>
        <v>0.12466373294591904</v>
      </c>
      <c r="P65" s="133">
        <f>VLOOKUP(A65,'2022_PAPI_Indicators'!A60:N240,14,FALSE)</f>
        <v>0.11637435853481293</v>
      </c>
      <c r="Q65" s="133">
        <f>VLOOKUP(A65,'2022_PAPI_Indicators'!A60:O240,15,FALSE)</f>
        <v>0.16860562562942505</v>
      </c>
      <c r="R65" s="135">
        <f>VLOOKUP(A65,'2022_PAPI_Indicators'!A60:P240,16,FALSE)</f>
        <v>0.12658566236495972</v>
      </c>
      <c r="S65" s="133">
        <f>VLOOKUP(A65,'2022_PAPI_Indicators'!A60:R240,17,FALSE)</f>
        <v>0.10541362315416336</v>
      </c>
      <c r="T65" s="133">
        <f>VLOOKUP(A65,'2022_PAPI_Indicators'!A60:S240,18,FALSE)</f>
        <v>0.12612380087375641</v>
      </c>
      <c r="U65" s="135">
        <f>VLOOKUP(A65,'2022_PAPI_Indicators'!A60:T240,19,FALSE)</f>
        <v>0</v>
      </c>
      <c r="V65" s="133">
        <f>VLOOKUP(A65,'2022_PAPI_Indicators'!A60:U240,20,FALSE)</f>
        <v>7.5303681194782257E-2</v>
      </c>
      <c r="W65" s="133">
        <f>VLOOKUP(A65,'2022_PAPI_Indicators'!A60:V240,21,FALSE)</f>
        <v>0.15483668446540833</v>
      </c>
      <c r="X65" s="133">
        <f>VLOOKUP(A65,'2022_PAPI_Indicators'!A60:W240,22,FALSE)</f>
        <v>0.13582777976989746</v>
      </c>
      <c r="Y65" s="133">
        <f>VLOOKUP(A65,'2022_PAPI_Indicators'!A60:X240,23,FALSE)</f>
        <v>0.10234687477350235</v>
      </c>
      <c r="Z65" s="133">
        <f>VLOOKUP(A65,'2022_PAPI_Indicators'!A60:Y240,24,FALSE)</f>
        <v>0.16960862278938293</v>
      </c>
      <c r="AA65" s="133">
        <f>VLOOKUP(A65,'2022_PAPI_Indicators'!A60:Z240,25,FALSE)</f>
        <v>0.11365778744220734</v>
      </c>
      <c r="AB65" s="133">
        <f>VLOOKUP(A65,'2022_PAPI_Indicators'!A60:AA240,26,FALSE)</f>
        <v>0.1355452835559845</v>
      </c>
      <c r="AC65" s="133">
        <f>VLOOKUP(A65,'2022_PAPI_Indicators'!A60:AB240,27,FALSE)</f>
        <v>0.14439599215984344</v>
      </c>
      <c r="AD65" s="133">
        <f>VLOOKUP(A65,'2022_PAPI_Indicators'!A60:AC240,28,FALSE)</f>
        <v>0.13333334028720856</v>
      </c>
      <c r="AE65" s="133">
        <f>VLOOKUP(A65,'2022_PAPI_Indicators'!A60:AD240,29,FALSE)</f>
        <v>0.15625</v>
      </c>
      <c r="AF65" s="133">
        <f>VLOOKUP(A65,'2022_PAPI_Indicators'!A60:AE240,30,FALSE)</f>
        <v>0.13642510771751404</v>
      </c>
      <c r="AG65" s="133">
        <f>VLOOKUP(A65,'2022_PAPI_Indicators'!A60:AF240,31,FALSE)</f>
        <v>0.18112842738628387</v>
      </c>
      <c r="AH65" s="133">
        <f>VLOOKUP(A65,'2022_PAPI_Indicators'!A60:AG240,32,FALSE)</f>
        <v>0.19014118611812592</v>
      </c>
      <c r="AI65" s="133">
        <f>VLOOKUP(A65,'2022_PAPI_Indicators'!A60:AH240,33,FALSE)</f>
        <v>0.16876402497291565</v>
      </c>
      <c r="AJ65" s="133">
        <f>VLOOKUP(A65,'2022_PAPI_Indicators'!A60:AI240,34,FALSE)</f>
        <v>0.16071160137653351</v>
      </c>
      <c r="AK65" s="133">
        <f>VLOOKUP(A65,'2022_PAPI_Indicators'!A60:AJ240,35,FALSE)</f>
        <v>0.21097439527511597</v>
      </c>
      <c r="AL65" s="133">
        <f>VLOOKUP(A65,'2022_PAPI_Indicators'!A60:AK240,36,FALSE)</f>
        <v>0.15817065536975861</v>
      </c>
      <c r="AM65" s="133">
        <f>VLOOKUP(A65,'2022_PAPI_Indicators'!A60:AL240,37,FALSE)</f>
        <v>0.18831905722618103</v>
      </c>
      <c r="AN65" s="133">
        <f>VLOOKUP(A65,'2022_PAPI_Indicators'!A60:AM240,38,FALSE)</f>
        <v>0.23493723571300507</v>
      </c>
      <c r="AO65" s="133">
        <f>VLOOKUP(A65,'2022_PAPI_Indicators'!A60:AN240,39,FALSE)</f>
        <v>0.24509476125240326</v>
      </c>
      <c r="AP65" s="133">
        <f>VLOOKUP(A65,'2022_PAPI_Indicators'!A60:AO240,40,FALSE)</f>
        <v>0.24796281754970551</v>
      </c>
      <c r="AQ65" s="133">
        <f>VLOOKUP(A65,'2022_PAPI_Indicators'!A60:AP240,41,FALSE)</f>
        <v>0.11442844569683075</v>
      </c>
      <c r="AR65" s="133">
        <f>VLOOKUP(A65,'2022_PAPI_Indicators'!A60:AQ240,42,FALSE)</f>
        <v>0.17625005543231964</v>
      </c>
      <c r="AS65" s="133">
        <f>VLOOKUP(A65,'2022_PAPI_Indicators'!A60:AR240,43,FALSE)</f>
        <v>0.11115302890539169</v>
      </c>
      <c r="AT65" s="133">
        <f>VLOOKUP(A65,'2022_PAPI_Indicators'!A60:AS240,44,FALSE)</f>
        <v>0.20262785255908966</v>
      </c>
      <c r="AU65" s="133">
        <f>VLOOKUP(A65,'2022_PAPI_Indicators'!A60:AT240,45,FALSE)</f>
        <v>0.17953014373779297</v>
      </c>
      <c r="AV65" s="133">
        <f>VLOOKUP(A65,'2022_PAPI_Indicators'!A60:AU240,46,FALSE)</f>
        <v>0.18330016732215881</v>
      </c>
      <c r="AW65" s="133">
        <f>VLOOKUP(A65,'2022_PAPI_Indicators'!A60:AV240,47,FALSE)</f>
        <v>0.19205969572067261</v>
      </c>
      <c r="AX65" s="133">
        <f>VLOOKUP(A65,'2022_PAPI_Indicators'!A60:AW240,48,FALSE)</f>
        <v>0.22428318858146667</v>
      </c>
      <c r="AY65" s="133">
        <f>VLOOKUP(A65,'2022_PAPI_Indicators'!A60:AX240,49,FALSE)</f>
        <v>0.16482527554035187</v>
      </c>
      <c r="AZ65" s="133">
        <f>VLOOKUP(A65,'2022_PAPI_Indicators'!A60:AY240,50,FALSE)</f>
        <v>0.18299202620983124</v>
      </c>
      <c r="BA65" s="133">
        <f>VLOOKUP(A65,'2022_PAPI_Indicators'!A60:AZ240,51,FALSE)</f>
        <v>0.21614697575569153</v>
      </c>
      <c r="BB65" s="133">
        <f>VLOOKUP(A65,'2022_PAPI_Indicators'!A60:BA240,52,FALSE)</f>
        <v>0.1190158948302269</v>
      </c>
      <c r="BC65" s="133">
        <f>VLOOKUP(A65,'2022_PAPI_Indicators'!A60:BB240,53,FALSE)</f>
        <v>0.1712673157453537</v>
      </c>
      <c r="BD65" s="133">
        <f>VLOOKUP(A65,'2022_PAPI_Indicators'!A60:BC240,54,FALSE)</f>
        <v>0.18697172403335571</v>
      </c>
      <c r="BE65" s="133">
        <f>VLOOKUP(A65,'2022_PAPI_Indicators'!A60:BD240,55,FALSE)</f>
        <v>0.21498474478721619</v>
      </c>
      <c r="BF65" s="133">
        <f>VLOOKUP(A65,'2022_PAPI_Indicators'!A60:BE240,56,FALSE)</f>
        <v>0.26359578967094421</v>
      </c>
      <c r="BG65" s="133">
        <f>VLOOKUP(A65,'2022_PAPI_Indicators'!A60:BF240,57,FALSE)</f>
        <v>0.30418103933334351</v>
      </c>
      <c r="BH65" s="133">
        <f>VLOOKUP(A65,'2022_PAPI_Indicators'!A60:BG240,58,FALSE)</f>
        <v>0.16434510052204132</v>
      </c>
      <c r="BI65" s="133">
        <f>VLOOKUP(A65,'2022_PAPI_Indicators'!A60:BH240,59,FALSE)</f>
        <v>0.20240476727485657</v>
      </c>
      <c r="BJ65" s="133">
        <f>VLOOKUP(A65,'2022_PAPI_Indicators'!A60:BI240,60,FALSE)</f>
        <v>0.16568408906459808</v>
      </c>
      <c r="BK65" s="133">
        <f>VLOOKUP(A65,'2022_PAPI_Indicators'!A60:BJ240,61,FALSE)</f>
        <v>0.24276483058929443</v>
      </c>
      <c r="BL65" s="133">
        <f>VLOOKUP(A65,'2022_PAPI_Indicators'!A60:BK240,62,FALSE)</f>
        <v>0.23455069959163666</v>
      </c>
      <c r="BM65" s="133">
        <f>VLOOKUP(A65,'2022_PAPI_Indicators'!A60:BL240,63,FALSE)</f>
        <v>0.33198001980781555</v>
      </c>
      <c r="BN65" s="133">
        <f>VLOOKUP(A65,'2022_PAPI_Indicators'!A60:BM240,64,FALSE)</f>
        <v>0.25832203030586243</v>
      </c>
    </row>
    <row r="66" spans="1:66" x14ac:dyDescent="0.2">
      <c r="A66" s="70" t="s">
        <v>197</v>
      </c>
      <c r="B66" s="70" t="s">
        <v>198</v>
      </c>
      <c r="C66" s="89" t="s">
        <v>90</v>
      </c>
      <c r="D66" s="133">
        <v>0.89</v>
      </c>
      <c r="E66" s="134">
        <v>0.92996269464492798</v>
      </c>
      <c r="F66" s="134">
        <v>0.93458962440490723</v>
      </c>
      <c r="G66" s="134">
        <v>0.91246479749679565</v>
      </c>
      <c r="H66" s="134">
        <v>0.9246024489402771</v>
      </c>
      <c r="I66" s="134">
        <v>0.85338956117630005</v>
      </c>
      <c r="J66" s="134">
        <v>0.98671120405197144</v>
      </c>
      <c r="K66" s="134">
        <v>0.92713743448257446</v>
      </c>
      <c r="L66" s="134">
        <v>0.91599339246749878</v>
      </c>
      <c r="M66" s="134">
        <v>0.89846909046173096</v>
      </c>
      <c r="N66" s="134">
        <v>0.94347274303436279</v>
      </c>
      <c r="O66" s="134">
        <v>0.88092273473739624</v>
      </c>
      <c r="P66" s="134">
        <v>0.93716037273406982</v>
      </c>
      <c r="Q66" s="134">
        <v>1</v>
      </c>
      <c r="R66" s="135">
        <v>0.94</v>
      </c>
      <c r="S66" s="134">
        <v>0.78890645503997803</v>
      </c>
      <c r="T66" s="134">
        <v>0.88146787881851196</v>
      </c>
      <c r="U66" s="136"/>
      <c r="V66" s="134">
        <v>0.78637516498565674</v>
      </c>
      <c r="W66" s="134">
        <v>0.99765932559967041</v>
      </c>
      <c r="X66" s="134">
        <v>0.88966315984725952</v>
      </c>
      <c r="Y66" s="134">
        <v>0.92036324739456177</v>
      </c>
      <c r="Z66" s="134">
        <v>0.91942703723907471</v>
      </c>
      <c r="AA66" s="134">
        <v>0.93117833137512207</v>
      </c>
      <c r="AB66" s="134">
        <v>0.88671690225601196</v>
      </c>
      <c r="AC66" s="134">
        <v>0.86507761478424072</v>
      </c>
      <c r="AD66" s="134">
        <v>0.75252664089202881</v>
      </c>
      <c r="AE66" s="134">
        <v>0.95210283994674683</v>
      </c>
      <c r="AF66" s="134">
        <v>0.89692753553390503</v>
      </c>
      <c r="AG66" s="134">
        <v>0.88033205270767212</v>
      </c>
      <c r="AH66" s="134">
        <v>0.90038812160491943</v>
      </c>
      <c r="AI66" s="134">
        <v>0.99010533094406128</v>
      </c>
      <c r="AJ66" s="134">
        <v>0.90557968616485596</v>
      </c>
      <c r="AK66" s="134">
        <v>0.90692794322967529</v>
      </c>
      <c r="AL66" s="134">
        <v>0.89168167114257813</v>
      </c>
      <c r="AM66" s="134">
        <v>0.8685535192489624</v>
      </c>
      <c r="AN66" s="134">
        <v>0.95985639095306396</v>
      </c>
      <c r="AO66" s="134">
        <v>0.92412608861923218</v>
      </c>
      <c r="AP66" s="134">
        <v>0.93698650598526001</v>
      </c>
      <c r="AQ66" s="134">
        <v>0.94732105731964111</v>
      </c>
      <c r="AR66" s="134">
        <v>0.73175442218780518</v>
      </c>
      <c r="AS66" s="134">
        <v>0.91168481111526489</v>
      </c>
      <c r="AT66" s="134">
        <v>0.91330498456954956</v>
      </c>
      <c r="AU66" s="134">
        <v>0.98386126756668091</v>
      </c>
      <c r="AV66" s="134">
        <v>0.82587450742721558</v>
      </c>
      <c r="AW66" s="134">
        <v>0.95196127891540527</v>
      </c>
      <c r="AX66" s="134">
        <v>0.91845595836639404</v>
      </c>
      <c r="AY66" s="134">
        <v>0.8807833194732666</v>
      </c>
      <c r="AZ66" s="134">
        <v>0.7699962854385376</v>
      </c>
      <c r="BA66" s="134">
        <v>0.93397510051727295</v>
      </c>
      <c r="BB66" s="134">
        <v>0.88779664039611816</v>
      </c>
      <c r="BC66" s="134">
        <v>0.90866971015930176</v>
      </c>
      <c r="BD66" s="134">
        <v>0.86561316251754761</v>
      </c>
      <c r="BE66" s="134">
        <v>0.8590846061706543</v>
      </c>
      <c r="BF66" s="134">
        <v>0.89566212892532349</v>
      </c>
      <c r="BG66" s="134">
        <v>0.96963006258010864</v>
      </c>
      <c r="BH66" s="134">
        <v>0.8909069299697876</v>
      </c>
      <c r="BI66" s="134">
        <v>0.81527340412139893</v>
      </c>
      <c r="BJ66" s="134">
        <v>0.86792826652526855</v>
      </c>
      <c r="BK66" s="134">
        <v>1</v>
      </c>
      <c r="BL66" s="134">
        <v>0.96380293369293213</v>
      </c>
      <c r="BM66" s="134">
        <v>0.96587294340133667</v>
      </c>
      <c r="BN66" s="134">
        <v>0.85804885625839233</v>
      </c>
    </row>
    <row r="67" spans="1:66" x14ac:dyDescent="0.2">
      <c r="A67" s="70" t="s">
        <v>199</v>
      </c>
      <c r="B67" s="70" t="s">
        <v>200</v>
      </c>
      <c r="C67" s="89" t="s">
        <v>90</v>
      </c>
      <c r="D67" s="133">
        <f>VLOOKUP(A67,'2022_PAPI_Indicators'!A62:B242,2,)</f>
        <v>5.4790724068880081E-2</v>
      </c>
      <c r="E67" s="133">
        <f>VLOOKUP(A67,'2022_PAPI_Indicators'!A62:C242,3,FALSE)</f>
        <v>8.4695279598236084E-2</v>
      </c>
      <c r="F67" s="133">
        <f>VLOOKUP(A67,'2022_PAPI_Indicators'!A62:D242,4,FALSE)</f>
        <v>7.7989228069782257E-2</v>
      </c>
      <c r="G67" s="133">
        <f>VLOOKUP(A67,'2022_PAPI_Indicators'!A62:E242,5,FALSE)</f>
        <v>0.15185186266899109</v>
      </c>
      <c r="H67" s="133">
        <f>VLOOKUP(A67,'2022_PAPI_Indicators'!A62:F242,6,FALSE)</f>
        <v>8.0857947468757629E-2</v>
      </c>
      <c r="I67" s="133">
        <f>VLOOKUP(A67,'2022_PAPI_Indicators'!A62:G242,7,FALSE)</f>
        <v>8.4001526236534119E-2</v>
      </c>
      <c r="J67" s="133">
        <f>VLOOKUP(A67,'2022_PAPI_Indicators'!A62:H242,8,FALSE)</f>
        <v>6.4583919942378998E-2</v>
      </c>
      <c r="K67" s="133">
        <f>VLOOKUP(A67,'2022_PAPI_Indicators'!A62:I242,9,FALSE)</f>
        <v>7.3917977511882782E-2</v>
      </c>
      <c r="L67" s="133">
        <f>VLOOKUP(A67,'2022_PAPI_Indicators'!A62:J242,10,FALSE)</f>
        <v>0.10004175454378128</v>
      </c>
      <c r="M67" s="133">
        <f>VLOOKUP(A67,'2022_PAPI_Indicators'!A62:K242,11,FALSE)</f>
        <v>9.6269197762012482E-2</v>
      </c>
      <c r="N67" s="133">
        <f>VLOOKUP(A67,'2022_PAPI_Indicators'!A62:L242,12,FALSE)</f>
        <v>7.6446674764156342E-2</v>
      </c>
      <c r="O67" s="133">
        <f>VLOOKUP(A67,'2022_PAPI_Indicators'!A62:M242,13,FALSE)</f>
        <v>8.7035633623600006E-2</v>
      </c>
      <c r="P67" s="133">
        <f>VLOOKUP(A67,'2022_PAPI_Indicators'!A62:N242,14,FALSE)</f>
        <v>0.1216840073466301</v>
      </c>
      <c r="Q67" s="133">
        <f>VLOOKUP(A67,'2022_PAPI_Indicators'!A62:O242,15,FALSE)</f>
        <v>7.2945497930049896E-2</v>
      </c>
      <c r="R67" s="135">
        <f>VLOOKUP(A67,'2022_PAPI_Indicators'!A62:P242,16,FALSE)</f>
        <v>9.2957168817520142E-2</v>
      </c>
      <c r="S67" s="133">
        <f>VLOOKUP(A67,'2022_PAPI_Indicators'!A62:R242,17,FALSE)</f>
        <v>7.2691105306148529E-2</v>
      </c>
      <c r="T67" s="133">
        <f>VLOOKUP(A67,'2022_PAPI_Indicators'!A62:S242,18,FALSE)</f>
        <v>9.0514093637466431E-2</v>
      </c>
      <c r="U67" s="135">
        <f>VLOOKUP(A67,'2022_PAPI_Indicators'!A62:T242,19,FALSE)</f>
        <v>0</v>
      </c>
      <c r="V67" s="133">
        <f>VLOOKUP(A67,'2022_PAPI_Indicators'!A62:U242,20,FALSE)</f>
        <v>3.6112841218709946E-2</v>
      </c>
      <c r="W67" s="133">
        <f>VLOOKUP(A67,'2022_PAPI_Indicators'!A62:V242,21,FALSE)</f>
        <v>0.12496429681777954</v>
      </c>
      <c r="X67" s="133">
        <f>VLOOKUP(A67,'2022_PAPI_Indicators'!A62:W242,22,FALSE)</f>
        <v>7.8003101050853729E-2</v>
      </c>
      <c r="Y67" s="133">
        <f>VLOOKUP(A67,'2022_PAPI_Indicators'!A62:X242,23,FALSE)</f>
        <v>4.8044160008430481E-2</v>
      </c>
      <c r="Z67" s="133">
        <f>VLOOKUP(A67,'2022_PAPI_Indicators'!A62:Y242,24,FALSE)</f>
        <v>5.206293985247612E-2</v>
      </c>
      <c r="AA67" s="133">
        <f>VLOOKUP(A67,'2022_PAPI_Indicators'!A62:Z242,25,FALSE)</f>
        <v>8.0933496356010437E-2</v>
      </c>
      <c r="AB67" s="133">
        <f>VLOOKUP(A67,'2022_PAPI_Indicators'!A62:AA242,26,FALSE)</f>
        <v>6.6872462630271912E-2</v>
      </c>
      <c r="AC67" s="133">
        <f>VLOOKUP(A67,'2022_PAPI_Indicators'!A62:AB242,27,FALSE)</f>
        <v>9.0499192476272583E-2</v>
      </c>
      <c r="AD67" s="133">
        <f>VLOOKUP(A67,'2022_PAPI_Indicators'!A62:AC242,28,FALSE)</f>
        <v>5.4628267884254456E-2</v>
      </c>
      <c r="AE67" s="133">
        <f>VLOOKUP(A67,'2022_PAPI_Indicators'!A62:AD242,29,FALSE)</f>
        <v>0.14810892939567566</v>
      </c>
      <c r="AF67" s="133">
        <f>VLOOKUP(A67,'2022_PAPI_Indicators'!A62:AE242,30,FALSE)</f>
        <v>0.1504867821931839</v>
      </c>
      <c r="AG67" s="133">
        <f>VLOOKUP(A67,'2022_PAPI_Indicators'!A62:AF242,31,FALSE)</f>
        <v>0.12926508486270905</v>
      </c>
      <c r="AH67" s="133">
        <f>VLOOKUP(A67,'2022_PAPI_Indicators'!A62:AG242,32,FALSE)</f>
        <v>0.14379887282848358</v>
      </c>
      <c r="AI67" s="133">
        <f>VLOOKUP(A67,'2022_PAPI_Indicators'!A62:AH242,33,FALSE)</f>
        <v>6.1681617051362991E-2</v>
      </c>
      <c r="AJ67" s="133">
        <f>VLOOKUP(A67,'2022_PAPI_Indicators'!A62:AI242,34,FALSE)</f>
        <v>8.9184455573558807E-2</v>
      </c>
      <c r="AK67" s="133">
        <f>VLOOKUP(A67,'2022_PAPI_Indicators'!A62:AJ242,35,FALSE)</f>
        <v>0.12890420854091644</v>
      </c>
      <c r="AL67" s="133">
        <f>VLOOKUP(A67,'2022_PAPI_Indicators'!A62:AK242,36,FALSE)</f>
        <v>5.8911081403493881E-2</v>
      </c>
      <c r="AM67" s="133">
        <f>VLOOKUP(A67,'2022_PAPI_Indicators'!A62:AL242,37,FALSE)</f>
        <v>8.8073968887329102E-2</v>
      </c>
      <c r="AN67" s="133">
        <f>VLOOKUP(A67,'2022_PAPI_Indicators'!A62:AM242,38,FALSE)</f>
        <v>0.1034623458981514</v>
      </c>
      <c r="AO67" s="133">
        <f>VLOOKUP(A67,'2022_PAPI_Indicators'!A62:AN242,39,FALSE)</f>
        <v>0.13985015451908112</v>
      </c>
      <c r="AP67" s="133">
        <f>VLOOKUP(A67,'2022_PAPI_Indicators'!A62:AO242,40,FALSE)</f>
        <v>0.19248270988464355</v>
      </c>
      <c r="AQ67" s="133">
        <f>VLOOKUP(A67,'2022_PAPI_Indicators'!A62:AP242,41,FALSE)</f>
        <v>0.10528091341257095</v>
      </c>
      <c r="AR67" s="133">
        <f>VLOOKUP(A67,'2022_PAPI_Indicators'!A62:AQ242,42,FALSE)</f>
        <v>7.350921630859375E-2</v>
      </c>
      <c r="AS67" s="133">
        <f>VLOOKUP(A67,'2022_PAPI_Indicators'!A62:AR242,43,FALSE)</f>
        <v>5.8823529630899429E-2</v>
      </c>
      <c r="AT67" s="133">
        <f>VLOOKUP(A67,'2022_PAPI_Indicators'!A62:AS242,44,FALSE)</f>
        <v>0.12700134515762329</v>
      </c>
      <c r="AU67" s="133">
        <f>VLOOKUP(A67,'2022_PAPI_Indicators'!A62:AT242,45,FALSE)</f>
        <v>0.13333693146705627</v>
      </c>
      <c r="AV67" s="133">
        <f>VLOOKUP(A67,'2022_PAPI_Indicators'!A62:AU242,46,FALSE)</f>
        <v>0.12498214095830917</v>
      </c>
      <c r="AW67" s="133">
        <f>VLOOKUP(A67,'2022_PAPI_Indicators'!A62:AV242,47,FALSE)</f>
        <v>8.9830808341503143E-2</v>
      </c>
      <c r="AX67" s="133">
        <f>VLOOKUP(A67,'2022_PAPI_Indicators'!A62:AW242,48,FALSE)</f>
        <v>0.13679656386375427</v>
      </c>
      <c r="AY67" s="133">
        <f>VLOOKUP(A67,'2022_PAPI_Indicators'!A62:AX242,49,FALSE)</f>
        <v>8.9793279767036438E-2</v>
      </c>
      <c r="AZ67" s="133">
        <f>VLOOKUP(A67,'2022_PAPI_Indicators'!A62:AY242,50,FALSE)</f>
        <v>0.10281413048505783</v>
      </c>
      <c r="BA67" s="133">
        <f>VLOOKUP(A67,'2022_PAPI_Indicators'!A62:AZ242,51,FALSE)</f>
        <v>0.10385420173406601</v>
      </c>
      <c r="BB67" s="133">
        <f>VLOOKUP(A67,'2022_PAPI_Indicators'!A62:BA242,52,FALSE)</f>
        <v>5.7431474328041077E-2</v>
      </c>
      <c r="BC67" s="133">
        <f>VLOOKUP(A67,'2022_PAPI_Indicators'!A62:BB242,53,FALSE)</f>
        <v>7.4094682931900024E-2</v>
      </c>
      <c r="BD67" s="133">
        <f>VLOOKUP(A67,'2022_PAPI_Indicators'!A62:BC242,54,FALSE)</f>
        <v>0.11986995488405228</v>
      </c>
      <c r="BE67" s="133">
        <f>VLOOKUP(A67,'2022_PAPI_Indicators'!A62:BD242,55,FALSE)</f>
        <v>7.8106977045536041E-2</v>
      </c>
      <c r="BF67" s="133">
        <f>VLOOKUP(A67,'2022_PAPI_Indicators'!A62:BE242,56,FALSE)</f>
        <v>0.18519708514213562</v>
      </c>
      <c r="BG67" s="133">
        <f>VLOOKUP(A67,'2022_PAPI_Indicators'!A62:BF242,57,FALSE)</f>
        <v>0.15814997255802155</v>
      </c>
      <c r="BH67" s="133">
        <f>VLOOKUP(A67,'2022_PAPI_Indicators'!A62:BG242,58,FALSE)</f>
        <v>6.5044231712818146E-2</v>
      </c>
      <c r="BI67" s="133">
        <f>VLOOKUP(A67,'2022_PAPI_Indicators'!A62:BH242,59,FALSE)</f>
        <v>0.12869307398796082</v>
      </c>
      <c r="BJ67" s="133">
        <f>VLOOKUP(A67,'2022_PAPI_Indicators'!A62:BI242,60,FALSE)</f>
        <v>0.10305932909250259</v>
      </c>
      <c r="BK67" s="133">
        <f>VLOOKUP(A67,'2022_PAPI_Indicators'!A62:BJ242,61,FALSE)</f>
        <v>0.13435147702693939</v>
      </c>
      <c r="BL67" s="133">
        <f>VLOOKUP(A67,'2022_PAPI_Indicators'!A62:BK242,62,FALSE)</f>
        <v>0.13960057497024536</v>
      </c>
      <c r="BM67" s="133">
        <f>VLOOKUP(A67,'2022_PAPI_Indicators'!A62:BL242,63,FALSE)</f>
        <v>0.16034990549087524</v>
      </c>
      <c r="BN67" s="133">
        <f>VLOOKUP(A67,'2022_PAPI_Indicators'!A62:BM242,64,FALSE)</f>
        <v>0.11537525057792664</v>
      </c>
    </row>
    <row r="68" spans="1:66" x14ac:dyDescent="0.2">
      <c r="A68" s="70" t="s">
        <v>201</v>
      </c>
      <c r="B68" s="70" t="s">
        <v>202</v>
      </c>
      <c r="C68" s="89" t="s">
        <v>90</v>
      </c>
      <c r="D68" s="133">
        <f>VLOOKUP(A68,'2022_PAPI_Indicators'!A63:B243,2,)</f>
        <v>0.95668703317642212</v>
      </c>
      <c r="E68" s="133">
        <f>VLOOKUP(A68,'2022_PAPI_Indicators'!A63:C243,3,FALSE)</f>
        <v>0.91022574901580811</v>
      </c>
      <c r="F68" s="133">
        <f>VLOOKUP(A68,'2022_PAPI_Indicators'!A63:D243,4,FALSE)</f>
        <v>1</v>
      </c>
      <c r="G68" s="133">
        <f>VLOOKUP(A68,'2022_PAPI_Indicators'!A63:E243,5,FALSE)</f>
        <v>0.95200961828231812</v>
      </c>
      <c r="H68" s="133">
        <f>VLOOKUP(A68,'2022_PAPI_Indicators'!A63:F243,6,FALSE)</f>
        <v>1</v>
      </c>
      <c r="I68" s="133">
        <f>VLOOKUP(A68,'2022_PAPI_Indicators'!A63:G243,7,FALSE)</f>
        <v>0.90959155559539795</v>
      </c>
      <c r="J68" s="133">
        <f>VLOOKUP(A68,'2022_PAPI_Indicators'!A63:H243,8,FALSE)</f>
        <v>1</v>
      </c>
      <c r="K68" s="133">
        <f>VLOOKUP(A68,'2022_PAPI_Indicators'!A63:I243,9,FALSE)</f>
        <v>0.93103039264678955</v>
      </c>
      <c r="L68" s="133">
        <f>VLOOKUP(A68,'2022_PAPI_Indicators'!A63:J243,10,FALSE)</f>
        <v>0.92481034994125366</v>
      </c>
      <c r="M68" s="133">
        <f>VLOOKUP(A68,'2022_PAPI_Indicators'!A63:K243,11,FALSE)</f>
        <v>1</v>
      </c>
      <c r="N68" s="133">
        <f>VLOOKUP(A68,'2022_PAPI_Indicators'!A63:L243,12,FALSE)</f>
        <v>1</v>
      </c>
      <c r="O68" s="133">
        <f>VLOOKUP(A68,'2022_PAPI_Indicators'!A63:M243,13,FALSE)</f>
        <v>1</v>
      </c>
      <c r="P68" s="133">
        <f>VLOOKUP(A68,'2022_PAPI_Indicators'!A63:N243,14,FALSE)</f>
        <v>0.99091637134552002</v>
      </c>
      <c r="Q68" s="133">
        <f>VLOOKUP(A68,'2022_PAPI_Indicators'!A63:O243,15,FALSE)</f>
        <v>1</v>
      </c>
      <c r="R68" s="135">
        <f>VLOOKUP(A68,'2022_PAPI_Indicators'!A63:P243,16,FALSE)</f>
        <v>0.92022043466567993</v>
      </c>
      <c r="S68" s="133">
        <f>VLOOKUP(A68,'2022_PAPI_Indicators'!A63:R243,17,FALSE)</f>
        <v>0.8831748366355896</v>
      </c>
      <c r="T68" s="133">
        <f>VLOOKUP(A68,'2022_PAPI_Indicators'!A63:S243,18,FALSE)</f>
        <v>1</v>
      </c>
      <c r="U68" s="135">
        <f>VLOOKUP(A68,'2022_PAPI_Indicators'!A63:T243,19,FALSE)</f>
        <v>0</v>
      </c>
      <c r="V68" s="133">
        <f>VLOOKUP(A68,'2022_PAPI_Indicators'!A63:U243,20,FALSE)</f>
        <v>1</v>
      </c>
      <c r="W68" s="133">
        <f>VLOOKUP(A68,'2022_PAPI_Indicators'!A63:V243,21,FALSE)</f>
        <v>0.94168829917907715</v>
      </c>
      <c r="X68" s="133">
        <f>VLOOKUP(A68,'2022_PAPI_Indicators'!A63:W243,22,FALSE)</f>
        <v>1</v>
      </c>
      <c r="Y68" s="133">
        <f>VLOOKUP(A68,'2022_PAPI_Indicators'!A63:X243,23,FALSE)</f>
        <v>1</v>
      </c>
      <c r="Z68" s="133">
        <f>VLOOKUP(A68,'2022_PAPI_Indicators'!A63:Y243,24,FALSE)</f>
        <v>1</v>
      </c>
      <c r="AA68" s="133">
        <f>VLOOKUP(A68,'2022_PAPI_Indicators'!A63:Z243,25,FALSE)</f>
        <v>1</v>
      </c>
      <c r="AB68" s="133">
        <f>VLOOKUP(A68,'2022_PAPI_Indicators'!A63:AA243,26,FALSE)</f>
        <v>0.782692551612854</v>
      </c>
      <c r="AC68" s="133">
        <f>VLOOKUP(A68,'2022_PAPI_Indicators'!A63:AB243,27,FALSE)</f>
        <v>1</v>
      </c>
      <c r="AD68" s="133">
        <f>VLOOKUP(A68,'2022_PAPI_Indicators'!A63:AC243,28,FALSE)</f>
        <v>0.94581079483032227</v>
      </c>
      <c r="AE68" s="133">
        <f>VLOOKUP(A68,'2022_PAPI_Indicators'!A63:AD243,29,FALSE)</f>
        <v>1</v>
      </c>
      <c r="AF68" s="133">
        <f>VLOOKUP(A68,'2022_PAPI_Indicators'!A63:AE243,30,FALSE)</f>
        <v>0.85983812808990479</v>
      </c>
      <c r="AG68" s="133">
        <f>VLOOKUP(A68,'2022_PAPI_Indicators'!A63:AF243,31,FALSE)</f>
        <v>0.88821280002593994</v>
      </c>
      <c r="AH68" s="133">
        <f>VLOOKUP(A68,'2022_PAPI_Indicators'!A63:AG243,32,FALSE)</f>
        <v>1</v>
      </c>
      <c r="AI68" s="133">
        <f>VLOOKUP(A68,'2022_PAPI_Indicators'!A63:AH243,33,FALSE)</f>
        <v>1</v>
      </c>
      <c r="AJ68" s="133">
        <f>VLOOKUP(A68,'2022_PAPI_Indicators'!A63:AI243,34,FALSE)</f>
        <v>0.9218866229057312</v>
      </c>
      <c r="AK68" s="133">
        <f>VLOOKUP(A68,'2022_PAPI_Indicators'!A63:AJ243,35,FALSE)</f>
        <v>0.94922375679016113</v>
      </c>
      <c r="AL68" s="133">
        <f>VLOOKUP(A68,'2022_PAPI_Indicators'!A63:AK243,36,FALSE)</f>
        <v>1</v>
      </c>
      <c r="AM68" s="133">
        <f>VLOOKUP(A68,'2022_PAPI_Indicators'!A63:AL243,37,FALSE)</f>
        <v>0.91930246353149414</v>
      </c>
      <c r="AN68" s="133">
        <f>VLOOKUP(A68,'2022_PAPI_Indicators'!A63:AM243,38,FALSE)</f>
        <v>0.96870893239974976</v>
      </c>
      <c r="AO68" s="133">
        <f>VLOOKUP(A68,'2022_PAPI_Indicators'!A63:AN243,39,FALSE)</f>
        <v>0.95567566156387329</v>
      </c>
      <c r="AP68" s="133">
        <f>VLOOKUP(A68,'2022_PAPI_Indicators'!A63:AO243,40,FALSE)</f>
        <v>0.95529413223266602</v>
      </c>
      <c r="AQ68" s="133">
        <f>VLOOKUP(A68,'2022_PAPI_Indicators'!A63:AP243,41,FALSE)</f>
        <v>0.87880975008010864</v>
      </c>
      <c r="AR68" s="133">
        <f>VLOOKUP(A68,'2022_PAPI_Indicators'!A63:AQ243,42,FALSE)</f>
        <v>0.68647986650466919</v>
      </c>
      <c r="AS68" s="133">
        <f>VLOOKUP(A68,'2022_PAPI_Indicators'!A63:AR243,43,FALSE)</f>
        <v>1</v>
      </c>
      <c r="AT68" s="133">
        <f>VLOOKUP(A68,'2022_PAPI_Indicators'!A63:AS243,44,FALSE)</f>
        <v>0.87125307321548462</v>
      </c>
      <c r="AU68" s="133">
        <f>VLOOKUP(A68,'2022_PAPI_Indicators'!A63:AT243,45,FALSE)</f>
        <v>0.94882369041442871</v>
      </c>
      <c r="AV68" s="133">
        <f>VLOOKUP(A68,'2022_PAPI_Indicators'!A63:AU243,46,FALSE)</f>
        <v>0.93436497449874878</v>
      </c>
      <c r="AW68" s="133">
        <f>VLOOKUP(A68,'2022_PAPI_Indicators'!A63:AV243,47,FALSE)</f>
        <v>0.82494330406188965</v>
      </c>
      <c r="AX68" s="133">
        <f>VLOOKUP(A68,'2022_PAPI_Indicators'!A63:AW243,48,FALSE)</f>
        <v>0.96337586641311646</v>
      </c>
      <c r="AY68" s="133">
        <f>VLOOKUP(A68,'2022_PAPI_Indicators'!A63:AX243,49,FALSE)</f>
        <v>0.95335912704467773</v>
      </c>
      <c r="AZ68" s="133">
        <f>VLOOKUP(A68,'2022_PAPI_Indicators'!A63:AY243,50,FALSE)</f>
        <v>1</v>
      </c>
      <c r="BA68" s="133">
        <f>VLOOKUP(A68,'2022_PAPI_Indicators'!A63:AZ243,51,FALSE)</f>
        <v>0.96819388866424561</v>
      </c>
      <c r="BB68" s="133">
        <f>VLOOKUP(A68,'2022_PAPI_Indicators'!A63:BA243,52,FALSE)</f>
        <v>1</v>
      </c>
      <c r="BC68" s="133">
        <f>VLOOKUP(A68,'2022_PAPI_Indicators'!A63:BB243,53,FALSE)</f>
        <v>1</v>
      </c>
      <c r="BD68" s="133">
        <f>VLOOKUP(A68,'2022_PAPI_Indicators'!A63:BC243,54,FALSE)</f>
        <v>0.93735378980636597</v>
      </c>
      <c r="BE68" s="133">
        <f>VLOOKUP(A68,'2022_PAPI_Indicators'!A63:BD243,55,FALSE)</f>
        <v>0.90367269515991211</v>
      </c>
      <c r="BF68" s="133">
        <f>VLOOKUP(A68,'2022_PAPI_Indicators'!A63:BE243,56,FALSE)</f>
        <v>0.96287328004837036</v>
      </c>
      <c r="BG68" s="133">
        <f>VLOOKUP(A68,'2022_PAPI_Indicators'!A63:BF243,57,FALSE)</f>
        <v>1</v>
      </c>
      <c r="BH68" s="133">
        <f>VLOOKUP(A68,'2022_PAPI_Indicators'!A63:BG243,58,FALSE)</f>
        <v>1</v>
      </c>
      <c r="BI68" s="133">
        <f>VLOOKUP(A68,'2022_PAPI_Indicators'!A63:BH243,59,FALSE)</f>
        <v>0.94556117057800293</v>
      </c>
      <c r="BJ68" s="133">
        <f>VLOOKUP(A68,'2022_PAPI_Indicators'!A63:BI243,60,FALSE)</f>
        <v>1</v>
      </c>
      <c r="BK68" s="133">
        <f>VLOOKUP(A68,'2022_PAPI_Indicators'!A63:BJ243,61,FALSE)</f>
        <v>1</v>
      </c>
      <c r="BL68" s="133">
        <f>VLOOKUP(A68,'2022_PAPI_Indicators'!A63:BK243,62,FALSE)</f>
        <v>0.99325549602508545</v>
      </c>
      <c r="BM68" s="133">
        <f>VLOOKUP(A68,'2022_PAPI_Indicators'!A63:BL243,63,FALSE)</f>
        <v>0.95666933059692383</v>
      </c>
      <c r="BN68" s="133">
        <f>VLOOKUP(A68,'2022_PAPI_Indicators'!A63:BM243,64,FALSE)</f>
        <v>1</v>
      </c>
    </row>
    <row r="69" spans="1:66" x14ac:dyDescent="0.2">
      <c r="A69" s="70" t="s">
        <v>203</v>
      </c>
      <c r="B69" s="70" t="s">
        <v>204</v>
      </c>
      <c r="C69" s="89" t="s">
        <v>90</v>
      </c>
      <c r="D69" s="133">
        <f>VLOOKUP(A69,'2022_PAPI_Indicators'!A64:B244,2,)</f>
        <v>3.0997145920991898E-2</v>
      </c>
      <c r="E69" s="133">
        <f>VLOOKUP(A69,'2022_PAPI_Indicators'!A64:C244,3,FALSE)</f>
        <v>3.1233604997396469E-2</v>
      </c>
      <c r="F69" s="133">
        <f>VLOOKUP(A69,'2022_PAPI_Indicators'!A64:D244,4,FALSE)</f>
        <v>4.9661088734865189E-2</v>
      </c>
      <c r="G69" s="133">
        <f>VLOOKUP(A69,'2022_PAPI_Indicators'!A64:E244,5,FALSE)</f>
        <v>5.2685432136058807E-2</v>
      </c>
      <c r="H69" s="133">
        <f>VLOOKUP(A69,'2022_PAPI_Indicators'!A64:F244,6,FALSE)</f>
        <v>5.8305714279413223E-2</v>
      </c>
      <c r="I69" s="133">
        <f>VLOOKUP(A69,'2022_PAPI_Indicators'!A64:G244,7,FALSE)</f>
        <v>7.5044505298137665E-2</v>
      </c>
      <c r="J69" s="133">
        <f>VLOOKUP(A69,'2022_PAPI_Indicators'!A64:H244,8,FALSE)</f>
        <v>5.3483542054891586E-2</v>
      </c>
      <c r="K69" s="133">
        <f>VLOOKUP(A69,'2022_PAPI_Indicators'!A64:I244,9,FALSE)</f>
        <v>9.6780233085155487E-2</v>
      </c>
      <c r="L69" s="133">
        <f>VLOOKUP(A69,'2022_PAPI_Indicators'!A64:J244,10,FALSE)</f>
        <v>4.7568105161190033E-2</v>
      </c>
      <c r="M69" s="133">
        <f>VLOOKUP(A69,'2022_PAPI_Indicators'!A64:K244,11,FALSE)</f>
        <v>3.6247637122869492E-2</v>
      </c>
      <c r="N69" s="133">
        <f>VLOOKUP(A69,'2022_PAPI_Indicators'!A64:L244,12,FALSE)</f>
        <v>1.6256930306553841E-2</v>
      </c>
      <c r="O69" s="133">
        <f>VLOOKUP(A69,'2022_PAPI_Indicators'!A64:M244,13,FALSE)</f>
        <v>2.7375474572181702E-2</v>
      </c>
      <c r="P69" s="133">
        <f>VLOOKUP(A69,'2022_PAPI_Indicators'!A64:N244,14,FALSE)</f>
        <v>5.9184007346630096E-2</v>
      </c>
      <c r="Q69" s="133">
        <f>VLOOKUP(A69,'2022_PAPI_Indicators'!A64:O244,15,FALSE)</f>
        <v>4.5244969427585602E-2</v>
      </c>
      <c r="R69" s="135">
        <f>VLOOKUP(A69,'2022_PAPI_Indicators'!A64:P244,16,FALSE)</f>
        <v>3.8666084408760071E-2</v>
      </c>
      <c r="S69" s="133">
        <f>VLOOKUP(A69,'2022_PAPI_Indicators'!A64:R244,17,FALSE)</f>
        <v>5.5306058377027512E-2</v>
      </c>
      <c r="T69" s="133">
        <f>VLOOKUP(A69,'2022_PAPI_Indicators'!A64:S244,18,FALSE)</f>
        <v>5.4363410919904709E-2</v>
      </c>
      <c r="U69" s="135">
        <f>VLOOKUP(A69,'2022_PAPI_Indicators'!A64:T244,19,FALSE)</f>
        <v>0</v>
      </c>
      <c r="V69" s="133">
        <f>VLOOKUP(A69,'2022_PAPI_Indicators'!A64:U244,20,FALSE)</f>
        <v>8.0433683469891548E-3</v>
      </c>
      <c r="W69" s="133">
        <f>VLOOKUP(A69,'2022_PAPI_Indicators'!A64:V244,21,FALSE)</f>
        <v>5.8233156800270081E-2</v>
      </c>
      <c r="X69" s="133">
        <f>VLOOKUP(A69,'2022_PAPI_Indicators'!A64:W244,22,FALSE)</f>
        <v>4.6149138361215591E-2</v>
      </c>
      <c r="Y69" s="133">
        <f>VLOOKUP(A69,'2022_PAPI_Indicators'!A64:X244,23,FALSE)</f>
        <v>2.9894361272454262E-2</v>
      </c>
      <c r="Z69" s="133">
        <f>VLOOKUP(A69,'2022_PAPI_Indicators'!A64:Y244,24,FALSE)</f>
        <v>2.3415150120854378E-2</v>
      </c>
      <c r="AA69" s="133">
        <f>VLOOKUP(A69,'2022_PAPI_Indicators'!A64:Z244,25,FALSE)</f>
        <v>4.576442763209343E-2</v>
      </c>
      <c r="AB69" s="133">
        <f>VLOOKUP(A69,'2022_PAPI_Indicators'!A64:AA244,26,FALSE)</f>
        <v>2.5077173486351967E-2</v>
      </c>
      <c r="AC69" s="133">
        <f>VLOOKUP(A69,'2022_PAPI_Indicators'!A64:AB244,27,FALSE)</f>
        <v>5.700867623090744E-2</v>
      </c>
      <c r="AD69" s="133">
        <f>VLOOKUP(A69,'2022_PAPI_Indicators'!A64:AC244,28,FALSE)</f>
        <v>3.6530807614326477E-2</v>
      </c>
      <c r="AE69" s="133">
        <f>VLOOKUP(A69,'2022_PAPI_Indicators'!A64:AD244,29,FALSE)</f>
        <v>6.118571013212204E-2</v>
      </c>
      <c r="AF69" s="133">
        <f>VLOOKUP(A69,'2022_PAPI_Indicators'!A64:AE244,30,FALSE)</f>
        <v>4.6791069209575653E-2</v>
      </c>
      <c r="AG69" s="133">
        <f>VLOOKUP(A69,'2022_PAPI_Indicators'!A64:AF244,31,FALSE)</f>
        <v>6.1713803559541702E-2</v>
      </c>
      <c r="AH69" s="133">
        <f>VLOOKUP(A69,'2022_PAPI_Indicators'!A64:AG244,32,FALSE)</f>
        <v>5.6385468691587448E-2</v>
      </c>
      <c r="AI69" s="133">
        <f>VLOOKUP(A69,'2022_PAPI_Indicators'!A64:AH244,33,FALSE)</f>
        <v>1.4309055171906948E-2</v>
      </c>
      <c r="AJ69" s="133">
        <f>VLOOKUP(A69,'2022_PAPI_Indicators'!A64:AI244,34,FALSE)</f>
        <v>4.4281866401433945E-2</v>
      </c>
      <c r="AK69" s="133">
        <f>VLOOKUP(A69,'2022_PAPI_Indicators'!A64:AJ244,35,FALSE)</f>
        <v>5.5889099836349487E-2</v>
      </c>
      <c r="AL69" s="133">
        <f>VLOOKUP(A69,'2022_PAPI_Indicators'!A64:AK244,36,FALSE)</f>
        <v>1.3696254231035709E-2</v>
      </c>
      <c r="AM69" s="133">
        <f>VLOOKUP(A69,'2022_PAPI_Indicators'!A64:AL244,37,FALSE)</f>
        <v>6.1098609119653702E-2</v>
      </c>
      <c r="AN69" s="133">
        <f>VLOOKUP(A69,'2022_PAPI_Indicators'!A64:AM244,38,FALSE)</f>
        <v>6.5737448632717133E-2</v>
      </c>
      <c r="AO69" s="133">
        <f>VLOOKUP(A69,'2022_PAPI_Indicators'!A64:AN244,39,FALSE)</f>
        <v>8.1743068993091583E-2</v>
      </c>
      <c r="AP69" s="133">
        <f>VLOOKUP(A69,'2022_PAPI_Indicators'!A64:AO244,40,FALSE)</f>
        <v>9.9411770701408386E-2</v>
      </c>
      <c r="AQ69" s="133">
        <f>VLOOKUP(A69,'2022_PAPI_Indicators'!A64:AP244,41,FALSE)</f>
        <v>4.6387888491153717E-2</v>
      </c>
      <c r="AR69" s="133">
        <f>VLOOKUP(A69,'2022_PAPI_Indicators'!A64:AQ244,42,FALSE)</f>
        <v>2.5774035602807999E-2</v>
      </c>
      <c r="AS69" s="133">
        <f>VLOOKUP(A69,'2022_PAPI_Indicators'!A64:AR244,43,FALSE)</f>
        <v>3.1054135411977768E-2</v>
      </c>
      <c r="AT69" s="133">
        <f>VLOOKUP(A69,'2022_PAPI_Indicators'!A64:AS244,44,FALSE)</f>
        <v>6.3912317156791687E-2</v>
      </c>
      <c r="AU69" s="133">
        <f>VLOOKUP(A69,'2022_PAPI_Indicators'!A64:AT244,45,FALSE)</f>
        <v>2.9338337481021881E-2</v>
      </c>
      <c r="AV69" s="133">
        <f>VLOOKUP(A69,'2022_PAPI_Indicators'!A64:AU244,46,FALSE)</f>
        <v>4.8862166702747345E-2</v>
      </c>
      <c r="AW69" s="133">
        <f>VLOOKUP(A69,'2022_PAPI_Indicators'!A64:AV244,47,FALSE)</f>
        <v>4.4608604162931442E-2</v>
      </c>
      <c r="AX69" s="133">
        <f>VLOOKUP(A69,'2022_PAPI_Indicators'!A64:AW244,48,FALSE)</f>
        <v>6.3600160181522369E-2</v>
      </c>
      <c r="AY69" s="133">
        <f>VLOOKUP(A69,'2022_PAPI_Indicators'!A64:AX244,49,FALSE)</f>
        <v>3.3224500715732574E-2</v>
      </c>
      <c r="AZ69" s="133">
        <f>VLOOKUP(A69,'2022_PAPI_Indicators'!A64:AY244,50,FALSE)</f>
        <v>5.1261868327856064E-2</v>
      </c>
      <c r="BA69" s="133">
        <f>VLOOKUP(A69,'2022_PAPI_Indicators'!A64:AZ244,51,FALSE)</f>
        <v>5.1127586513757706E-2</v>
      </c>
      <c r="BB69" s="133">
        <f>VLOOKUP(A69,'2022_PAPI_Indicators'!A64:BA244,52,FALSE)</f>
        <v>3.1989078968763351E-2</v>
      </c>
      <c r="BC69" s="133">
        <f>VLOOKUP(A69,'2022_PAPI_Indicators'!A64:BB244,53,FALSE)</f>
        <v>4.6202976256608963E-2</v>
      </c>
      <c r="BD69" s="133">
        <f>VLOOKUP(A69,'2022_PAPI_Indicators'!A64:BC244,54,FALSE)</f>
        <v>3.117581270635128E-2</v>
      </c>
      <c r="BE69" s="133">
        <f>VLOOKUP(A69,'2022_PAPI_Indicators'!A64:BD244,55,FALSE)</f>
        <v>5.3697638213634491E-2</v>
      </c>
      <c r="BF69" s="133">
        <f>VLOOKUP(A69,'2022_PAPI_Indicators'!A64:BE244,56,FALSE)</f>
        <v>6.5095521509647369E-2</v>
      </c>
      <c r="BG69" s="133">
        <f>VLOOKUP(A69,'2022_PAPI_Indicators'!A64:BF244,57,FALSE)</f>
        <v>7.5578458607196808E-2</v>
      </c>
      <c r="BH69" s="133">
        <f>VLOOKUP(A69,'2022_PAPI_Indicators'!A64:BG244,58,FALSE)</f>
        <v>4.2574651539325714E-2</v>
      </c>
      <c r="BI69" s="133">
        <f>VLOOKUP(A69,'2022_PAPI_Indicators'!A64:BH244,59,FALSE)</f>
        <v>4.4167134910821915E-2</v>
      </c>
      <c r="BJ69" s="133">
        <f>VLOOKUP(A69,'2022_PAPI_Indicators'!A64:BI244,60,FALSE)</f>
        <v>2.3069771006703377E-2</v>
      </c>
      <c r="BK69" s="133">
        <f>VLOOKUP(A69,'2022_PAPI_Indicators'!A64:BJ244,61,FALSE)</f>
        <v>4.0193516761064529E-2</v>
      </c>
      <c r="BL69" s="133">
        <f>VLOOKUP(A69,'2022_PAPI_Indicators'!A64:BK244,62,FALSE)</f>
        <v>6.0661252588033676E-2</v>
      </c>
      <c r="BM69" s="133">
        <f>VLOOKUP(A69,'2022_PAPI_Indicators'!A64:BL244,63,FALSE)</f>
        <v>8.3648979663848877E-2</v>
      </c>
      <c r="BN69" s="133">
        <f>VLOOKUP(A69,'2022_PAPI_Indicators'!A64:BM244,64,FALSE)</f>
        <v>4.3300971388816833E-2</v>
      </c>
    </row>
    <row r="70" spans="1:66" x14ac:dyDescent="0.2">
      <c r="A70" s="70" t="s">
        <v>205</v>
      </c>
      <c r="B70" s="70" t="s">
        <v>206</v>
      </c>
      <c r="C70" s="89" t="s">
        <v>90</v>
      </c>
      <c r="D70" s="133">
        <f>VLOOKUP(A70,'2022_PAPI_Indicators'!A65:B245,2,)</f>
        <v>0.88548851013183594</v>
      </c>
      <c r="E70" s="133">
        <f>VLOOKUP(A70,'2022_PAPI_Indicators'!A65:C245,3,FALSE)</f>
        <v>0.75427109003067017</v>
      </c>
      <c r="F70" s="133">
        <f>VLOOKUP(A70,'2022_PAPI_Indicators'!A65:D245,4,FALSE)</f>
        <v>0.84948933124542236</v>
      </c>
      <c r="G70" s="133">
        <f>VLOOKUP(A70,'2022_PAPI_Indicators'!A65:E245,5,FALSE)</f>
        <v>1</v>
      </c>
      <c r="H70" s="133">
        <f>VLOOKUP(A70,'2022_PAPI_Indicators'!A65:F245,6,FALSE)</f>
        <v>0.98113137483596802</v>
      </c>
      <c r="I70" s="133">
        <f>VLOOKUP(A70,'2022_PAPI_Indicators'!A65:G245,7,FALSE)</f>
        <v>0.69999998807907104</v>
      </c>
      <c r="J70" s="133">
        <f>VLOOKUP(A70,'2022_PAPI_Indicators'!A65:H245,8,FALSE)</f>
        <v>0.86143064498901367</v>
      </c>
      <c r="K70" s="133">
        <f>VLOOKUP(A70,'2022_PAPI_Indicators'!A65:I245,9,FALSE)</f>
        <v>0.7395787239074707</v>
      </c>
      <c r="L70" s="133">
        <f>VLOOKUP(A70,'2022_PAPI_Indicators'!A65:J245,10,FALSE)</f>
        <v>1</v>
      </c>
      <c r="M70" s="133">
        <f>VLOOKUP(A70,'2022_PAPI_Indicators'!A65:K245,11,FALSE)</f>
        <v>1</v>
      </c>
      <c r="N70" s="133">
        <f>VLOOKUP(A70,'2022_PAPI_Indicators'!A65:L245,12,FALSE)</f>
        <v>1</v>
      </c>
      <c r="O70" s="133">
        <f>VLOOKUP(A70,'2022_PAPI_Indicators'!A65:M245,13,FALSE)</f>
        <v>0.83550208806991577</v>
      </c>
      <c r="P70" s="133">
        <f>VLOOKUP(A70,'2022_PAPI_Indicators'!A65:N245,14,FALSE)</f>
        <v>1</v>
      </c>
      <c r="Q70" s="133">
        <f>VLOOKUP(A70,'2022_PAPI_Indicators'!A65:O245,15,FALSE)</f>
        <v>1</v>
      </c>
      <c r="R70" s="135">
        <f>VLOOKUP(A70,'2022_PAPI_Indicators'!A65:P245,16,FALSE)</f>
        <v>0.80820184946060181</v>
      </c>
      <c r="S70" s="133">
        <f>VLOOKUP(A70,'2022_PAPI_Indicators'!A65:R245,17,FALSE)</f>
        <v>0.71748119592666626</v>
      </c>
      <c r="T70" s="133">
        <f>VLOOKUP(A70,'2022_PAPI_Indicators'!A65:S245,18,FALSE)</f>
        <v>0.87000471353530884</v>
      </c>
      <c r="U70" s="135">
        <f>VLOOKUP(A70,'2022_PAPI_Indicators'!A65:T245,19,FALSE)</f>
        <v>0</v>
      </c>
      <c r="V70" s="133">
        <f>VLOOKUP(A70,'2022_PAPI_Indicators'!A65:U245,20,FALSE)</f>
        <v>1</v>
      </c>
      <c r="W70" s="133">
        <f>VLOOKUP(A70,'2022_PAPI_Indicators'!A65:V245,21,FALSE)</f>
        <v>1</v>
      </c>
      <c r="X70" s="133">
        <f>VLOOKUP(A70,'2022_PAPI_Indicators'!A65:W245,22,FALSE)</f>
        <v>1</v>
      </c>
      <c r="Y70" s="133">
        <f>VLOOKUP(A70,'2022_PAPI_Indicators'!A65:X245,23,FALSE)</f>
        <v>1</v>
      </c>
      <c r="Z70" s="133">
        <f>VLOOKUP(A70,'2022_PAPI_Indicators'!A65:Y245,24,FALSE)</f>
        <v>1</v>
      </c>
      <c r="AA70" s="133">
        <f>VLOOKUP(A70,'2022_PAPI_Indicators'!A65:Z245,25,FALSE)</f>
        <v>1</v>
      </c>
      <c r="AB70" s="133">
        <f>VLOOKUP(A70,'2022_PAPI_Indicators'!A65:AA245,26,FALSE)</f>
        <v>1</v>
      </c>
      <c r="AC70" s="133">
        <f>VLOOKUP(A70,'2022_PAPI_Indicators'!A65:AB245,27,FALSE)</f>
        <v>0.8959386944770813</v>
      </c>
      <c r="AD70" s="133">
        <f>VLOOKUP(A70,'2022_PAPI_Indicators'!A65:AC245,28,FALSE)</f>
        <v>0.75689601898193359</v>
      </c>
      <c r="AE70" s="133">
        <f>VLOOKUP(A70,'2022_PAPI_Indicators'!A65:AD245,29,FALSE)</f>
        <v>0.8776850700378418</v>
      </c>
      <c r="AF70" s="133">
        <f>VLOOKUP(A70,'2022_PAPI_Indicators'!A65:AE245,30,FALSE)</f>
        <v>0.82462024688720703</v>
      </c>
      <c r="AG70" s="133">
        <f>VLOOKUP(A70,'2022_PAPI_Indicators'!A65:AF245,31,FALSE)</f>
        <v>0.9786718487739563</v>
      </c>
      <c r="AH70" s="133">
        <f>VLOOKUP(A70,'2022_PAPI_Indicators'!A65:AG245,32,FALSE)</f>
        <v>1</v>
      </c>
      <c r="AI70" s="133">
        <f>VLOOKUP(A70,'2022_PAPI_Indicators'!A65:AH245,33,FALSE)</f>
        <v>0.836833655834198</v>
      </c>
      <c r="AJ70" s="133">
        <f>VLOOKUP(A70,'2022_PAPI_Indicators'!A65:AI245,34,FALSE)</f>
        <v>1</v>
      </c>
      <c r="AK70" s="133">
        <f>VLOOKUP(A70,'2022_PAPI_Indicators'!A65:AJ245,35,FALSE)</f>
        <v>1</v>
      </c>
      <c r="AL70" s="133">
        <f>VLOOKUP(A70,'2022_PAPI_Indicators'!A65:AK245,36,FALSE)</f>
        <v>1</v>
      </c>
      <c r="AM70" s="133">
        <f>VLOOKUP(A70,'2022_PAPI_Indicators'!A65:AL245,37,FALSE)</f>
        <v>0.84667634963989258</v>
      </c>
      <c r="AN70" s="133">
        <f>VLOOKUP(A70,'2022_PAPI_Indicators'!A65:AM245,38,FALSE)</f>
        <v>1</v>
      </c>
      <c r="AO70" s="133">
        <f>VLOOKUP(A70,'2022_PAPI_Indicators'!A65:AN245,39,FALSE)</f>
        <v>0.89416366815567017</v>
      </c>
      <c r="AP70" s="133">
        <f>VLOOKUP(A70,'2022_PAPI_Indicators'!A65:AO245,40,FALSE)</f>
        <v>0.98405414819717407</v>
      </c>
      <c r="AQ70" s="133">
        <f>VLOOKUP(A70,'2022_PAPI_Indicators'!A65:AP245,41,FALSE)</f>
        <v>0.8571428656578064</v>
      </c>
      <c r="AR70" s="133">
        <f>VLOOKUP(A70,'2022_PAPI_Indicators'!A65:AQ245,42,FALSE)</f>
        <v>0.66666668653488159</v>
      </c>
      <c r="AS70" s="133">
        <f>VLOOKUP(A70,'2022_PAPI_Indicators'!A65:AR245,43,FALSE)</f>
        <v>0.94711261987686157</v>
      </c>
      <c r="AT70" s="133">
        <f>VLOOKUP(A70,'2022_PAPI_Indicators'!A65:AS245,44,FALSE)</f>
        <v>0.83183753490447998</v>
      </c>
      <c r="AU70" s="133">
        <f>VLOOKUP(A70,'2022_PAPI_Indicators'!A65:AT245,45,FALSE)</f>
        <v>1</v>
      </c>
      <c r="AV70" s="133">
        <f>VLOOKUP(A70,'2022_PAPI_Indicators'!A65:AU245,46,FALSE)</f>
        <v>0.80427372455596924</v>
      </c>
      <c r="AW70" s="133">
        <f>VLOOKUP(A70,'2022_PAPI_Indicators'!A65:AV245,47,FALSE)</f>
        <v>0.83684748411178589</v>
      </c>
      <c r="AX70" s="133">
        <f>VLOOKUP(A70,'2022_PAPI_Indicators'!A65:AW245,48,FALSE)</f>
        <v>1</v>
      </c>
      <c r="AY70" s="133">
        <f>VLOOKUP(A70,'2022_PAPI_Indicators'!A65:AX245,49,FALSE)</f>
        <v>0.97737491130828857</v>
      </c>
      <c r="AZ70" s="133">
        <f>VLOOKUP(A70,'2022_PAPI_Indicators'!A65:AY245,50,FALSE)</f>
        <v>0.92601281404495239</v>
      </c>
      <c r="BA70" s="133">
        <f>VLOOKUP(A70,'2022_PAPI_Indicators'!A65:AZ245,51,FALSE)</f>
        <v>0.86749374866485596</v>
      </c>
      <c r="BB70" s="133">
        <f>VLOOKUP(A70,'2022_PAPI_Indicators'!A65:BA245,52,FALSE)</f>
        <v>0.81068038940429688</v>
      </c>
      <c r="BC70" s="133">
        <f>VLOOKUP(A70,'2022_PAPI_Indicators'!A65:BB245,53,FALSE)</f>
        <v>1</v>
      </c>
      <c r="BD70" s="133">
        <f>VLOOKUP(A70,'2022_PAPI_Indicators'!A65:BC245,54,FALSE)</f>
        <v>0.65557312965393066</v>
      </c>
      <c r="BE70" s="133">
        <f>VLOOKUP(A70,'2022_PAPI_Indicators'!A65:BD245,55,FALSE)</f>
        <v>0.72418129444122314</v>
      </c>
      <c r="BF70" s="133">
        <f>VLOOKUP(A70,'2022_PAPI_Indicators'!A65:BE245,56,FALSE)</f>
        <v>0.86350005865097046</v>
      </c>
      <c r="BG70" s="133">
        <f>VLOOKUP(A70,'2022_PAPI_Indicators'!A65:BF245,57,FALSE)</f>
        <v>1</v>
      </c>
      <c r="BH70" s="133">
        <f>VLOOKUP(A70,'2022_PAPI_Indicators'!A65:BG245,58,FALSE)</f>
        <v>0.77907687425613403</v>
      </c>
      <c r="BI70" s="133">
        <f>VLOOKUP(A70,'2022_PAPI_Indicators'!A65:BH245,59,FALSE)</f>
        <v>0.9758676290512085</v>
      </c>
      <c r="BJ70" s="133">
        <f>VLOOKUP(A70,'2022_PAPI_Indicators'!A65:BI245,60,FALSE)</f>
        <v>1</v>
      </c>
      <c r="BK70" s="133">
        <f>VLOOKUP(A70,'2022_PAPI_Indicators'!A65:BJ245,61,FALSE)</f>
        <v>0.78049606084823608</v>
      </c>
      <c r="BL70" s="133">
        <f>VLOOKUP(A70,'2022_PAPI_Indicators'!A65:BK245,62,FALSE)</f>
        <v>0.98459100723266602</v>
      </c>
      <c r="BM70" s="133">
        <f>VLOOKUP(A70,'2022_PAPI_Indicators'!A65:BL245,63,FALSE)</f>
        <v>1</v>
      </c>
      <c r="BN70" s="133">
        <f>VLOOKUP(A70,'2022_PAPI_Indicators'!A65:BM245,64,FALSE)</f>
        <v>1</v>
      </c>
    </row>
    <row r="71" spans="1:66" s="112" customFormat="1" x14ac:dyDescent="0.2">
      <c r="A71" s="77" t="s">
        <v>207</v>
      </c>
      <c r="B71" s="77" t="s">
        <v>421</v>
      </c>
      <c r="C71" s="92" t="s">
        <v>449</v>
      </c>
      <c r="D71" s="131">
        <f>VLOOKUP(A71,'2022_PAPI_Indicators'!A66:B246,2,)</f>
        <v>0.460113525390625</v>
      </c>
      <c r="E71" s="131">
        <f>VLOOKUP(A71,'2022_PAPI_Indicators'!A66:C246,3,FALSE)</f>
        <v>0.44412714242935181</v>
      </c>
      <c r="F71" s="131">
        <f>VLOOKUP(A71,'2022_PAPI_Indicators'!A66:D246,4,FALSE)</f>
        <v>0.44577950239181519</v>
      </c>
      <c r="G71" s="131">
        <f>VLOOKUP(A71,'2022_PAPI_Indicators'!A66:E246,5,FALSE)</f>
        <v>0.49313554167747498</v>
      </c>
      <c r="H71" s="131">
        <f>VLOOKUP(A71,'2022_PAPI_Indicators'!A66:F246,6,FALSE)</f>
        <v>0.53686279058456421</v>
      </c>
      <c r="I71" s="131">
        <f>VLOOKUP(A71,'2022_PAPI_Indicators'!A66:G246,7,FALSE)</f>
        <v>0.47874581813812256</v>
      </c>
      <c r="J71" s="131">
        <f>VLOOKUP(A71,'2022_PAPI_Indicators'!A66:H246,8,FALSE)</f>
        <v>0.48313456773757935</v>
      </c>
      <c r="K71" s="131">
        <f>VLOOKUP(A71,'2022_PAPI_Indicators'!A66:I246,9,FALSE)</f>
        <v>0.51467710733413696</v>
      </c>
      <c r="L71" s="131">
        <f>VLOOKUP(A71,'2022_PAPI_Indicators'!A66:J246,10,FALSE)</f>
        <v>0.59180712699890137</v>
      </c>
      <c r="M71" s="131">
        <f>VLOOKUP(A71,'2022_PAPI_Indicators'!A66:K246,11,FALSE)</f>
        <v>0.47778746485710144</v>
      </c>
      <c r="N71" s="131">
        <f>VLOOKUP(A71,'2022_PAPI_Indicators'!A66:L246,12,FALSE)</f>
        <v>0.50330263376235962</v>
      </c>
      <c r="O71" s="131">
        <f>VLOOKUP(A71,'2022_PAPI_Indicators'!A66:M246,13,FALSE)</f>
        <v>0.52758020162582397</v>
      </c>
      <c r="P71" s="131">
        <f>VLOOKUP(A71,'2022_PAPI_Indicators'!A66:N246,14,FALSE)</f>
        <v>0.49974262714385986</v>
      </c>
      <c r="Q71" s="131">
        <f>VLOOKUP(A71,'2022_PAPI_Indicators'!A66:O246,15,FALSE)</f>
        <v>0.46540507674217224</v>
      </c>
      <c r="R71" s="132">
        <f>VLOOKUP(A71,'2022_PAPI_Indicators'!A66:P246,16,FALSE)</f>
        <v>0.5269322395324707</v>
      </c>
      <c r="S71" s="131">
        <f>VLOOKUP(A71,'2022_PAPI_Indicators'!A66:R246,17,FALSE)</f>
        <v>0.49914121627807617</v>
      </c>
      <c r="T71" s="131">
        <f>VLOOKUP(A71,'2022_PAPI_Indicators'!A66:S246,18,FALSE)</f>
        <v>0.44856971502304077</v>
      </c>
      <c r="U71" s="132">
        <f>VLOOKUP(A71,'2022_PAPI_Indicators'!A66:T246,19,FALSE)</f>
        <v>0</v>
      </c>
      <c r="V71" s="131">
        <f>VLOOKUP(A71,'2022_PAPI_Indicators'!A66:U246,20,FALSE)</f>
        <v>0.44507074356079102</v>
      </c>
      <c r="W71" s="131">
        <f>VLOOKUP(A71,'2022_PAPI_Indicators'!A66:V246,21,FALSE)</f>
        <v>0.46964150667190552</v>
      </c>
      <c r="X71" s="131">
        <f>VLOOKUP(A71,'2022_PAPI_Indicators'!A66:W246,22,FALSE)</f>
        <v>0.47990676760673523</v>
      </c>
      <c r="Y71" s="131">
        <f>VLOOKUP(A71,'2022_PAPI_Indicators'!A66:X246,23,FALSE)</f>
        <v>0.45006051659584045</v>
      </c>
      <c r="Z71" s="131">
        <f>VLOOKUP(A71,'2022_PAPI_Indicators'!A66:Y246,24,FALSE)</f>
        <v>0.47249603271484375</v>
      </c>
      <c r="AA71" s="131">
        <f>VLOOKUP(A71,'2022_PAPI_Indicators'!A66:Z246,25,FALSE)</f>
        <v>0.49825122952461243</v>
      </c>
      <c r="AB71" s="131">
        <f>VLOOKUP(A71,'2022_PAPI_Indicators'!A66:AA246,26,FALSE)</f>
        <v>0.45222222805023193</v>
      </c>
      <c r="AC71" s="131">
        <f>VLOOKUP(A71,'2022_PAPI_Indicators'!A66:AB246,27,FALSE)</f>
        <v>0.59387069940567017</v>
      </c>
      <c r="AD71" s="131">
        <f>VLOOKUP(A71,'2022_PAPI_Indicators'!A66:AC246,28,FALSE)</f>
        <v>0.54424965381622314</v>
      </c>
      <c r="AE71" s="131">
        <f>VLOOKUP(A71,'2022_PAPI_Indicators'!A66:AD246,29,FALSE)</f>
        <v>0.56890267133712769</v>
      </c>
      <c r="AF71" s="131">
        <f>VLOOKUP(A71,'2022_PAPI_Indicators'!A66:AE246,30,FALSE)</f>
        <v>0.65695607662200928</v>
      </c>
      <c r="AG71" s="131">
        <f>VLOOKUP(A71,'2022_PAPI_Indicators'!A66:AF246,31,FALSE)</f>
        <v>0.56814754009246826</v>
      </c>
      <c r="AH71" s="131">
        <f>VLOOKUP(A71,'2022_PAPI_Indicators'!A66:AG246,32,FALSE)</f>
        <v>0.53285402059555054</v>
      </c>
      <c r="AI71" s="131">
        <f>VLOOKUP(A71,'2022_PAPI_Indicators'!A66:AH246,33,FALSE)</f>
        <v>0.40773671865463257</v>
      </c>
      <c r="AJ71" s="131">
        <f>VLOOKUP(A71,'2022_PAPI_Indicators'!A66:AI246,34,FALSE)</f>
        <v>0.4843330979347229</v>
      </c>
      <c r="AK71" s="131">
        <f>VLOOKUP(A71,'2022_PAPI_Indicators'!A66:AJ246,35,FALSE)</f>
        <v>0.47543060779571533</v>
      </c>
      <c r="AL71" s="131">
        <f>VLOOKUP(A71,'2022_PAPI_Indicators'!A66:AK246,36,FALSE)</f>
        <v>0.44286283850669861</v>
      </c>
      <c r="AM71" s="131">
        <f>VLOOKUP(A71,'2022_PAPI_Indicators'!A66:AL246,37,FALSE)</f>
        <v>0.47263181209564209</v>
      </c>
      <c r="AN71" s="131">
        <f>VLOOKUP(A71,'2022_PAPI_Indicators'!A66:AM246,38,FALSE)</f>
        <v>0.42960646748542786</v>
      </c>
      <c r="AO71" s="131">
        <f>VLOOKUP(A71,'2022_PAPI_Indicators'!A66:AN246,39,FALSE)</f>
        <v>0.48570820689201355</v>
      </c>
      <c r="AP71" s="131">
        <f>VLOOKUP(A71,'2022_PAPI_Indicators'!A66:AO246,40,FALSE)</f>
        <v>0.49544873833656311</v>
      </c>
      <c r="AQ71" s="131">
        <f>VLOOKUP(A71,'2022_PAPI_Indicators'!A66:AP246,41,FALSE)</f>
        <v>0.48664829134941101</v>
      </c>
      <c r="AR71" s="131">
        <f>VLOOKUP(A71,'2022_PAPI_Indicators'!A66:AQ246,42,FALSE)</f>
        <v>0.47925251722335815</v>
      </c>
      <c r="AS71" s="131">
        <f>VLOOKUP(A71,'2022_PAPI_Indicators'!A66:AR246,43,FALSE)</f>
        <v>0.4361705482006073</v>
      </c>
      <c r="AT71" s="131">
        <f>VLOOKUP(A71,'2022_PAPI_Indicators'!A66:AS246,44,FALSE)</f>
        <v>0.52367514371871948</v>
      </c>
      <c r="AU71" s="131">
        <f>VLOOKUP(A71,'2022_PAPI_Indicators'!A66:AT246,45,FALSE)</f>
        <v>0.46023467183113098</v>
      </c>
      <c r="AV71" s="131">
        <f>VLOOKUP(A71,'2022_PAPI_Indicators'!A66:AU246,46,FALSE)</f>
        <v>0.45670315623283386</v>
      </c>
      <c r="AW71" s="131">
        <f>VLOOKUP(A71,'2022_PAPI_Indicators'!A66:AV246,47,FALSE)</f>
        <v>0.40278682112693787</v>
      </c>
      <c r="AX71" s="131">
        <f>VLOOKUP(A71,'2022_PAPI_Indicators'!A66:AW246,48,FALSE)</f>
        <v>0.46766376495361328</v>
      </c>
      <c r="AY71" s="131">
        <f>VLOOKUP(A71,'2022_PAPI_Indicators'!A66:AX246,49,FALSE)</f>
        <v>0.43277785181999207</v>
      </c>
      <c r="AZ71" s="131">
        <f>VLOOKUP(A71,'2022_PAPI_Indicators'!A66:AY246,50,FALSE)</f>
        <v>0.47352465987205505</v>
      </c>
      <c r="BA71" s="131">
        <f>VLOOKUP(A71,'2022_PAPI_Indicators'!A66:AZ246,51,FALSE)</f>
        <v>0.40277576446533203</v>
      </c>
      <c r="BB71" s="131">
        <f>VLOOKUP(A71,'2022_PAPI_Indicators'!A66:BA246,52,FALSE)</f>
        <v>0.44470605254173279</v>
      </c>
      <c r="BC71" s="131">
        <f>VLOOKUP(A71,'2022_PAPI_Indicators'!A66:BB246,53,FALSE)</f>
        <v>0.42040145397186279</v>
      </c>
      <c r="BD71" s="131">
        <f>VLOOKUP(A71,'2022_PAPI_Indicators'!A66:BC246,54,FALSE)</f>
        <v>0.45045468211174011</v>
      </c>
      <c r="BE71" s="131">
        <f>VLOOKUP(A71,'2022_PAPI_Indicators'!A66:BD246,55,FALSE)</f>
        <v>0.47353088855743408</v>
      </c>
      <c r="BF71" s="131">
        <f>VLOOKUP(A71,'2022_PAPI_Indicators'!A66:BE246,56,FALSE)</f>
        <v>0.49717849493026733</v>
      </c>
      <c r="BG71" s="131">
        <f>VLOOKUP(A71,'2022_PAPI_Indicators'!A66:BF246,57,FALSE)</f>
        <v>0.44475510716438293</v>
      </c>
      <c r="BH71" s="131">
        <f>VLOOKUP(A71,'2022_PAPI_Indicators'!A66:BG246,58,FALSE)</f>
        <v>0.38513565063476563</v>
      </c>
      <c r="BI71" s="131">
        <f>VLOOKUP(A71,'2022_PAPI_Indicators'!A66:BH246,59,FALSE)</f>
        <v>0.43443530797958374</v>
      </c>
      <c r="BJ71" s="131">
        <f>VLOOKUP(A71,'2022_PAPI_Indicators'!A66:BI246,60,FALSE)</f>
        <v>0.41216269135475159</v>
      </c>
      <c r="BK71" s="131">
        <f>VLOOKUP(A71,'2022_PAPI_Indicators'!A66:BJ246,61,FALSE)</f>
        <v>0.44817984104156494</v>
      </c>
      <c r="BL71" s="131">
        <f>VLOOKUP(A71,'2022_PAPI_Indicators'!A66:BK246,62,FALSE)</f>
        <v>0.41566196084022522</v>
      </c>
      <c r="BM71" s="131">
        <f>VLOOKUP(A71,'2022_PAPI_Indicators'!A66:BL246,63,FALSE)</f>
        <v>0.51612603664398193</v>
      </c>
      <c r="BN71" s="131">
        <f>VLOOKUP(A71,'2022_PAPI_Indicators'!A66:BM246,64,FALSE)</f>
        <v>0.5310782790184021</v>
      </c>
    </row>
    <row r="72" spans="1:66" x14ac:dyDescent="0.2">
      <c r="A72" s="70" t="s">
        <v>209</v>
      </c>
      <c r="B72" s="70" t="s">
        <v>210</v>
      </c>
      <c r="C72" s="89" t="s">
        <v>90</v>
      </c>
      <c r="D72" s="133">
        <f>VLOOKUP(A72,'2022_PAPI_Indicators'!A67:B247,2,)</f>
        <v>0.18616683781147003</v>
      </c>
      <c r="E72" s="133">
        <f>VLOOKUP(A72,'2022_PAPI_Indicators'!A67:C247,3,FALSE)</f>
        <v>0.16528803110122681</v>
      </c>
      <c r="F72" s="133">
        <f>VLOOKUP(A72,'2022_PAPI_Indicators'!A67:D247,4,FALSE)</f>
        <v>0.17125372588634491</v>
      </c>
      <c r="G72" s="133">
        <f>VLOOKUP(A72,'2022_PAPI_Indicators'!A67:E247,5,FALSE)</f>
        <v>0.23108683526515961</v>
      </c>
      <c r="H72" s="133">
        <f>VLOOKUP(A72,'2022_PAPI_Indicators'!A67:F247,6,FALSE)</f>
        <v>0.28272849321365356</v>
      </c>
      <c r="I72" s="133">
        <f>VLOOKUP(A72,'2022_PAPI_Indicators'!A67:G247,7,FALSE)</f>
        <v>0.23175486922264099</v>
      </c>
      <c r="J72" s="133">
        <f>VLOOKUP(A72,'2022_PAPI_Indicators'!A67:H247,8,FALSE)</f>
        <v>0.22016783058643341</v>
      </c>
      <c r="K72" s="133">
        <f>VLOOKUP(A72,'2022_PAPI_Indicators'!A67:I247,9,FALSE)</f>
        <v>0.2586524486541748</v>
      </c>
      <c r="L72" s="133">
        <f>VLOOKUP(A72,'2022_PAPI_Indicators'!A67:J247,10,FALSE)</f>
        <v>0.38315904140472412</v>
      </c>
      <c r="M72" s="133">
        <f>VLOOKUP(A72,'2022_PAPI_Indicators'!A67:K247,11,FALSE)</f>
        <v>0.21716415882110596</v>
      </c>
      <c r="N72" s="133">
        <f>VLOOKUP(A72,'2022_PAPI_Indicators'!A67:L247,12,FALSE)</f>
        <v>0.25179022550582886</v>
      </c>
      <c r="O72" s="133">
        <f>VLOOKUP(A72,'2022_PAPI_Indicators'!A67:M247,13,FALSE)</f>
        <v>0.28186249732971191</v>
      </c>
      <c r="P72" s="133">
        <f>VLOOKUP(A72,'2022_PAPI_Indicators'!A67:N247,14,FALSE)</f>
        <v>0.24841718375682831</v>
      </c>
      <c r="Q72" s="133">
        <f>VLOOKUP(A72,'2022_PAPI_Indicators'!A67:O247,15,FALSE)</f>
        <v>0.18965829908847809</v>
      </c>
      <c r="R72" s="135">
        <f>VLOOKUP(A72,'2022_PAPI_Indicators'!A67:P247,16,FALSE)</f>
        <v>0.27304106950759888</v>
      </c>
      <c r="S72" s="133">
        <f>VLOOKUP(A72,'2022_PAPI_Indicators'!A67:R247,17,FALSE)</f>
        <v>0.25966817140579224</v>
      </c>
      <c r="T72" s="133">
        <f>VLOOKUP(A72,'2022_PAPI_Indicators'!A67:S247,18,FALSE)</f>
        <v>0.19189916551113129</v>
      </c>
      <c r="U72" s="135">
        <f>VLOOKUP(A72,'2022_PAPI_Indicators'!A67:T247,19,FALSE)</f>
        <v>0</v>
      </c>
      <c r="V72" s="133">
        <f>VLOOKUP(A72,'2022_PAPI_Indicators'!A67:U247,20,FALSE)</f>
        <v>0.16550347208976746</v>
      </c>
      <c r="W72" s="133">
        <f>VLOOKUP(A72,'2022_PAPI_Indicators'!A67:V247,21,FALSE)</f>
        <v>0.19168642163276672</v>
      </c>
      <c r="X72" s="133">
        <f>VLOOKUP(A72,'2022_PAPI_Indicators'!A67:W247,22,FALSE)</f>
        <v>0.20599113404750824</v>
      </c>
      <c r="Y72" s="133">
        <f>VLOOKUP(A72,'2022_PAPI_Indicators'!A67:X247,23,FALSE)</f>
        <v>0.17302088439464569</v>
      </c>
      <c r="Z72" s="133">
        <f>VLOOKUP(A72,'2022_PAPI_Indicators'!A67:Y247,24,FALSE)</f>
        <v>0.19684533774852753</v>
      </c>
      <c r="AA72" s="133">
        <f>VLOOKUP(A72,'2022_PAPI_Indicators'!A67:Z247,25,FALSE)</f>
        <v>0.24948319792747498</v>
      </c>
      <c r="AB72" s="133">
        <f>VLOOKUP(A72,'2022_PAPI_Indicators'!A67:AA247,26,FALSE)</f>
        <v>0.18640688061714172</v>
      </c>
      <c r="AC72" s="133">
        <f>VLOOKUP(A72,'2022_PAPI_Indicators'!A67:AB247,27,FALSE)</f>
        <v>0.37070056796073914</v>
      </c>
      <c r="AD72" s="133">
        <f>VLOOKUP(A72,'2022_PAPI_Indicators'!A67:AC247,28,FALSE)</f>
        <v>0.30927351117134094</v>
      </c>
      <c r="AE72" s="133">
        <f>VLOOKUP(A72,'2022_PAPI_Indicators'!A67:AD247,29,FALSE)</f>
        <v>0.34926247596740723</v>
      </c>
      <c r="AF72" s="133">
        <f>VLOOKUP(A72,'2022_PAPI_Indicators'!A67:AE247,30,FALSE)</f>
        <v>0.47586622834205627</v>
      </c>
      <c r="AG72" s="133">
        <f>VLOOKUP(A72,'2022_PAPI_Indicators'!A67:AF247,31,FALSE)</f>
        <v>0.34353569149971008</v>
      </c>
      <c r="AH72" s="133">
        <f>VLOOKUP(A72,'2022_PAPI_Indicators'!A67:AG247,32,FALSE)</f>
        <v>0.27320405840873718</v>
      </c>
      <c r="AI72" s="133">
        <f>VLOOKUP(A72,'2022_PAPI_Indicators'!A67:AH247,33,FALSE)</f>
        <v>0.11455215513706207</v>
      </c>
      <c r="AJ72" s="133">
        <f>VLOOKUP(A72,'2022_PAPI_Indicators'!A67:AI247,34,FALSE)</f>
        <v>0.21892645955085754</v>
      </c>
      <c r="AK72" s="133">
        <f>VLOOKUP(A72,'2022_PAPI_Indicators'!A67:AJ247,35,FALSE)</f>
        <v>0.21575622260570526</v>
      </c>
      <c r="AL72" s="133">
        <f>VLOOKUP(A72,'2022_PAPI_Indicators'!A67:AK247,36,FALSE)</f>
        <v>0.1622760146856308</v>
      </c>
      <c r="AM72" s="133">
        <f>VLOOKUP(A72,'2022_PAPI_Indicators'!A67:AL247,37,FALSE)</f>
        <v>0.20772171020507813</v>
      </c>
      <c r="AN72" s="133">
        <f>VLOOKUP(A72,'2022_PAPI_Indicators'!A67:AM247,38,FALSE)</f>
        <v>0.1435813307762146</v>
      </c>
      <c r="AO72" s="133">
        <f>VLOOKUP(A72,'2022_PAPI_Indicators'!A67:AN247,39,FALSE)</f>
        <v>0.21526001393795013</v>
      </c>
      <c r="AP72" s="133">
        <f>VLOOKUP(A72,'2022_PAPI_Indicators'!A67:AO247,40,FALSE)</f>
        <v>0.22282655537128448</v>
      </c>
      <c r="AQ72" s="133">
        <f>VLOOKUP(A72,'2022_PAPI_Indicators'!A67:AP247,41,FALSE)</f>
        <v>0.23093144595623016</v>
      </c>
      <c r="AR72" s="133">
        <f>VLOOKUP(A72,'2022_PAPI_Indicators'!A67:AQ247,42,FALSE)</f>
        <v>0.204560786485672</v>
      </c>
      <c r="AS72" s="133">
        <f>VLOOKUP(A72,'2022_PAPI_Indicators'!A67:AR247,43,FALSE)</f>
        <v>0.16016006469726563</v>
      </c>
      <c r="AT72" s="133">
        <f>VLOOKUP(A72,'2022_PAPI_Indicators'!A67:AS247,44,FALSE)</f>
        <v>0.28271457552909851</v>
      </c>
      <c r="AU72" s="133">
        <f>VLOOKUP(A72,'2022_PAPI_Indicators'!A67:AT247,45,FALSE)</f>
        <v>0.18439066410064697</v>
      </c>
      <c r="AV72" s="133">
        <f>VLOOKUP(A72,'2022_PAPI_Indicators'!A67:AU247,46,FALSE)</f>
        <v>0.17649398744106293</v>
      </c>
      <c r="AW72" s="133">
        <f>VLOOKUP(A72,'2022_PAPI_Indicators'!A67:AV247,47,FALSE)</f>
        <v>0.10941667109727859</v>
      </c>
      <c r="AX72" s="133">
        <f>VLOOKUP(A72,'2022_PAPI_Indicators'!A67:AW247,48,FALSE)</f>
        <v>0.18957957625389099</v>
      </c>
      <c r="AY72" s="133">
        <f>VLOOKUP(A72,'2022_PAPI_Indicators'!A67:AX247,49,FALSE)</f>
        <v>0.15631088614463806</v>
      </c>
      <c r="AZ72" s="133">
        <f>VLOOKUP(A72,'2022_PAPI_Indicators'!A67:AY247,50,FALSE)</f>
        <v>0.20295616984367371</v>
      </c>
      <c r="BA72" s="133">
        <f>VLOOKUP(A72,'2022_PAPI_Indicators'!A67:AZ247,51,FALSE)</f>
        <v>0.11168695241212845</v>
      </c>
      <c r="BB72" s="133">
        <f>VLOOKUP(A72,'2022_PAPI_Indicators'!A67:BA247,52,FALSE)</f>
        <v>0.17568279802799225</v>
      </c>
      <c r="BC72" s="133">
        <f>VLOOKUP(A72,'2022_PAPI_Indicators'!A67:BB247,53,FALSE)</f>
        <v>0.12533693015575409</v>
      </c>
      <c r="BD72" s="133">
        <f>VLOOKUP(A72,'2022_PAPI_Indicators'!A67:BC247,54,FALSE)</f>
        <v>0.18072423338890076</v>
      </c>
      <c r="BE72" s="133">
        <f>VLOOKUP(A72,'2022_PAPI_Indicators'!A67:BD247,55,FALSE)</f>
        <v>0.2192024290561676</v>
      </c>
      <c r="BF72" s="133">
        <f>VLOOKUP(A72,'2022_PAPI_Indicators'!A67:BE247,56,FALSE)</f>
        <v>0.24341684579849243</v>
      </c>
      <c r="BG72" s="133">
        <f>VLOOKUP(A72,'2022_PAPI_Indicators'!A67:BF247,57,FALSE)</f>
        <v>0.15540115535259247</v>
      </c>
      <c r="BH72" s="133">
        <f>VLOOKUP(A72,'2022_PAPI_Indicators'!A67:BG247,58,FALSE)</f>
        <v>8.0197550356388092E-2</v>
      </c>
      <c r="BI72" s="133">
        <f>VLOOKUP(A72,'2022_PAPI_Indicators'!A67:BH247,59,FALSE)</f>
        <v>0.15562638640403748</v>
      </c>
      <c r="BJ72" s="133">
        <f>VLOOKUP(A72,'2022_PAPI_Indicators'!A67:BI247,60,FALSE)</f>
        <v>0.11829916387796402</v>
      </c>
      <c r="BK72" s="133">
        <f>VLOOKUP(A72,'2022_PAPI_Indicators'!A67:BJ247,61,FALSE)</f>
        <v>0.16318412125110626</v>
      </c>
      <c r="BL72" s="133">
        <f>VLOOKUP(A72,'2022_PAPI_Indicators'!A67:BK247,62,FALSE)</f>
        <v>0.11945305019617081</v>
      </c>
      <c r="BM72" s="133">
        <f>VLOOKUP(A72,'2022_PAPI_Indicators'!A67:BL247,63,FALSE)</f>
        <v>0.26457089185714722</v>
      </c>
      <c r="BN72" s="133">
        <f>VLOOKUP(A72,'2022_PAPI_Indicators'!A67:BM247,64,FALSE)</f>
        <v>0.28551685810089111</v>
      </c>
    </row>
    <row r="73" spans="1:66" x14ac:dyDescent="0.2">
      <c r="A73" s="70" t="s">
        <v>211</v>
      </c>
      <c r="B73" s="70" t="s">
        <v>212</v>
      </c>
      <c r="C73" s="89" t="s">
        <v>90</v>
      </c>
      <c r="D73" s="133">
        <f>VLOOKUP(A73,'2022_PAPI_Indicators'!A68:B248,2,)</f>
        <v>0.16430723667144775</v>
      </c>
      <c r="E73" s="133">
        <f>VLOOKUP(A73,'2022_PAPI_Indicators'!A68:C248,3,FALSE)</f>
        <v>0.14212514460086823</v>
      </c>
      <c r="F73" s="133">
        <f>VLOOKUP(A73,'2022_PAPI_Indicators'!A68:D248,4,FALSE)</f>
        <v>0.14061024785041809</v>
      </c>
      <c r="G73" s="133">
        <f>VLOOKUP(A73,'2022_PAPI_Indicators'!A68:E248,5,FALSE)</f>
        <v>0.20833548903465271</v>
      </c>
      <c r="H73" s="133">
        <f>VLOOKUP(A73,'2022_PAPI_Indicators'!A68:F248,6,FALSE)</f>
        <v>0.27447763085365295</v>
      </c>
      <c r="I73" s="133">
        <f>VLOOKUP(A73,'2022_PAPI_Indicators'!A68:G248,7,FALSE)</f>
        <v>0.16890726983547211</v>
      </c>
      <c r="J73" s="133">
        <f>VLOOKUP(A73,'2022_PAPI_Indicators'!A68:H248,8,FALSE)</f>
        <v>0.19231583178043365</v>
      </c>
      <c r="K73" s="133">
        <f>VLOOKUP(A73,'2022_PAPI_Indicators'!A68:I248,9,FALSE)</f>
        <v>0.23879428207874298</v>
      </c>
      <c r="L73" s="133">
        <f>VLOOKUP(A73,'2022_PAPI_Indicators'!A68:J248,10,FALSE)</f>
        <v>0.32204526662826538</v>
      </c>
      <c r="M73" s="133">
        <f>VLOOKUP(A73,'2022_PAPI_Indicators'!A68:K248,11,FALSE)</f>
        <v>0.18091653287410736</v>
      </c>
      <c r="N73" s="133">
        <f>VLOOKUP(A73,'2022_PAPI_Indicators'!A68:L248,12,FALSE)</f>
        <v>0.21501827239990234</v>
      </c>
      <c r="O73" s="133">
        <f>VLOOKUP(A73,'2022_PAPI_Indicators'!A68:M248,13,FALSE)</f>
        <v>0.2503400444984436</v>
      </c>
      <c r="P73" s="133">
        <f>VLOOKUP(A73,'2022_PAPI_Indicators'!A68:N248,14,FALSE)</f>
        <v>0.20880201458930969</v>
      </c>
      <c r="Q73" s="133">
        <f>VLOOKUP(A73,'2022_PAPI_Indicators'!A68:O248,15,FALSE)</f>
        <v>0.17506919801235199</v>
      </c>
      <c r="R73" s="135">
        <f>VLOOKUP(A73,'2022_PAPI_Indicators'!A68:P248,16,FALSE)</f>
        <v>0.25741606950759888</v>
      </c>
      <c r="S73" s="133">
        <f>VLOOKUP(A73,'2022_PAPI_Indicators'!A68:R248,17,FALSE)</f>
        <v>0.19593106210231781</v>
      </c>
      <c r="T73" s="133">
        <f>VLOOKUP(A73,'2022_PAPI_Indicators'!A68:S248,18,FALSE)</f>
        <v>0.12748052179813385</v>
      </c>
      <c r="U73" s="135">
        <f>VLOOKUP(A73,'2022_PAPI_Indicators'!A68:T248,19,FALSE)</f>
        <v>0</v>
      </c>
      <c r="V73" s="133">
        <f>VLOOKUP(A73,'2022_PAPI_Indicators'!A68:U248,20,FALSE)</f>
        <v>0.14445136487483978</v>
      </c>
      <c r="W73" s="133">
        <f>VLOOKUP(A73,'2022_PAPI_Indicators'!A68:V248,21,FALSE)</f>
        <v>0.18445225059986115</v>
      </c>
      <c r="X73" s="133">
        <f>VLOOKUP(A73,'2022_PAPI_Indicators'!A68:W248,22,FALSE)</f>
        <v>0.19779813289642334</v>
      </c>
      <c r="Y73" s="133">
        <f>VLOOKUP(A73,'2022_PAPI_Indicators'!A68:X248,23,FALSE)</f>
        <v>0.15037445724010468</v>
      </c>
      <c r="Z73" s="133">
        <f>VLOOKUP(A73,'2022_PAPI_Indicators'!A68:Y248,24,FALSE)</f>
        <v>0.18698236346244812</v>
      </c>
      <c r="AA73" s="133">
        <f>VLOOKUP(A73,'2022_PAPI_Indicators'!A68:Z248,25,FALSE)</f>
        <v>0.20371876657009125</v>
      </c>
      <c r="AB73" s="133">
        <f>VLOOKUP(A73,'2022_PAPI_Indicators'!A68:AA248,26,FALSE)</f>
        <v>0.14281122386455536</v>
      </c>
      <c r="AC73" s="133">
        <f>VLOOKUP(A73,'2022_PAPI_Indicators'!A68:AB248,27,FALSE)</f>
        <v>0.34006223082542419</v>
      </c>
      <c r="AD73" s="133">
        <f>VLOOKUP(A73,'2022_PAPI_Indicators'!A68:AC248,28,FALSE)</f>
        <v>0.26782986521720886</v>
      </c>
      <c r="AE73" s="133">
        <f>VLOOKUP(A73,'2022_PAPI_Indicators'!A68:AD248,29,FALSE)</f>
        <v>0.29424640536308289</v>
      </c>
      <c r="AF73" s="133">
        <f>VLOOKUP(A73,'2022_PAPI_Indicators'!A68:AE248,30,FALSE)</f>
        <v>0.40482360124588013</v>
      </c>
      <c r="AG73" s="133">
        <f>VLOOKUP(A73,'2022_PAPI_Indicators'!A68:AF248,31,FALSE)</f>
        <v>0.29793918132781982</v>
      </c>
      <c r="AH73" s="133">
        <f>VLOOKUP(A73,'2022_PAPI_Indicators'!A68:AG248,32,FALSE)</f>
        <v>0.27320405840873718</v>
      </c>
      <c r="AI73" s="133">
        <f>VLOOKUP(A73,'2022_PAPI_Indicators'!A68:AH248,33,FALSE)</f>
        <v>9.4839639961719513E-2</v>
      </c>
      <c r="AJ73" s="133">
        <f>VLOOKUP(A73,'2022_PAPI_Indicators'!A68:AI248,34,FALSE)</f>
        <v>0.19678552448749542</v>
      </c>
      <c r="AK73" s="133">
        <f>VLOOKUP(A73,'2022_PAPI_Indicators'!A68:AJ248,35,FALSE)</f>
        <v>0.17597602307796478</v>
      </c>
      <c r="AL73" s="133">
        <f>VLOOKUP(A73,'2022_PAPI_Indicators'!A68:AK248,36,FALSE)</f>
        <v>0.1417316347360611</v>
      </c>
      <c r="AM73" s="133">
        <f>VLOOKUP(A73,'2022_PAPI_Indicators'!A68:AL248,37,FALSE)</f>
        <v>0.17647171020507813</v>
      </c>
      <c r="AN73" s="133">
        <f>VLOOKUP(A73,'2022_PAPI_Indicators'!A68:AM248,38,FALSE)</f>
        <v>0.12471888214349747</v>
      </c>
      <c r="AO73" s="133">
        <f>VLOOKUP(A73,'2022_PAPI_Indicators'!A68:AN248,39,FALSE)</f>
        <v>0.20415601134300232</v>
      </c>
      <c r="AP73" s="133">
        <f>VLOOKUP(A73,'2022_PAPI_Indicators'!A68:AO248,40,FALSE)</f>
        <v>0.22282655537128448</v>
      </c>
      <c r="AQ73" s="133">
        <f>VLOOKUP(A73,'2022_PAPI_Indicators'!A68:AP248,41,FALSE)</f>
        <v>0.19101682305335999</v>
      </c>
      <c r="AR73" s="133">
        <f>VLOOKUP(A73,'2022_PAPI_Indicators'!A68:AQ248,42,FALSE)</f>
        <v>0.197466179728508</v>
      </c>
      <c r="AS73" s="133">
        <f>VLOOKUP(A73,'2022_PAPI_Indicators'!A68:AR248,43,FALSE)</f>
        <v>0.12582118809223175</v>
      </c>
      <c r="AT73" s="133">
        <f>VLOOKUP(A73,'2022_PAPI_Indicators'!A68:AS248,44,FALSE)</f>
        <v>0.2389693409204483</v>
      </c>
      <c r="AU73" s="133">
        <f>VLOOKUP(A73,'2022_PAPI_Indicators'!A68:AT248,45,FALSE)</f>
        <v>0.16640974581241608</v>
      </c>
      <c r="AV73" s="133">
        <f>VLOOKUP(A73,'2022_PAPI_Indicators'!A68:AU248,46,FALSE)</f>
        <v>0.16479392349720001</v>
      </c>
      <c r="AW73" s="133">
        <f>VLOOKUP(A73,'2022_PAPI_Indicators'!A68:AV248,47,FALSE)</f>
        <v>8.6642079055309296E-2</v>
      </c>
      <c r="AX73" s="133">
        <f>VLOOKUP(A73,'2022_PAPI_Indicators'!A68:AW248,48,FALSE)</f>
        <v>0.18123191595077515</v>
      </c>
      <c r="AY73" s="133">
        <f>VLOOKUP(A73,'2022_PAPI_Indicators'!A68:AX248,49,FALSE)</f>
        <v>0.12053176015615463</v>
      </c>
      <c r="AZ73" s="133">
        <f>VLOOKUP(A73,'2022_PAPI_Indicators'!A68:AY248,50,FALSE)</f>
        <v>0.18364223837852478</v>
      </c>
      <c r="BA73" s="133">
        <f>VLOOKUP(A73,'2022_PAPI_Indicators'!A68:AZ248,51,FALSE)</f>
        <v>8.4342047572135925E-2</v>
      </c>
      <c r="BB73" s="133">
        <f>VLOOKUP(A73,'2022_PAPI_Indicators'!A68:BA248,52,FALSE)</f>
        <v>0.13328967988491058</v>
      </c>
      <c r="BC73" s="133">
        <f>VLOOKUP(A73,'2022_PAPI_Indicators'!A68:BB248,53,FALSE)</f>
        <v>0.1181686744093895</v>
      </c>
      <c r="BD73" s="133">
        <f>VLOOKUP(A73,'2022_PAPI_Indicators'!A68:BC248,54,FALSE)</f>
        <v>0.14373280107975006</v>
      </c>
      <c r="BE73" s="133">
        <f>VLOOKUP(A73,'2022_PAPI_Indicators'!A68:BD248,55,FALSE)</f>
        <v>0.16741274297237396</v>
      </c>
      <c r="BF73" s="133">
        <f>VLOOKUP(A73,'2022_PAPI_Indicators'!A68:BE248,56,FALSE)</f>
        <v>0.20689558982849121</v>
      </c>
      <c r="BG73" s="133">
        <f>VLOOKUP(A73,'2022_PAPI_Indicators'!A68:BF248,57,FALSE)</f>
        <v>0.1537034660577774</v>
      </c>
      <c r="BH73" s="133">
        <f>VLOOKUP(A73,'2022_PAPI_Indicators'!A68:BG248,58,FALSE)</f>
        <v>6.8315945565700531E-2</v>
      </c>
      <c r="BI73" s="133">
        <f>VLOOKUP(A73,'2022_PAPI_Indicators'!A68:BH248,59,FALSE)</f>
        <v>0.12568084895610809</v>
      </c>
      <c r="BJ73" s="133">
        <f>VLOOKUP(A73,'2022_PAPI_Indicators'!A68:BI248,60,FALSE)</f>
        <v>0.10301442444324493</v>
      </c>
      <c r="BK73" s="133">
        <f>VLOOKUP(A73,'2022_PAPI_Indicators'!A68:BJ248,61,FALSE)</f>
        <v>0.15514542162418365</v>
      </c>
      <c r="BL73" s="133">
        <f>VLOOKUP(A73,'2022_PAPI_Indicators'!A68:BK248,62,FALSE)</f>
        <v>0.11128618568181992</v>
      </c>
      <c r="BM73" s="133">
        <f>VLOOKUP(A73,'2022_PAPI_Indicators'!A68:BL248,63,FALSE)</f>
        <v>0.2367786318063736</v>
      </c>
      <c r="BN73" s="133">
        <f>VLOOKUP(A73,'2022_PAPI_Indicators'!A68:BM248,64,FALSE)</f>
        <v>0.25610813498497009</v>
      </c>
    </row>
    <row r="74" spans="1:66" s="112" customFormat="1" x14ac:dyDescent="0.2">
      <c r="A74" s="77" t="s">
        <v>213</v>
      </c>
      <c r="B74" s="77" t="s">
        <v>420</v>
      </c>
      <c r="C74" s="92" t="s">
        <v>449</v>
      </c>
      <c r="D74" s="131">
        <f>VLOOKUP(A74,'2022_PAPI_Indicators'!A69:B249,2,)</f>
        <v>1.987553596496582</v>
      </c>
      <c r="E74" s="131">
        <f>VLOOKUP(A74,'2022_PAPI_Indicators'!A69:C249,3,FALSE)</f>
        <v>1.79958176612854</v>
      </c>
      <c r="F74" s="131">
        <f>VLOOKUP(A74,'2022_PAPI_Indicators'!A69:D249,4,FALSE)</f>
        <v>1.7183762788772583</v>
      </c>
      <c r="G74" s="131">
        <f>VLOOKUP(A74,'2022_PAPI_Indicators'!A69:E249,5,FALSE)</f>
        <v>1.8182859420776367</v>
      </c>
      <c r="H74" s="131">
        <f>VLOOKUP(A74,'2022_PAPI_Indicators'!A69:F249,6,FALSE)</f>
        <v>1.9380694627761841</v>
      </c>
      <c r="I74" s="131">
        <f>VLOOKUP(A74,'2022_PAPI_Indicators'!A69:G249,7,FALSE)</f>
        <v>1.8721188306808472</v>
      </c>
      <c r="J74" s="131">
        <f>VLOOKUP(A74,'2022_PAPI_Indicators'!A69:H249,8,FALSE)</f>
        <v>1.7194886207580566</v>
      </c>
      <c r="K74" s="131">
        <f>VLOOKUP(A74,'2022_PAPI_Indicators'!A69:I249,9,FALSE)</f>
        <v>1.8751516342163086</v>
      </c>
      <c r="L74" s="131">
        <f>VLOOKUP(A74,'2022_PAPI_Indicators'!A69:J249,10,FALSE)</f>
        <v>1.6231663227081299</v>
      </c>
      <c r="M74" s="131">
        <f>VLOOKUP(A74,'2022_PAPI_Indicators'!A69:K249,11,FALSE)</f>
        <v>1.8731826543807983</v>
      </c>
      <c r="N74" s="131">
        <f>VLOOKUP(A74,'2022_PAPI_Indicators'!A69:L249,12,FALSE)</f>
        <v>1.8097101449966431</v>
      </c>
      <c r="O74" s="131">
        <f>VLOOKUP(A74,'2022_PAPI_Indicators'!A69:M249,13,FALSE)</f>
        <v>1.9925755262374878</v>
      </c>
      <c r="P74" s="131">
        <f>VLOOKUP(A74,'2022_PAPI_Indicators'!A69:N249,14,FALSE)</f>
        <v>1.9674960374832153</v>
      </c>
      <c r="Q74" s="131">
        <f>VLOOKUP(A74,'2022_PAPI_Indicators'!A69:O249,15,FALSE)</f>
        <v>2.060321569442749</v>
      </c>
      <c r="R74" s="132">
        <f>VLOOKUP(A74,'2022_PAPI_Indicators'!A69:P249,16,FALSE)</f>
        <v>1.9068787097930908</v>
      </c>
      <c r="S74" s="131">
        <f>VLOOKUP(A74,'2022_PAPI_Indicators'!A69:R249,17,FALSE)</f>
        <v>1.9763154983520508</v>
      </c>
      <c r="T74" s="131">
        <f>VLOOKUP(A74,'2022_PAPI_Indicators'!A69:S249,18,FALSE)</f>
        <v>2.0783679485321045</v>
      </c>
      <c r="U74" s="132">
        <f>VLOOKUP(A74,'2022_PAPI_Indicators'!A69:T249,19,FALSE)</f>
        <v>0</v>
      </c>
      <c r="V74" s="131">
        <f>VLOOKUP(A74,'2022_PAPI_Indicators'!A69:U249,20,FALSE)</f>
        <v>2.0170154571533203</v>
      </c>
      <c r="W74" s="131">
        <f>VLOOKUP(A74,'2022_PAPI_Indicators'!A69:V249,21,FALSE)</f>
        <v>2.0403025150299072</v>
      </c>
      <c r="X74" s="131">
        <f>VLOOKUP(A74,'2022_PAPI_Indicators'!A69:W249,22,FALSE)</f>
        <v>1.8428881168365479</v>
      </c>
      <c r="Y74" s="131">
        <f>VLOOKUP(A74,'2022_PAPI_Indicators'!A69:X249,23,FALSE)</f>
        <v>1.9650504589080811</v>
      </c>
      <c r="Z74" s="131">
        <f>VLOOKUP(A74,'2022_PAPI_Indicators'!A69:Y249,24,FALSE)</f>
        <v>1.9340521097183228</v>
      </c>
      <c r="AA74" s="131">
        <f>VLOOKUP(A74,'2022_PAPI_Indicators'!A69:Z249,25,FALSE)</f>
        <v>1.827062726020813</v>
      </c>
      <c r="AB74" s="131">
        <f>VLOOKUP(A74,'2022_PAPI_Indicators'!A69:AA249,26,FALSE)</f>
        <v>1.824803352355957</v>
      </c>
      <c r="AC74" s="131">
        <f>VLOOKUP(A74,'2022_PAPI_Indicators'!A69:AB249,27,FALSE)</f>
        <v>2.0052955150604248</v>
      </c>
      <c r="AD74" s="131">
        <f>VLOOKUP(A74,'2022_PAPI_Indicators'!A69:AC249,28,FALSE)</f>
        <v>1.9312527179718018</v>
      </c>
      <c r="AE74" s="131">
        <f>VLOOKUP(A74,'2022_PAPI_Indicators'!A69:AD249,29,FALSE)</f>
        <v>1.9344290494918823</v>
      </c>
      <c r="AF74" s="131">
        <f>VLOOKUP(A74,'2022_PAPI_Indicators'!A69:AE249,30,FALSE)</f>
        <v>1.664375901222229</v>
      </c>
      <c r="AG74" s="131">
        <f>VLOOKUP(A74,'2022_PAPI_Indicators'!A69:AF249,31,FALSE)</f>
        <v>1.7511258125305176</v>
      </c>
      <c r="AH74" s="131">
        <f>VLOOKUP(A74,'2022_PAPI_Indicators'!A69:AG249,32,FALSE)</f>
        <v>1.7495150566101074</v>
      </c>
      <c r="AI74" s="131">
        <f>VLOOKUP(A74,'2022_PAPI_Indicators'!A69:AH249,33,FALSE)</f>
        <v>1.9098403453826904</v>
      </c>
      <c r="AJ74" s="131">
        <f>VLOOKUP(A74,'2022_PAPI_Indicators'!A69:AI249,34,FALSE)</f>
        <v>1.9161380529403687</v>
      </c>
      <c r="AK74" s="131">
        <f>VLOOKUP(A74,'2022_PAPI_Indicators'!A69:AJ249,35,FALSE)</f>
        <v>1.8577792644500732</v>
      </c>
      <c r="AL74" s="131">
        <f>VLOOKUP(A74,'2022_PAPI_Indicators'!A69:AK249,36,FALSE)</f>
        <v>1.7367361783981323</v>
      </c>
      <c r="AM74" s="131">
        <f>VLOOKUP(A74,'2022_PAPI_Indicators'!A69:AL249,37,FALSE)</f>
        <v>1.6537433862686157</v>
      </c>
      <c r="AN74" s="131">
        <f>VLOOKUP(A74,'2022_PAPI_Indicators'!A69:AM249,38,FALSE)</f>
        <v>1.9031670093536377</v>
      </c>
      <c r="AO74" s="131">
        <f>VLOOKUP(A74,'2022_PAPI_Indicators'!A69:AN249,39,FALSE)</f>
        <v>1.8223470449447632</v>
      </c>
      <c r="AP74" s="131">
        <f>VLOOKUP(A74,'2022_PAPI_Indicators'!A69:AO249,40,FALSE)</f>
        <v>1.7957956790924072</v>
      </c>
      <c r="AQ74" s="131">
        <f>VLOOKUP(A74,'2022_PAPI_Indicators'!A69:AP249,41,FALSE)</f>
        <v>1.8013951778411865</v>
      </c>
      <c r="AR74" s="131">
        <f>VLOOKUP(A74,'2022_PAPI_Indicators'!A69:AQ249,42,FALSE)</f>
        <v>1.7275758981704712</v>
      </c>
      <c r="AS74" s="131">
        <f>VLOOKUP(A74,'2022_PAPI_Indicators'!A69:AR249,43,FALSE)</f>
        <v>1.8312636613845825</v>
      </c>
      <c r="AT74" s="131">
        <f>VLOOKUP(A74,'2022_PAPI_Indicators'!A69:AS249,44,FALSE)</f>
        <v>1.863490104675293</v>
      </c>
      <c r="AU74" s="131">
        <f>VLOOKUP(A74,'2022_PAPI_Indicators'!A69:AT249,45,FALSE)</f>
        <v>1.6561590433120728</v>
      </c>
      <c r="AV74" s="131">
        <f>VLOOKUP(A74,'2022_PAPI_Indicators'!A69:AU249,46,FALSE)</f>
        <v>1.6941567659378052</v>
      </c>
      <c r="AW74" s="131">
        <f>VLOOKUP(A74,'2022_PAPI_Indicators'!A69:AV249,47,FALSE)</f>
        <v>1.6593186855316162</v>
      </c>
      <c r="AX74" s="131">
        <f>VLOOKUP(A74,'2022_PAPI_Indicators'!A69:AW249,48,FALSE)</f>
        <v>1.9377868175506592</v>
      </c>
      <c r="AY74" s="131">
        <f>VLOOKUP(A74,'2022_PAPI_Indicators'!A69:AX249,49,FALSE)</f>
        <v>1.8057694435119629</v>
      </c>
      <c r="AZ74" s="131">
        <f>VLOOKUP(A74,'2022_PAPI_Indicators'!A69:AY249,50,FALSE)</f>
        <v>1.8032925128936768</v>
      </c>
      <c r="BA74" s="131">
        <f>VLOOKUP(A74,'2022_PAPI_Indicators'!A69:AZ249,51,FALSE)</f>
        <v>1.8810557126998901</v>
      </c>
      <c r="BB74" s="131">
        <f>VLOOKUP(A74,'2022_PAPI_Indicators'!A69:BA249,52,FALSE)</f>
        <v>1.6107903718948364</v>
      </c>
      <c r="BC74" s="131">
        <f>VLOOKUP(A74,'2022_PAPI_Indicators'!A69:BB249,53,FALSE)</f>
        <v>1.6960761547088623</v>
      </c>
      <c r="BD74" s="131">
        <f>VLOOKUP(A74,'2022_PAPI_Indicators'!A69:BC249,54,FALSE)</f>
        <v>1.6661463975906372</v>
      </c>
      <c r="BE74" s="131">
        <f>VLOOKUP(A74,'2022_PAPI_Indicators'!A69:BD249,55,FALSE)</f>
        <v>1.6001738309860229</v>
      </c>
      <c r="BF74" s="131">
        <f>VLOOKUP(A74,'2022_PAPI_Indicators'!A69:BE249,56,FALSE)</f>
        <v>1.8661113977432251</v>
      </c>
      <c r="BG74" s="131">
        <f>VLOOKUP(A74,'2022_PAPI_Indicators'!A69:BF249,57,FALSE)</f>
        <v>1.6211824417114258</v>
      </c>
      <c r="BH74" s="131">
        <f>VLOOKUP(A74,'2022_PAPI_Indicators'!A69:BG249,58,FALSE)</f>
        <v>1.8696693181991577</v>
      </c>
      <c r="BI74" s="131">
        <f>VLOOKUP(A74,'2022_PAPI_Indicators'!A69:BH249,59,FALSE)</f>
        <v>1.9018909931182861</v>
      </c>
      <c r="BJ74" s="131">
        <f>VLOOKUP(A74,'2022_PAPI_Indicators'!A69:BI249,60,FALSE)</f>
        <v>1.5886255502700806</v>
      </c>
      <c r="BK74" s="131">
        <f>VLOOKUP(A74,'2022_PAPI_Indicators'!A69:BJ249,61,FALSE)</f>
        <v>1.6866964101791382</v>
      </c>
      <c r="BL74" s="131">
        <f>VLOOKUP(A74,'2022_PAPI_Indicators'!A69:BK249,62,FALSE)</f>
        <v>1.8468320369720459</v>
      </c>
      <c r="BM74" s="131">
        <f>VLOOKUP(A74,'2022_PAPI_Indicators'!A69:BL249,63,FALSE)</f>
        <v>1.8037141561508179</v>
      </c>
      <c r="BN74" s="131">
        <f>VLOOKUP(A74,'2022_PAPI_Indicators'!A69:BM249,64,FALSE)</f>
        <v>1.8187386989593506</v>
      </c>
    </row>
    <row r="75" spans="1:66" x14ac:dyDescent="0.2">
      <c r="A75" s="70" t="s">
        <v>215</v>
      </c>
      <c r="B75" s="70" t="s">
        <v>216</v>
      </c>
      <c r="C75" s="89" t="s">
        <v>90</v>
      </c>
      <c r="D75" s="133">
        <f>VLOOKUP(A75,'2022_PAPI_Indicators'!A70:B250,2,)</f>
        <v>0.92766642570495605</v>
      </c>
      <c r="E75" s="133">
        <f>VLOOKUP(A75,'2022_PAPI_Indicators'!A70:C250,3,FALSE)</f>
        <v>0.86751949787139893</v>
      </c>
      <c r="F75" s="133">
        <f>VLOOKUP(A75,'2022_PAPI_Indicators'!A70:D250,4,FALSE)</f>
        <v>0.79548138380050659</v>
      </c>
      <c r="G75" s="133">
        <f>VLOOKUP(A75,'2022_PAPI_Indicators'!A70:E250,5,FALSE)</f>
        <v>0.85510605573654175</v>
      </c>
      <c r="H75" s="133">
        <f>VLOOKUP(A75,'2022_PAPI_Indicators'!A70:F250,6,FALSE)</f>
        <v>0.92024219036102295</v>
      </c>
      <c r="I75" s="133">
        <f>VLOOKUP(A75,'2022_PAPI_Indicators'!A70:G250,7,FALSE)</f>
        <v>0.83192384243011475</v>
      </c>
      <c r="J75" s="133">
        <f>VLOOKUP(A75,'2022_PAPI_Indicators'!A70:H250,8,FALSE)</f>
        <v>0.81731581687927246</v>
      </c>
      <c r="K75" s="133">
        <f>VLOOKUP(A75,'2022_PAPI_Indicators'!A70:I250,9,FALSE)</f>
        <v>0.88036394119262695</v>
      </c>
      <c r="L75" s="133">
        <f>VLOOKUP(A75,'2022_PAPI_Indicators'!A70:J250,10,FALSE)</f>
        <v>0.74130606651306152</v>
      </c>
      <c r="M75" s="133">
        <f>VLOOKUP(A75,'2022_PAPI_Indicators'!A70:K250,11,FALSE)</f>
        <v>0.90996766090393066</v>
      </c>
      <c r="N75" s="133">
        <f>VLOOKUP(A75,'2022_PAPI_Indicators'!A70:L250,12,FALSE)</f>
        <v>0.89529752731323242</v>
      </c>
      <c r="O75" s="133">
        <f>VLOOKUP(A75,'2022_PAPI_Indicators'!A70:M250,13,FALSE)</f>
        <v>0.94456338882446289</v>
      </c>
      <c r="P75" s="133">
        <f>VLOOKUP(A75,'2022_PAPI_Indicators'!A70:N250,14,FALSE)</f>
        <v>0.90009552240371704</v>
      </c>
      <c r="Q75" s="133">
        <f>VLOOKUP(A75,'2022_PAPI_Indicators'!A70:O250,15,FALSE)</f>
        <v>0.96602022647857666</v>
      </c>
      <c r="R75" s="135">
        <f>VLOOKUP(A75,'2022_PAPI_Indicators'!A70:P250,16,FALSE)</f>
        <v>0.94491606950759888</v>
      </c>
      <c r="S75" s="133">
        <f>VLOOKUP(A75,'2022_PAPI_Indicators'!A70:R250,17,FALSE)</f>
        <v>0.94345682859420776</v>
      </c>
      <c r="T75" s="133">
        <f>VLOOKUP(A75,'2022_PAPI_Indicators'!A70:S250,18,FALSE)</f>
        <v>0.94020110368728638</v>
      </c>
      <c r="U75" s="135">
        <f>VLOOKUP(A75,'2022_PAPI_Indicators'!A70:T250,19,FALSE)</f>
        <v>0</v>
      </c>
      <c r="V75" s="133">
        <f>VLOOKUP(A75,'2022_PAPI_Indicators'!A70:U250,20,FALSE)</f>
        <v>0.94677442312240601</v>
      </c>
      <c r="W75" s="133">
        <f>VLOOKUP(A75,'2022_PAPI_Indicators'!A70:V250,21,FALSE)</f>
        <v>0.95551556348800659</v>
      </c>
      <c r="X75" s="133">
        <f>VLOOKUP(A75,'2022_PAPI_Indicators'!A70:W250,22,FALSE)</f>
        <v>0.89214694499969482</v>
      </c>
      <c r="Y75" s="133">
        <f>VLOOKUP(A75,'2022_PAPI_Indicators'!A70:X250,23,FALSE)</f>
        <v>0.93840599060058594</v>
      </c>
      <c r="Z75" s="133">
        <f>VLOOKUP(A75,'2022_PAPI_Indicators'!A70:Y250,24,FALSE)</f>
        <v>0.89801985025405884</v>
      </c>
      <c r="AA75" s="133">
        <f>VLOOKUP(A75,'2022_PAPI_Indicators'!A70:Z250,25,FALSE)</f>
        <v>0.92076444625854492</v>
      </c>
      <c r="AB75" s="133">
        <f>VLOOKUP(A75,'2022_PAPI_Indicators'!A70:AA250,26,FALSE)</f>
        <v>0.90734308958053589</v>
      </c>
      <c r="AC75" s="133">
        <f>VLOOKUP(A75,'2022_PAPI_Indicators'!A70:AB250,27,FALSE)</f>
        <v>0.95785939693450928</v>
      </c>
      <c r="AD75" s="133">
        <f>VLOOKUP(A75,'2022_PAPI_Indicators'!A70:AC250,28,FALSE)</f>
        <v>0.93319481611251831</v>
      </c>
      <c r="AE75" s="133">
        <f>VLOOKUP(A75,'2022_PAPI_Indicators'!A70:AD250,29,FALSE)</f>
        <v>0.94301247596740723</v>
      </c>
      <c r="AF75" s="133">
        <f>VLOOKUP(A75,'2022_PAPI_Indicators'!A70:AE250,30,FALSE)</f>
        <v>0.88302230834960938</v>
      </c>
      <c r="AG75" s="133">
        <f>VLOOKUP(A75,'2022_PAPI_Indicators'!A70:AF250,31,FALSE)</f>
        <v>0.84886389970779419</v>
      </c>
      <c r="AH75" s="133">
        <f>VLOOKUP(A75,'2022_PAPI_Indicators'!A70:AG250,32,FALSE)</f>
        <v>0.88471347093582153</v>
      </c>
      <c r="AI75" s="133">
        <f>VLOOKUP(A75,'2022_PAPI_Indicators'!A70:AH250,33,FALSE)</f>
        <v>0.87104976177215576</v>
      </c>
      <c r="AJ75" s="133">
        <f>VLOOKUP(A75,'2022_PAPI_Indicators'!A70:AI250,34,FALSE)</f>
        <v>0.81328457593917847</v>
      </c>
      <c r="AK75" s="133">
        <f>VLOOKUP(A75,'2022_PAPI_Indicators'!A70:AJ250,35,FALSE)</f>
        <v>0.8046259880065918</v>
      </c>
      <c r="AL75" s="133">
        <f>VLOOKUP(A75,'2022_PAPI_Indicators'!A70:AK250,36,FALSE)</f>
        <v>0.85162997245788574</v>
      </c>
      <c r="AM75" s="133">
        <f>VLOOKUP(A75,'2022_PAPI_Indicators'!A70:AL250,37,FALSE)</f>
        <v>0.75919342041015625</v>
      </c>
      <c r="AN75" s="133">
        <f>VLOOKUP(A75,'2022_PAPI_Indicators'!A70:AM250,38,FALSE)</f>
        <v>0.875</v>
      </c>
      <c r="AO75" s="133">
        <f>VLOOKUP(A75,'2022_PAPI_Indicators'!A70:AN250,39,FALSE)</f>
        <v>0.87486553192138672</v>
      </c>
      <c r="AP75" s="133">
        <f>VLOOKUP(A75,'2022_PAPI_Indicators'!A70:AO250,40,FALSE)</f>
        <v>0.84782654047012329</v>
      </c>
      <c r="AQ75" s="133">
        <f>VLOOKUP(A75,'2022_PAPI_Indicators'!A70:AP250,41,FALSE)</f>
        <v>0.8405071496963501</v>
      </c>
      <c r="AR75" s="133">
        <f>VLOOKUP(A75,'2022_PAPI_Indicators'!A70:AQ250,42,FALSE)</f>
        <v>0.81537157297134399</v>
      </c>
      <c r="AS75" s="133">
        <f>VLOOKUP(A75,'2022_PAPI_Indicators'!A70:AR250,43,FALSE)</f>
        <v>0.85458356142044067</v>
      </c>
      <c r="AT75" s="133">
        <f>VLOOKUP(A75,'2022_PAPI_Indicators'!A70:AS250,44,FALSE)</f>
        <v>0.83827024698257446</v>
      </c>
      <c r="AU75" s="133">
        <f>VLOOKUP(A75,'2022_PAPI_Indicators'!A70:AT250,45,FALSE)</f>
        <v>0.77113133668899536</v>
      </c>
      <c r="AV75" s="133">
        <f>VLOOKUP(A75,'2022_PAPI_Indicators'!A70:AU250,46,FALSE)</f>
        <v>0.84423887729644775</v>
      </c>
      <c r="AW75" s="133">
        <f>VLOOKUP(A75,'2022_PAPI_Indicators'!A70:AV250,47,FALSE)</f>
        <v>0.82671582698822021</v>
      </c>
      <c r="AX75" s="133">
        <f>VLOOKUP(A75,'2022_PAPI_Indicators'!A70:AW250,48,FALSE)</f>
        <v>0.93121397495269775</v>
      </c>
      <c r="AY75" s="133">
        <f>VLOOKUP(A75,'2022_PAPI_Indicators'!A70:AX250,49,FALSE)</f>
        <v>0.84842485189437866</v>
      </c>
      <c r="AZ75" s="133">
        <f>VLOOKUP(A75,'2022_PAPI_Indicators'!A70:AY250,50,FALSE)</f>
        <v>0.85852855443954468</v>
      </c>
      <c r="BA75" s="133">
        <f>VLOOKUP(A75,'2022_PAPI_Indicators'!A70:AZ250,51,FALSE)</f>
        <v>0.84853500127792358</v>
      </c>
      <c r="BB75" s="133">
        <f>VLOOKUP(A75,'2022_PAPI_Indicators'!A70:BA250,52,FALSE)</f>
        <v>0.81257063150405884</v>
      </c>
      <c r="BC75" s="133">
        <f>VLOOKUP(A75,'2022_PAPI_Indicators'!A70:BB250,53,FALSE)</f>
        <v>0.80695533752441406</v>
      </c>
      <c r="BD75" s="133">
        <f>VLOOKUP(A75,'2022_PAPI_Indicators'!A70:BC250,54,FALSE)</f>
        <v>0.8005225658416748</v>
      </c>
      <c r="BE75" s="133">
        <f>VLOOKUP(A75,'2022_PAPI_Indicators'!A70:BD250,55,FALSE)</f>
        <v>0.80113506317138672</v>
      </c>
      <c r="BF75" s="133">
        <f>VLOOKUP(A75,'2022_PAPI_Indicators'!A70:BE250,56,FALSE)</f>
        <v>0.86918604373931885</v>
      </c>
      <c r="BG75" s="133">
        <f>VLOOKUP(A75,'2022_PAPI_Indicators'!A70:BF250,57,FALSE)</f>
        <v>0.83211767673492432</v>
      </c>
      <c r="BH75" s="133">
        <f>VLOOKUP(A75,'2022_PAPI_Indicators'!A70:BG250,58,FALSE)</f>
        <v>0.831184983253479</v>
      </c>
      <c r="BI75" s="133">
        <f>VLOOKUP(A75,'2022_PAPI_Indicators'!A70:BH250,59,FALSE)</f>
        <v>0.87220227718353271</v>
      </c>
      <c r="BJ75" s="133">
        <f>VLOOKUP(A75,'2022_PAPI_Indicators'!A70:BI250,60,FALSE)</f>
        <v>0.77254354953765869</v>
      </c>
      <c r="BK75" s="133">
        <f>VLOOKUP(A75,'2022_PAPI_Indicators'!A70:BJ250,61,FALSE)</f>
        <v>0.90594786405563354</v>
      </c>
      <c r="BL75" s="133">
        <f>VLOOKUP(A75,'2022_PAPI_Indicators'!A70:BK250,62,FALSE)</f>
        <v>0.86234378814697266</v>
      </c>
      <c r="BM75" s="133">
        <f>VLOOKUP(A75,'2022_PAPI_Indicators'!A70:BL250,63,FALSE)</f>
        <v>0.87005829811096191</v>
      </c>
      <c r="BN75" s="133">
        <f>VLOOKUP(A75,'2022_PAPI_Indicators'!A70:BM250,64,FALSE)</f>
        <v>0.80803120136260986</v>
      </c>
    </row>
    <row r="76" spans="1:66" x14ac:dyDescent="0.2">
      <c r="A76" s="70" t="s">
        <v>217</v>
      </c>
      <c r="B76" s="70" t="s">
        <v>218</v>
      </c>
      <c r="C76" s="89" t="s">
        <v>90</v>
      </c>
      <c r="D76" s="133">
        <f>VLOOKUP(A76,'2022_PAPI_Indicators'!A71:B251,2,)</f>
        <v>0.85774111747741699</v>
      </c>
      <c r="E76" s="133">
        <f>VLOOKUP(A76,'2022_PAPI_Indicators'!A71:C251,3,FALSE)</f>
        <v>0.72801756858825684</v>
      </c>
      <c r="F76" s="133">
        <f>VLOOKUP(A76,'2022_PAPI_Indicators'!A71:D251,4,FALSE)</f>
        <v>0.71802991628646851</v>
      </c>
      <c r="G76" s="133">
        <f>VLOOKUP(A76,'2022_PAPI_Indicators'!A71:E251,5,FALSE)</f>
        <v>0.75932419300079346</v>
      </c>
      <c r="H76" s="133">
        <f>VLOOKUP(A76,'2022_PAPI_Indicators'!A71:F251,6,FALSE)</f>
        <v>0.81518149375915527</v>
      </c>
      <c r="I76" s="133">
        <f>VLOOKUP(A76,'2022_PAPI_Indicators'!A71:G251,7,FALSE)</f>
        <v>0.83688294887542725</v>
      </c>
      <c r="J76" s="133">
        <f>VLOOKUP(A76,'2022_PAPI_Indicators'!A71:H251,8,FALSE)</f>
        <v>0.69731909036636353</v>
      </c>
      <c r="K76" s="133">
        <f>VLOOKUP(A76,'2022_PAPI_Indicators'!A71:I251,9,FALSE)</f>
        <v>0.79150635004043579</v>
      </c>
      <c r="L76" s="133">
        <f>VLOOKUP(A76,'2022_PAPI_Indicators'!A71:J251,10,FALSE)</f>
        <v>0.676033616065979</v>
      </c>
      <c r="M76" s="133">
        <f>VLOOKUP(A76,'2022_PAPI_Indicators'!A71:K251,11,FALSE)</f>
        <v>0.75991374254226685</v>
      </c>
      <c r="N76" s="133">
        <f>VLOOKUP(A76,'2022_PAPI_Indicators'!A71:L251,12,FALSE)</f>
        <v>0.71047025918960571</v>
      </c>
      <c r="O76" s="133">
        <f>VLOOKUP(A76,'2022_PAPI_Indicators'!A71:M251,13,FALSE)</f>
        <v>0.84591692686080933</v>
      </c>
      <c r="P76" s="133">
        <f>VLOOKUP(A76,'2022_PAPI_Indicators'!A71:N251,14,FALSE)</f>
        <v>0.86505204439163208</v>
      </c>
      <c r="Q76" s="133">
        <f>VLOOKUP(A76,'2022_PAPI_Indicators'!A71:O251,15,FALSE)</f>
        <v>0.89289039373397827</v>
      </c>
      <c r="R76" s="135">
        <f>VLOOKUP(A76,'2022_PAPI_Indicators'!A71:P251,16,FALSE)</f>
        <v>0.75900173187255859</v>
      </c>
      <c r="S76" s="133">
        <f>VLOOKUP(A76,'2022_PAPI_Indicators'!A71:R251,17,FALSE)</f>
        <v>0.83059924840927124</v>
      </c>
      <c r="T76" s="133">
        <f>VLOOKUP(A76,'2022_PAPI_Indicators'!A71:S251,18,FALSE)</f>
        <v>0.93693810701370239</v>
      </c>
      <c r="U76" s="135">
        <f>VLOOKUP(A76,'2022_PAPI_Indicators'!A71:T251,19,FALSE)</f>
        <v>0</v>
      </c>
      <c r="V76" s="133">
        <f>VLOOKUP(A76,'2022_PAPI_Indicators'!A71:U251,20,FALSE)</f>
        <v>0.86839276552200317</v>
      </c>
      <c r="W76" s="133">
        <f>VLOOKUP(A76,'2022_PAPI_Indicators'!A71:V251,21,FALSE)</f>
        <v>0.88317388296127319</v>
      </c>
      <c r="X76" s="133">
        <f>VLOOKUP(A76,'2022_PAPI_Indicators'!A71:W251,22,FALSE)</f>
        <v>0.74713385105133057</v>
      </c>
      <c r="Y76" s="133">
        <f>VLOOKUP(A76,'2022_PAPI_Indicators'!A71:X251,23,FALSE)</f>
        <v>0.82427120208740234</v>
      </c>
      <c r="Z76" s="133">
        <f>VLOOKUP(A76,'2022_PAPI_Indicators'!A71:Y251,24,FALSE)</f>
        <v>0.83334589004516602</v>
      </c>
      <c r="AA76" s="133">
        <f>VLOOKUP(A76,'2022_PAPI_Indicators'!A71:Z251,25,FALSE)</f>
        <v>0.70253121852874756</v>
      </c>
      <c r="AB76" s="133">
        <f>VLOOKUP(A76,'2022_PAPI_Indicators'!A71:AA251,26,FALSE)</f>
        <v>0.71367031335830688</v>
      </c>
      <c r="AC76" s="133">
        <f>VLOOKUP(A76,'2022_PAPI_Indicators'!A71:AB251,27,FALSE)</f>
        <v>0.84546935558319092</v>
      </c>
      <c r="AD76" s="133">
        <f>VLOOKUP(A76,'2022_PAPI_Indicators'!A71:AC251,28,FALSE)</f>
        <v>0.79534327983856201</v>
      </c>
      <c r="AE76" s="133">
        <f>VLOOKUP(A76,'2022_PAPI_Indicators'!A71:AD251,29,FALSE)</f>
        <v>0.78873389959335327</v>
      </c>
      <c r="AF76" s="133">
        <f>VLOOKUP(A76,'2022_PAPI_Indicators'!A71:AE251,30,FALSE)</f>
        <v>0.5759432315826416</v>
      </c>
      <c r="AG76" s="133">
        <f>VLOOKUP(A76,'2022_PAPI_Indicators'!A71:AF251,31,FALSE)</f>
        <v>0.69772779941558838</v>
      </c>
      <c r="AH76" s="133">
        <f>VLOOKUP(A76,'2022_PAPI_Indicators'!A71:AG251,32,FALSE)</f>
        <v>0.66025114059448242</v>
      </c>
      <c r="AI76" s="133">
        <f>VLOOKUP(A76,'2022_PAPI_Indicators'!A71:AH251,33,FALSE)</f>
        <v>0.83585965633392334</v>
      </c>
      <c r="AJ76" s="133">
        <f>VLOOKUP(A76,'2022_PAPI_Indicators'!A71:AI251,34,FALSE)</f>
        <v>0.8999861478805542</v>
      </c>
      <c r="AK76" s="133">
        <f>VLOOKUP(A76,'2022_PAPI_Indicators'!A71:AJ251,35,FALSE)</f>
        <v>0.84969651699066162</v>
      </c>
      <c r="AL76" s="133">
        <f>VLOOKUP(A76,'2022_PAPI_Indicators'!A71:AK251,36,FALSE)</f>
        <v>0.68042677640914917</v>
      </c>
      <c r="AM76" s="133">
        <f>VLOOKUP(A76,'2022_PAPI_Indicators'!A71:AL251,37,FALSE)</f>
        <v>0.68903225660324097</v>
      </c>
      <c r="AN76" s="133">
        <f>VLOOKUP(A76,'2022_PAPI_Indicators'!A71:AM251,38,FALSE)</f>
        <v>0.8251686692237854</v>
      </c>
      <c r="AO76" s="133">
        <f>VLOOKUP(A76,'2022_PAPI_Indicators'!A71:AN251,39,FALSE)</f>
        <v>0.74366676807403564</v>
      </c>
      <c r="AP76" s="133">
        <f>VLOOKUP(A76,'2022_PAPI_Indicators'!A71:AO251,40,FALSE)</f>
        <v>0.74388623237609863</v>
      </c>
      <c r="AQ76" s="133">
        <f>VLOOKUP(A76,'2022_PAPI_Indicators'!A71:AP251,41,FALSE)</f>
        <v>0.75686162710189819</v>
      </c>
      <c r="AR76" s="133">
        <f>VLOOKUP(A76,'2022_PAPI_Indicators'!A71:AQ251,42,FALSE)</f>
        <v>0.70743238925933838</v>
      </c>
      <c r="AS76" s="133">
        <f>VLOOKUP(A76,'2022_PAPI_Indicators'!A71:AR251,43,FALSE)</f>
        <v>0.77295547723770142</v>
      </c>
      <c r="AT76" s="133">
        <f>VLOOKUP(A76,'2022_PAPI_Indicators'!A71:AS251,44,FALSE)</f>
        <v>0.82182067632675171</v>
      </c>
      <c r="AU76" s="133">
        <f>VLOOKUP(A76,'2022_PAPI_Indicators'!A71:AT251,45,FALSE)</f>
        <v>0.67953431606292725</v>
      </c>
      <c r="AV76" s="133">
        <f>VLOOKUP(A76,'2022_PAPI_Indicators'!A71:AU251,46,FALSE)</f>
        <v>0.64480829238891602</v>
      </c>
      <c r="AW76" s="133">
        <f>VLOOKUP(A76,'2022_PAPI_Indicators'!A71:AV251,47,FALSE)</f>
        <v>0.62714141607284546</v>
      </c>
      <c r="AX76" s="133">
        <f>VLOOKUP(A76,'2022_PAPI_Indicators'!A71:AW251,48,FALSE)</f>
        <v>0.80392414331436157</v>
      </c>
      <c r="AY76" s="133">
        <f>VLOOKUP(A76,'2022_PAPI_Indicators'!A71:AX251,49,FALSE)</f>
        <v>0.75336241722106934</v>
      </c>
      <c r="AZ76" s="133">
        <f>VLOOKUP(A76,'2022_PAPI_Indicators'!A71:AY251,50,FALSE)</f>
        <v>0.74075669050216675</v>
      </c>
      <c r="BA76" s="133">
        <f>VLOOKUP(A76,'2022_PAPI_Indicators'!A71:AZ251,51,FALSE)</f>
        <v>0.82929897308349609</v>
      </c>
      <c r="BB76" s="133">
        <f>VLOOKUP(A76,'2022_PAPI_Indicators'!A71:BA251,52,FALSE)</f>
        <v>0.59226810932159424</v>
      </c>
      <c r="BC76" s="133">
        <f>VLOOKUP(A76,'2022_PAPI_Indicators'!A71:BB251,53,FALSE)</f>
        <v>0.68403059244155884</v>
      </c>
      <c r="BD76" s="133">
        <f>VLOOKUP(A76,'2022_PAPI_Indicators'!A71:BC251,54,FALSE)</f>
        <v>0.66023135185241699</v>
      </c>
      <c r="BE76" s="133">
        <f>VLOOKUP(A76,'2022_PAPI_Indicators'!A71:BD251,55,FALSE)</f>
        <v>0.59297984838485718</v>
      </c>
      <c r="BF76" s="133">
        <f>VLOOKUP(A76,'2022_PAPI_Indicators'!A71:BE251,56,FALSE)</f>
        <v>0.79355275630950928</v>
      </c>
      <c r="BG76" s="133">
        <f>VLOOKUP(A76,'2022_PAPI_Indicators'!A71:BF251,57,FALSE)</f>
        <v>0.58321809768676758</v>
      </c>
      <c r="BH76" s="133">
        <f>VLOOKUP(A76,'2022_PAPI_Indicators'!A71:BG251,58,FALSE)</f>
        <v>0.8351476788520813</v>
      </c>
      <c r="BI76" s="133">
        <f>VLOOKUP(A76,'2022_PAPI_Indicators'!A71:BH251,59,FALSE)</f>
        <v>0.82667744159698486</v>
      </c>
      <c r="BJ76" s="133">
        <f>VLOOKUP(A76,'2022_PAPI_Indicators'!A71:BI251,60,FALSE)</f>
        <v>0.60990649461746216</v>
      </c>
      <c r="BK76" s="133">
        <f>VLOOKUP(A76,'2022_PAPI_Indicators'!A71:BJ251,61,FALSE)</f>
        <v>0.57556360960006714</v>
      </c>
      <c r="BL76" s="133">
        <f>VLOOKUP(A76,'2022_PAPI_Indicators'!A71:BK251,62,FALSE)</f>
        <v>0.78092086315155029</v>
      </c>
      <c r="BM76" s="133">
        <f>VLOOKUP(A76,'2022_PAPI_Indicators'!A71:BL251,63,FALSE)</f>
        <v>0.72965288162231445</v>
      </c>
      <c r="BN76" s="133">
        <f>VLOOKUP(A76,'2022_PAPI_Indicators'!A71:BM251,64,FALSE)</f>
        <v>0.80685627460479736</v>
      </c>
    </row>
    <row r="77" spans="1:66" x14ac:dyDescent="0.2">
      <c r="A77" s="70" t="s">
        <v>219</v>
      </c>
      <c r="B77" s="70" t="s">
        <v>220</v>
      </c>
      <c r="C77" s="89" t="s">
        <v>90</v>
      </c>
      <c r="D77" s="133">
        <f>VLOOKUP(A77,'2022_PAPI_Indicators'!A72:B252,2,)</f>
        <v>7.4031248688697815E-2</v>
      </c>
      <c r="E77" s="133">
        <f>VLOOKUP(A77,'2022_PAPI_Indicators'!A72:C252,3,FALSE)</f>
        <v>0.11791298538446426</v>
      </c>
      <c r="F77" s="133">
        <f>VLOOKUP(A77,'2022_PAPI_Indicators'!A72:D252,4,FALSE)</f>
        <v>0.10784509032964706</v>
      </c>
      <c r="G77" s="133">
        <f>VLOOKUP(A77,'2022_PAPI_Indicators'!A72:E252,5,FALSE)</f>
        <v>8.6228877305984497E-2</v>
      </c>
      <c r="H77" s="133">
        <f>VLOOKUP(A77,'2022_PAPI_Indicators'!A72:F252,6,FALSE)</f>
        <v>0.10066009312868118</v>
      </c>
      <c r="I77" s="133">
        <f>VLOOKUP(A77,'2022_PAPI_Indicators'!A72:G252,7,FALSE)</f>
        <v>8.2282297313213348E-2</v>
      </c>
      <c r="J77" s="133">
        <f>VLOOKUP(A77,'2022_PAPI_Indicators'!A72:H252,8,FALSE)</f>
        <v>0.11598354578018188</v>
      </c>
      <c r="K77" s="133">
        <f>VLOOKUP(A77,'2022_PAPI_Indicators'!A72:I252,9,FALSE)</f>
        <v>8.3893075585365295E-2</v>
      </c>
      <c r="L77" s="133">
        <f>VLOOKUP(A77,'2022_PAPI_Indicators'!A72:J252,10,FALSE)</f>
        <v>7.8818105161190033E-2</v>
      </c>
      <c r="M77" s="133">
        <f>VLOOKUP(A77,'2022_PAPI_Indicators'!A72:K252,11,FALSE)</f>
        <v>0.15730343759059906</v>
      </c>
      <c r="N77" s="133">
        <f>VLOOKUP(A77,'2022_PAPI_Indicators'!A72:L252,12,FALSE)</f>
        <v>0.14379727840423584</v>
      </c>
      <c r="O77" s="133">
        <f>VLOOKUP(A77,'2022_PAPI_Indicators'!A72:M252,13,FALSE)</f>
        <v>0.10190229862928391</v>
      </c>
      <c r="P77" s="133">
        <f>VLOOKUP(A77,'2022_PAPI_Indicators'!A72:N252,14,FALSE)</f>
        <v>9.4855330884456635E-2</v>
      </c>
      <c r="Q77" s="133">
        <f>VLOOKUP(A77,'2022_PAPI_Indicators'!A72:O252,15,FALSE)</f>
        <v>5.503246933221817E-2</v>
      </c>
      <c r="R77" s="135">
        <f>VLOOKUP(A77,'2022_PAPI_Indicators'!A72:P252,16,FALSE)</f>
        <v>9.2957168817520142E-2</v>
      </c>
      <c r="S77" s="133">
        <f>VLOOKUP(A77,'2022_PAPI_Indicators'!A72:R252,17,FALSE)</f>
        <v>8.903028815984726E-2</v>
      </c>
      <c r="T77" s="133">
        <f>VLOOKUP(A77,'2022_PAPI_Indicators'!A72:S252,18,FALSE)</f>
        <v>3.8597937673330307E-2</v>
      </c>
      <c r="U77" s="135">
        <f>VLOOKUP(A77,'2022_PAPI_Indicators'!A72:T252,19,FALSE)</f>
        <v>0</v>
      </c>
      <c r="V77" s="133">
        <f>VLOOKUP(A77,'2022_PAPI_Indicators'!A72:U252,20,FALSE)</f>
        <v>5.527757853269577E-2</v>
      </c>
      <c r="W77" s="133">
        <f>VLOOKUP(A77,'2022_PAPI_Indicators'!A72:V252,21,FALSE)</f>
        <v>5.0998985767364502E-2</v>
      </c>
      <c r="X77" s="133">
        <f>VLOOKUP(A77,'2022_PAPI_Indicators'!A72:W252,22,FALSE)</f>
        <v>0.13758108019828796</v>
      </c>
      <c r="Y77" s="133">
        <f>VLOOKUP(A77,'2022_PAPI_Indicators'!A72:X252,23,FALSE)</f>
        <v>4.9806077033281326E-2</v>
      </c>
      <c r="Z77" s="133">
        <f>VLOOKUP(A77,'2022_PAPI_Indicators'!A72:Y252,24,FALSE)</f>
        <v>7.9167291522026062E-2</v>
      </c>
      <c r="AA77" s="133">
        <f>VLOOKUP(A77,'2022_PAPI_Indicators'!A72:Z252,25,FALSE)</f>
        <v>0.162396639585495</v>
      </c>
      <c r="AB77" s="133">
        <f>VLOOKUP(A77,'2022_PAPI_Indicators'!A72:AA252,26,FALSE)</f>
        <v>0.12789347767829895</v>
      </c>
      <c r="AC77" s="133">
        <f>VLOOKUP(A77,'2022_PAPI_Indicators'!A72:AB252,27,FALSE)</f>
        <v>0.10345438122749329</v>
      </c>
      <c r="AD77" s="133">
        <f>VLOOKUP(A77,'2022_PAPI_Indicators'!A72:AC252,28,FALSE)</f>
        <v>9.2439889907836914E-2</v>
      </c>
      <c r="AE77" s="133">
        <f>VLOOKUP(A77,'2022_PAPI_Indicators'!A72:AD252,29,FALSE)</f>
        <v>7.7467851340770721E-2</v>
      </c>
      <c r="AF77" s="133">
        <f>VLOOKUP(A77,'2022_PAPI_Indicators'!A72:AE252,30,FALSE)</f>
        <v>0.22207300364971161</v>
      </c>
      <c r="AG77" s="133">
        <f>VLOOKUP(A77,'2022_PAPI_Indicators'!A72:AF252,31,FALSE)</f>
        <v>0.12372152507305145</v>
      </c>
      <c r="AH77" s="133">
        <f>VLOOKUP(A77,'2022_PAPI_Indicators'!A72:AG252,32,FALSE)</f>
        <v>0.13525478541851044</v>
      </c>
      <c r="AI77" s="133">
        <f>VLOOKUP(A77,'2022_PAPI_Indicators'!A72:AH252,33,FALSE)</f>
        <v>6.8485915660858154E-2</v>
      </c>
      <c r="AJ77" s="133">
        <f>VLOOKUP(A77,'2022_PAPI_Indicators'!A72:AI252,34,FALSE)</f>
        <v>4.3040432035923004E-2</v>
      </c>
      <c r="AK77" s="133">
        <f>VLOOKUP(A77,'2022_PAPI_Indicators'!A72:AJ252,35,FALSE)</f>
        <v>2.3671280592679977E-2</v>
      </c>
      <c r="AL77" s="133">
        <f>VLOOKUP(A77,'2022_PAPI_Indicators'!A72:AK252,36,FALSE)</f>
        <v>0.10770071297883987</v>
      </c>
      <c r="AM77" s="133">
        <f>VLOOKUP(A77,'2022_PAPI_Indicators'!A72:AL252,37,FALSE)</f>
        <v>0.11642137914896011</v>
      </c>
      <c r="AN77" s="133">
        <f>VLOOKUP(A77,'2022_PAPI_Indicators'!A72:AM252,38,FALSE)</f>
        <v>8.7556220591068268E-2</v>
      </c>
      <c r="AO77" s="133">
        <f>VLOOKUP(A77,'2022_PAPI_Indicators'!A72:AN252,39,FALSE)</f>
        <v>0.14618337154388428</v>
      </c>
      <c r="AP77" s="133">
        <f>VLOOKUP(A77,'2022_PAPI_Indicators'!A72:AO252,40,FALSE)</f>
        <v>9.9184684455394745E-2</v>
      </c>
      <c r="AQ77" s="133">
        <f>VLOOKUP(A77,'2022_PAPI_Indicators'!A72:AP252,41,FALSE)</f>
        <v>0.10279688984155655</v>
      </c>
      <c r="AR77" s="133">
        <f>VLOOKUP(A77,'2022_PAPI_Indicators'!A72:AQ252,42,FALSE)</f>
        <v>0.16182449460029602</v>
      </c>
      <c r="AS77" s="133">
        <f>VLOOKUP(A77,'2022_PAPI_Indicators'!A72:AR252,43,FALSE)</f>
        <v>6.8602301180362701E-2</v>
      </c>
      <c r="AT77" s="133">
        <f>VLOOKUP(A77,'2022_PAPI_Indicators'!A72:AS252,44,FALSE)</f>
        <v>7.8567497432231903E-2</v>
      </c>
      <c r="AU77" s="133">
        <f>VLOOKUP(A77,'2022_PAPI_Indicators'!A72:AT252,45,FALSE)</f>
        <v>0.13976176083087921</v>
      </c>
      <c r="AV77" s="133">
        <f>VLOOKUP(A77,'2022_PAPI_Indicators'!A72:AU252,46,FALSE)</f>
        <v>0.18211223185062408</v>
      </c>
      <c r="AW77" s="133">
        <f>VLOOKUP(A77,'2022_PAPI_Indicators'!A72:AV252,47,FALSE)</f>
        <v>0.1868995875120163</v>
      </c>
      <c r="AX77" s="133">
        <f>VLOOKUP(A77,'2022_PAPI_Indicators'!A72:AW252,48,FALSE)</f>
        <v>9.4470866024494171E-2</v>
      </c>
      <c r="AY77" s="133">
        <f>VLOOKUP(A77,'2022_PAPI_Indicators'!A72:AX252,49,FALSE)</f>
        <v>0.13807721436023712</v>
      </c>
      <c r="AZ77" s="133">
        <f>VLOOKUP(A77,'2022_PAPI_Indicators'!A72:AY252,50,FALSE)</f>
        <v>9.8457954823970795E-2</v>
      </c>
      <c r="BA77" s="133">
        <f>VLOOKUP(A77,'2022_PAPI_Indicators'!A72:AZ252,51,FALSE)</f>
        <v>7.2096340358257294E-2</v>
      </c>
      <c r="BB77" s="133">
        <f>VLOOKUP(A77,'2022_PAPI_Indicators'!A72:BA252,52,FALSE)</f>
        <v>0.1934894323348999</v>
      </c>
      <c r="BC77" s="133">
        <f>VLOOKUP(A77,'2022_PAPI_Indicators'!A72:BB252,53,FALSE)</f>
        <v>0.18665769696235657</v>
      </c>
      <c r="BD77" s="133">
        <f>VLOOKUP(A77,'2022_PAPI_Indicators'!A72:BC252,54,FALSE)</f>
        <v>0.14689812064170837</v>
      </c>
      <c r="BE77" s="133">
        <f>VLOOKUP(A77,'2022_PAPI_Indicators'!A72:BD252,55,FALSE)</f>
        <v>0.15543653070926666</v>
      </c>
      <c r="BF77" s="133">
        <f>VLOOKUP(A77,'2022_PAPI_Indicators'!A72:BE252,56,FALSE)</f>
        <v>8.5722789168357849E-2</v>
      </c>
      <c r="BG77" s="133">
        <f>VLOOKUP(A77,'2022_PAPI_Indicators'!A72:BF252,57,FALSE)</f>
        <v>0.14886192977428436</v>
      </c>
      <c r="BH77" s="133">
        <f>VLOOKUP(A77,'2022_PAPI_Indicators'!A72:BG252,58,FALSE)</f>
        <v>5.6932128965854645E-2</v>
      </c>
      <c r="BI77" s="133">
        <f>VLOOKUP(A77,'2022_PAPI_Indicators'!A72:BH252,59,FALSE)</f>
        <v>5.9891063719987869E-2</v>
      </c>
      <c r="BJ77" s="133">
        <f>VLOOKUP(A77,'2022_PAPI_Indicators'!A72:BI252,60,FALSE)</f>
        <v>0.17366416752338409</v>
      </c>
      <c r="BK77" s="133">
        <f>VLOOKUP(A77,'2022_PAPI_Indicators'!A72:BJ252,61,FALSE)</f>
        <v>0.20900183916091919</v>
      </c>
      <c r="BL77" s="133">
        <f>VLOOKUP(A77,'2022_PAPI_Indicators'!A72:BK252,62,FALSE)</f>
        <v>0.11128618568181992</v>
      </c>
      <c r="BM77" s="133">
        <f>VLOOKUP(A77,'2022_PAPI_Indicators'!A72:BL252,63,FALSE)</f>
        <v>0.17541790008544922</v>
      </c>
      <c r="BN77" s="133">
        <f>VLOOKUP(A77,'2022_PAPI_Indicators'!A72:BM252,64,FALSE)</f>
        <v>7.7582336962223053E-2</v>
      </c>
    </row>
    <row r="78" spans="1:66" s="75" customFormat="1" x14ac:dyDescent="0.2">
      <c r="A78" s="75" t="s">
        <v>221</v>
      </c>
      <c r="B78" s="76" t="s">
        <v>222</v>
      </c>
      <c r="C78" s="91" t="s">
        <v>447</v>
      </c>
      <c r="D78" s="129">
        <f>VLOOKUP(A78,'2022_PAPI_Indicators'!A73:B253,2,)</f>
        <v>6.8007445335388184</v>
      </c>
      <c r="E78" s="129">
        <f>VLOOKUP(A78,'2022_PAPI_Indicators'!A73:C253,3,FALSE)</f>
        <v>6.4751753807067871</v>
      </c>
      <c r="F78" s="129">
        <f>VLOOKUP(A78,'2022_PAPI_Indicators'!A73:D253,4,FALSE)</f>
        <v>6.0843143463134766</v>
      </c>
      <c r="G78" s="129">
        <f>VLOOKUP(A78,'2022_PAPI_Indicators'!A73:E253,5,FALSE)</f>
        <v>6.4340090751647949</v>
      </c>
      <c r="H78" s="129">
        <f>VLOOKUP(A78,'2022_PAPI_Indicators'!A73:F253,6,FALSE)</f>
        <v>6.8649230003356934</v>
      </c>
      <c r="I78" s="129">
        <f>VLOOKUP(A78,'2022_PAPI_Indicators'!A73:G253,7,FALSE)</f>
        <v>5.7831025123596191</v>
      </c>
      <c r="J78" s="129">
        <f>VLOOKUP(A78,'2022_PAPI_Indicators'!A73:H253,8,FALSE)</f>
        <v>5.7121334075927734</v>
      </c>
      <c r="K78" s="129">
        <f>VLOOKUP(A78,'2022_PAPI_Indicators'!A73:I253,9,FALSE)</f>
        <v>6.156029224395752</v>
      </c>
      <c r="L78" s="129">
        <f>VLOOKUP(A78,'2022_PAPI_Indicators'!A73:J253,10,FALSE)</f>
        <v>6.6229033470153809</v>
      </c>
      <c r="M78" s="129">
        <f>VLOOKUP(A78,'2022_PAPI_Indicators'!A73:K253,11,FALSE)</f>
        <v>6.6522212028503418</v>
      </c>
      <c r="N78" s="129">
        <f>VLOOKUP(A78,'2022_PAPI_Indicators'!A73:L253,12,FALSE)</f>
        <v>6.4411444664001465</v>
      </c>
      <c r="O78" s="129">
        <f>VLOOKUP(A78,'2022_PAPI_Indicators'!A73:M253,13,FALSE)</f>
        <v>6.5588369369506836</v>
      </c>
      <c r="P78" s="129">
        <f>VLOOKUP(A78,'2022_PAPI_Indicators'!A73:N253,14,FALSE)</f>
        <v>6.7475733757019043</v>
      </c>
      <c r="Q78" s="129">
        <f>VLOOKUP(A78,'2022_PAPI_Indicators'!A73:O253,15,FALSE)</f>
        <v>7.4273858070373535</v>
      </c>
      <c r="R78" s="130">
        <f>VLOOKUP(A78,'2022_PAPI_Indicators'!A73:P253,16,FALSE)</f>
        <v>0</v>
      </c>
      <c r="S78" s="129">
        <f>VLOOKUP(A78,'2022_PAPI_Indicators'!A73:R253,17,FALSE)</f>
        <v>7.0491375923156738</v>
      </c>
      <c r="T78" s="129">
        <f>VLOOKUP(A78,'2022_PAPI_Indicators'!A73:S253,18,FALSE)</f>
        <v>6.7936229705810547</v>
      </c>
      <c r="U78" s="130">
        <f>VLOOKUP(A78,'2022_PAPI_Indicators'!A73:T253,19,FALSE)</f>
        <v>0</v>
      </c>
      <c r="V78" s="129">
        <f>VLOOKUP(A78,'2022_PAPI_Indicators'!A73:U253,20,FALSE)</f>
        <v>6.3680305480957031</v>
      </c>
      <c r="W78" s="129">
        <f>VLOOKUP(A78,'2022_PAPI_Indicators'!A73:V253,21,FALSE)</f>
        <v>6.8896541595458984</v>
      </c>
      <c r="X78" s="129">
        <f>VLOOKUP(A78,'2022_PAPI_Indicators'!A73:W253,22,FALSE)</f>
        <v>6.8763909339904785</v>
      </c>
      <c r="Y78" s="129">
        <f>VLOOKUP(A78,'2022_PAPI_Indicators'!A73:X253,23,FALSE)</f>
        <v>6.8132972717285156</v>
      </c>
      <c r="Z78" s="129">
        <f>VLOOKUP(A78,'2022_PAPI_Indicators'!A73:Y253,24,FALSE)</f>
        <v>7.0016884803771973</v>
      </c>
      <c r="AA78" s="129">
        <f>VLOOKUP(A78,'2022_PAPI_Indicators'!A73:Z253,25,FALSE)</f>
        <v>6.7637929916381836</v>
      </c>
      <c r="AB78" s="129">
        <f>VLOOKUP(A78,'2022_PAPI_Indicators'!A73:AA253,26,FALSE)</f>
        <v>6.7385783195495605</v>
      </c>
      <c r="AC78" s="129">
        <f>VLOOKUP(A78,'2022_PAPI_Indicators'!A73:AB253,27,FALSE)</f>
        <v>7.2824540138244629</v>
      </c>
      <c r="AD78" s="129">
        <f>VLOOKUP(A78,'2022_PAPI_Indicators'!A73:AC253,28,FALSE)</f>
        <v>6.5997557640075684</v>
      </c>
      <c r="AE78" s="129">
        <f>VLOOKUP(A78,'2022_PAPI_Indicators'!A73:AD253,29,FALSE)</f>
        <v>6.7050337791442871</v>
      </c>
      <c r="AF78" s="129">
        <f>VLOOKUP(A78,'2022_PAPI_Indicators'!A73:AE253,30,FALSE)</f>
        <v>7.2067766189575195</v>
      </c>
      <c r="AG78" s="129">
        <f>VLOOKUP(A78,'2022_PAPI_Indicators'!A73:AF253,31,FALSE)</f>
        <v>6.5332241058349609</v>
      </c>
      <c r="AH78" s="129">
        <f>VLOOKUP(A78,'2022_PAPI_Indicators'!A73:AG253,32,FALSE)</f>
        <v>7.0357861518859863</v>
      </c>
      <c r="AI78" s="129">
        <f>VLOOKUP(A78,'2022_PAPI_Indicators'!A73:AH253,33,FALSE)</f>
        <v>6.595301628112793</v>
      </c>
      <c r="AJ78" s="129">
        <f>VLOOKUP(A78,'2022_PAPI_Indicators'!A73:AI253,34,FALSE)</f>
        <v>6.4916191101074219</v>
      </c>
      <c r="AK78" s="129">
        <f>VLOOKUP(A78,'2022_PAPI_Indicators'!A73:AJ253,35,FALSE)</f>
        <v>6.7841043472290039</v>
      </c>
      <c r="AL78" s="129">
        <f>VLOOKUP(A78,'2022_PAPI_Indicators'!A73:AK253,36,FALSE)</f>
        <v>7.0651154518127441</v>
      </c>
      <c r="AM78" s="129">
        <f>VLOOKUP(A78,'2022_PAPI_Indicators'!A73:AL253,37,FALSE)</f>
        <v>6.2521524429321289</v>
      </c>
      <c r="AN78" s="129">
        <f>VLOOKUP(A78,'2022_PAPI_Indicators'!A73:AM253,38,FALSE)</f>
        <v>6.9413790702819824</v>
      </c>
      <c r="AO78" s="129">
        <f>VLOOKUP(A78,'2022_PAPI_Indicators'!A73:AN253,39,FALSE)</f>
        <v>7.5201940536499023</v>
      </c>
      <c r="AP78" s="129">
        <f>VLOOKUP(A78,'2022_PAPI_Indicators'!A73:AO253,40,FALSE)</f>
        <v>6.9436602592468262</v>
      </c>
      <c r="AQ78" s="129">
        <f>VLOOKUP(A78,'2022_PAPI_Indicators'!A73:AP253,41,FALSE)</f>
        <v>6.199918270111084</v>
      </c>
      <c r="AR78" s="129">
        <f>VLOOKUP(A78,'2022_PAPI_Indicators'!A73:AQ253,42,FALSE)</f>
        <v>6.2284045219421387</v>
      </c>
      <c r="AS78" s="129">
        <f>VLOOKUP(A78,'2022_PAPI_Indicators'!A73:AR253,43,FALSE)</f>
        <v>6.389836311340332</v>
      </c>
      <c r="AT78" s="129">
        <f>VLOOKUP(A78,'2022_PAPI_Indicators'!A73:AS253,44,FALSE)</f>
        <v>6.0787711143493652</v>
      </c>
      <c r="AU78" s="129">
        <f>VLOOKUP(A78,'2022_PAPI_Indicators'!A73:AT253,45,FALSE)</f>
        <v>6.5236043930053711</v>
      </c>
      <c r="AV78" s="129">
        <f>VLOOKUP(A78,'2022_PAPI_Indicators'!A73:AU253,46,FALSE)</f>
        <v>5.9705982208251953</v>
      </c>
      <c r="AW78" s="129">
        <f>VLOOKUP(A78,'2022_PAPI_Indicators'!A73:AV253,47,FALSE)</f>
        <v>6.4039978981018066</v>
      </c>
      <c r="AX78" s="129">
        <f>VLOOKUP(A78,'2022_PAPI_Indicators'!A73:AW253,48,FALSE)</f>
        <v>7.9399838447570801</v>
      </c>
      <c r="AY78" s="129">
        <f>VLOOKUP(A78,'2022_PAPI_Indicators'!A73:AX253,49,FALSE)</f>
        <v>6.5387988090515137</v>
      </c>
      <c r="AZ78" s="129">
        <f>VLOOKUP(A78,'2022_PAPI_Indicators'!A73:AY253,50,FALSE)</f>
        <v>6.9529590606689453</v>
      </c>
      <c r="BA78" s="129">
        <f>VLOOKUP(A78,'2022_PAPI_Indicators'!A73:AZ253,51,FALSE)</f>
        <v>6.3215675354003906</v>
      </c>
      <c r="BB78" s="129">
        <f>VLOOKUP(A78,'2022_PAPI_Indicators'!A73:BA253,52,FALSE)</f>
        <v>6.2436437606811523</v>
      </c>
      <c r="BC78" s="129">
        <f>VLOOKUP(A78,'2022_PAPI_Indicators'!A73:BB253,53,FALSE)</f>
        <v>7.402949333190918</v>
      </c>
      <c r="BD78" s="129">
        <f>VLOOKUP(A78,'2022_PAPI_Indicators'!A73:BC253,54,FALSE)</f>
        <v>6.6261515617370605</v>
      </c>
      <c r="BE78" s="129">
        <f>VLOOKUP(A78,'2022_PAPI_Indicators'!A73:BD253,55,FALSE)</f>
        <v>6.5998687744140625</v>
      </c>
      <c r="BF78" s="129">
        <f>VLOOKUP(A78,'2022_PAPI_Indicators'!A73:BE253,56,FALSE)</f>
        <v>6.757603645324707</v>
      </c>
      <c r="BG78" s="129">
        <f>VLOOKUP(A78,'2022_PAPI_Indicators'!A73:BF253,57,FALSE)</f>
        <v>6.6346406936645508</v>
      </c>
      <c r="BH78" s="129">
        <f>VLOOKUP(A78,'2022_PAPI_Indicators'!A73:BG253,58,FALSE)</f>
        <v>6.4259767532348633</v>
      </c>
      <c r="BI78" s="129">
        <f>VLOOKUP(A78,'2022_PAPI_Indicators'!A73:BH253,59,FALSE)</f>
        <v>6.4137101173400879</v>
      </c>
      <c r="BJ78" s="129">
        <f>VLOOKUP(A78,'2022_PAPI_Indicators'!A73:BI253,60,FALSE)</f>
        <v>6.537229061126709</v>
      </c>
      <c r="BK78" s="129">
        <f>VLOOKUP(A78,'2022_PAPI_Indicators'!A73:BJ253,61,FALSE)</f>
        <v>7.1992201805114746</v>
      </c>
      <c r="BL78" s="129">
        <f>VLOOKUP(A78,'2022_PAPI_Indicators'!A73:BK253,62,FALSE)</f>
        <v>7.3998031616210938</v>
      </c>
      <c r="BM78" s="129">
        <f>VLOOKUP(A78,'2022_PAPI_Indicators'!A73:BL253,63,FALSE)</f>
        <v>7.5075349807739258</v>
      </c>
      <c r="BN78" s="129">
        <f>VLOOKUP(A78,'2022_PAPI_Indicators'!A73:BM253,64,FALSE)</f>
        <v>6.9535279273986816</v>
      </c>
    </row>
    <row r="79" spans="1:66" s="112" customFormat="1" x14ac:dyDescent="0.2">
      <c r="A79" s="77" t="s">
        <v>223</v>
      </c>
      <c r="B79" s="77" t="s">
        <v>224</v>
      </c>
      <c r="C79" s="92" t="s">
        <v>448</v>
      </c>
      <c r="D79" s="131">
        <f>VLOOKUP(A79,'2022_PAPI_Indicators'!A74:B254,2,)</f>
        <v>1.642737865447998</v>
      </c>
      <c r="E79" s="131">
        <f>VLOOKUP(A79,'2022_PAPI_Indicators'!A74:C254,3,FALSE)</f>
        <v>1.4828202724456787</v>
      </c>
      <c r="F79" s="131">
        <f>VLOOKUP(A79,'2022_PAPI_Indicators'!A74:D254,4,FALSE)</f>
        <v>1.4215035438537598</v>
      </c>
      <c r="G79" s="131">
        <f>VLOOKUP(A79,'2022_PAPI_Indicators'!A74:E254,5,FALSE)</f>
        <v>1.5775601863861084</v>
      </c>
      <c r="H79" s="131">
        <f>VLOOKUP(A79,'2022_PAPI_Indicators'!A74:F254,6,FALSE)</f>
        <v>1.7046201229095459</v>
      </c>
      <c r="I79" s="131">
        <f>VLOOKUP(A79,'2022_PAPI_Indicators'!A74:G254,7,FALSE)</f>
        <v>1.3484166860580444</v>
      </c>
      <c r="J79" s="131">
        <f>VLOOKUP(A79,'2022_PAPI_Indicators'!A74:H254,8,FALSE)</f>
        <v>1.3699029684066772</v>
      </c>
      <c r="K79" s="131">
        <f>VLOOKUP(A79,'2022_PAPI_Indicators'!A74:I254,9,FALSE)</f>
        <v>1.5257805585861206</v>
      </c>
      <c r="L79" s="131">
        <f>VLOOKUP(A79,'2022_PAPI_Indicators'!A74:J254,10,FALSE)</f>
        <v>1.6304507255554199</v>
      </c>
      <c r="M79" s="131">
        <f>VLOOKUP(A79,'2022_PAPI_Indicators'!A74:K254,11,FALSE)</f>
        <v>1.622908353805542</v>
      </c>
      <c r="N79" s="131">
        <f>VLOOKUP(A79,'2022_PAPI_Indicators'!A74:L254,12,FALSE)</f>
        <v>1.6920859813690186</v>
      </c>
      <c r="O79" s="131">
        <f>VLOOKUP(A79,'2022_PAPI_Indicators'!A74:M254,13,FALSE)</f>
        <v>1.5895653963088989</v>
      </c>
      <c r="P79" s="131">
        <f>VLOOKUP(A79,'2022_PAPI_Indicators'!A74:N254,14,FALSE)</f>
        <v>1.6225063800811768</v>
      </c>
      <c r="Q79" s="131">
        <f>VLOOKUP(A79,'2022_PAPI_Indicators'!A74:O254,15,FALSE)</f>
        <v>2.0447356700897217</v>
      </c>
      <c r="R79" s="132">
        <f>VLOOKUP(A79,'2022_PAPI_Indicators'!A74:P254,16,FALSE)</f>
        <v>0</v>
      </c>
      <c r="S79" s="131">
        <f>VLOOKUP(A79,'2022_PAPI_Indicators'!A74:R254,17,FALSE)</f>
        <v>1.7991437911987305</v>
      </c>
      <c r="T79" s="131">
        <f>VLOOKUP(A79,'2022_PAPI_Indicators'!A74:S254,18,FALSE)</f>
        <v>1.6784499883651733</v>
      </c>
      <c r="U79" s="132">
        <f>VLOOKUP(A79,'2022_PAPI_Indicators'!A74:T254,19,FALSE)</f>
        <v>0</v>
      </c>
      <c r="V79" s="131">
        <f>VLOOKUP(A79,'2022_PAPI_Indicators'!A74:U254,20,FALSE)</f>
        <v>1.5527125597000122</v>
      </c>
      <c r="W79" s="131">
        <f>VLOOKUP(A79,'2022_PAPI_Indicators'!A74:V254,21,FALSE)</f>
        <v>1.6469416618347168</v>
      </c>
      <c r="X79" s="131">
        <f>VLOOKUP(A79,'2022_PAPI_Indicators'!A74:W254,22,FALSE)</f>
        <v>1.7508747577667236</v>
      </c>
      <c r="Y79" s="131">
        <f>VLOOKUP(A79,'2022_PAPI_Indicators'!A74:X254,23,FALSE)</f>
        <v>1.8261433839797974</v>
      </c>
      <c r="Z79" s="131">
        <f>VLOOKUP(A79,'2022_PAPI_Indicators'!A74:Y254,24,FALSE)</f>
        <v>1.813045859336853</v>
      </c>
      <c r="AA79" s="131">
        <f>VLOOKUP(A79,'2022_PAPI_Indicators'!A74:Z254,25,FALSE)</f>
        <v>1.6060432195663452</v>
      </c>
      <c r="AB79" s="131">
        <f>VLOOKUP(A79,'2022_PAPI_Indicators'!A74:AA254,26,FALSE)</f>
        <v>1.5954861640930176</v>
      </c>
      <c r="AC79" s="131">
        <f>VLOOKUP(A79,'2022_PAPI_Indicators'!A74:AB254,27,FALSE)</f>
        <v>1.9225183725357056</v>
      </c>
      <c r="AD79" s="131">
        <f>VLOOKUP(A79,'2022_PAPI_Indicators'!A74:AC254,28,FALSE)</f>
        <v>1.697471022605896</v>
      </c>
      <c r="AE79" s="131">
        <f>VLOOKUP(A79,'2022_PAPI_Indicators'!A74:AD254,29,FALSE)</f>
        <v>1.7092307806015015</v>
      </c>
      <c r="AF79" s="131">
        <f>VLOOKUP(A79,'2022_PAPI_Indicators'!A74:AE254,30,FALSE)</f>
        <v>1.9273926019668579</v>
      </c>
      <c r="AG79" s="131">
        <f>VLOOKUP(A79,'2022_PAPI_Indicators'!A74:AF254,31,FALSE)</f>
        <v>1.6366479396820068</v>
      </c>
      <c r="AH79" s="131">
        <f>VLOOKUP(A79,'2022_PAPI_Indicators'!A74:AG254,32,FALSE)</f>
        <v>1.787097692489624</v>
      </c>
      <c r="AI79" s="131">
        <f>VLOOKUP(A79,'2022_PAPI_Indicators'!A74:AH254,33,FALSE)</f>
        <v>1.5355780124664307</v>
      </c>
      <c r="AJ79" s="131">
        <f>VLOOKUP(A79,'2022_PAPI_Indicators'!A74:AI254,34,FALSE)</f>
        <v>1.5146230459213257</v>
      </c>
      <c r="AK79" s="131">
        <f>VLOOKUP(A79,'2022_PAPI_Indicators'!A74:AJ254,35,FALSE)</f>
        <v>1.6280142068862915</v>
      </c>
      <c r="AL79" s="131">
        <f>VLOOKUP(A79,'2022_PAPI_Indicators'!A74:AK254,36,FALSE)</f>
        <v>1.8412050008773804</v>
      </c>
      <c r="AM79" s="131">
        <f>VLOOKUP(A79,'2022_PAPI_Indicators'!A74:AL254,37,FALSE)</f>
        <v>1.4227900505065918</v>
      </c>
      <c r="AN79" s="131">
        <f>VLOOKUP(A79,'2022_PAPI_Indicators'!A74:AM254,38,FALSE)</f>
        <v>1.6202503442764282</v>
      </c>
      <c r="AO79" s="131">
        <f>VLOOKUP(A79,'2022_PAPI_Indicators'!A74:AN254,39,FALSE)</f>
        <v>1.8528465032577515</v>
      </c>
      <c r="AP79" s="131">
        <f>VLOOKUP(A79,'2022_PAPI_Indicators'!A74:AO254,40,FALSE)</f>
        <v>1.6385883092880249</v>
      </c>
      <c r="AQ79" s="131">
        <f>VLOOKUP(A79,'2022_PAPI_Indicators'!A74:AP254,41,FALSE)</f>
        <v>1.4167574644088745</v>
      </c>
      <c r="AR79" s="131">
        <f>VLOOKUP(A79,'2022_PAPI_Indicators'!A74:AQ254,42,FALSE)</f>
        <v>1.4346705675125122</v>
      </c>
      <c r="AS79" s="131">
        <f>VLOOKUP(A79,'2022_PAPI_Indicators'!A74:AR254,43,FALSE)</f>
        <v>1.5390113592147827</v>
      </c>
      <c r="AT79" s="131">
        <f>VLOOKUP(A79,'2022_PAPI_Indicators'!A74:AS254,44,FALSE)</f>
        <v>1.390234112739563</v>
      </c>
      <c r="AU79" s="131">
        <f>VLOOKUP(A79,'2022_PAPI_Indicators'!A74:AT254,45,FALSE)</f>
        <v>1.5008704662322998</v>
      </c>
      <c r="AV79" s="131">
        <f>VLOOKUP(A79,'2022_PAPI_Indicators'!A74:AU254,46,FALSE)</f>
        <v>1.4096461534500122</v>
      </c>
      <c r="AW79" s="131">
        <f>VLOOKUP(A79,'2022_PAPI_Indicators'!A74:AV254,47,FALSE)</f>
        <v>1.4790061712265015</v>
      </c>
      <c r="AX79" s="131">
        <f>VLOOKUP(A79,'2022_PAPI_Indicators'!A74:AW254,48,FALSE)</f>
        <v>1.9696948528289795</v>
      </c>
      <c r="AY79" s="131">
        <f>VLOOKUP(A79,'2022_PAPI_Indicators'!A74:AX254,49,FALSE)</f>
        <v>1.4520734548568726</v>
      </c>
      <c r="AZ79" s="131">
        <f>VLOOKUP(A79,'2022_PAPI_Indicators'!A74:AY254,50,FALSE)</f>
        <v>1.7335540056228638</v>
      </c>
      <c r="BA79" s="131">
        <f>VLOOKUP(A79,'2022_PAPI_Indicators'!A74:AZ254,51,FALSE)</f>
        <v>1.4115493297576904</v>
      </c>
      <c r="BB79" s="131">
        <f>VLOOKUP(A79,'2022_PAPI_Indicators'!A74:BA254,52,FALSE)</f>
        <v>1.4514957666397095</v>
      </c>
      <c r="BC79" s="131">
        <f>VLOOKUP(A79,'2022_PAPI_Indicators'!A74:BB254,53,FALSE)</f>
        <v>1.9282125234603882</v>
      </c>
      <c r="BD79" s="131">
        <f>VLOOKUP(A79,'2022_PAPI_Indicators'!A74:BC254,54,FALSE)</f>
        <v>1.5740425586700439</v>
      </c>
      <c r="BE79" s="131">
        <f>VLOOKUP(A79,'2022_PAPI_Indicators'!A74:BD254,55,FALSE)</f>
        <v>1.6272275447845459</v>
      </c>
      <c r="BF79" s="131">
        <f>VLOOKUP(A79,'2022_PAPI_Indicators'!A74:BE254,56,FALSE)</f>
        <v>1.6713771820068359</v>
      </c>
      <c r="BG79" s="131">
        <f>VLOOKUP(A79,'2022_PAPI_Indicators'!A74:BF254,57,FALSE)</f>
        <v>1.573134183883667</v>
      </c>
      <c r="BH79" s="131">
        <f>VLOOKUP(A79,'2022_PAPI_Indicators'!A74:BG254,58,FALSE)</f>
        <v>1.5598976612091064</v>
      </c>
      <c r="BI79" s="131">
        <f>VLOOKUP(A79,'2022_PAPI_Indicators'!A74:BH254,59,FALSE)</f>
        <v>1.5426497459411621</v>
      </c>
      <c r="BJ79" s="131">
        <f>VLOOKUP(A79,'2022_PAPI_Indicators'!A74:BI254,60,FALSE)</f>
        <v>1.517295241355896</v>
      </c>
      <c r="BK79" s="131">
        <f>VLOOKUP(A79,'2022_PAPI_Indicators'!A74:BJ254,61,FALSE)</f>
        <v>1.7849680185317993</v>
      </c>
      <c r="BL79" s="131">
        <f>VLOOKUP(A79,'2022_PAPI_Indicators'!A74:BK254,62,FALSE)</f>
        <v>1.8944957256317139</v>
      </c>
      <c r="BM79" s="131">
        <f>VLOOKUP(A79,'2022_PAPI_Indicators'!A74:BL254,63,FALSE)</f>
        <v>1.9359023571014404</v>
      </c>
      <c r="BN79" s="131">
        <f>VLOOKUP(A79,'2022_PAPI_Indicators'!A74:BM254,64,FALSE)</f>
        <v>1.7694128751754761</v>
      </c>
    </row>
    <row r="80" spans="1:66" s="69" customFormat="1" x14ac:dyDescent="0.2">
      <c r="A80" s="70" t="s">
        <v>225</v>
      </c>
      <c r="B80" s="70" t="s">
        <v>226</v>
      </c>
      <c r="C80" s="89" t="s">
        <v>90</v>
      </c>
      <c r="D80" s="133">
        <f>VLOOKUP(A80,'2022_PAPI_Indicators'!A75:B255,2,)</f>
        <v>0.68982493877410889</v>
      </c>
      <c r="E80" s="133">
        <f>VLOOKUP(A80,'2022_PAPI_Indicators'!A75:C255,3,FALSE)</f>
        <v>0.52374875545501709</v>
      </c>
      <c r="F80" s="133">
        <f>VLOOKUP(A80,'2022_PAPI_Indicators'!A75:D255,4,FALSE)</f>
        <v>0.54821181297302246</v>
      </c>
      <c r="G80" s="133">
        <f>VLOOKUP(A80,'2022_PAPI_Indicators'!A75:E255,5,FALSE)</f>
        <v>0.63594251871109009</v>
      </c>
      <c r="H80" s="133">
        <f>VLOOKUP(A80,'2022_PAPI_Indicators'!A75:F255,6,FALSE)</f>
        <v>0.65951615571975708</v>
      </c>
      <c r="I80" s="133">
        <f>VLOOKUP(A80,'2022_PAPI_Indicators'!A75:G255,7,FALSE)</f>
        <v>0.5519978404045105</v>
      </c>
      <c r="J80" s="133">
        <f>VLOOKUP(A80,'2022_PAPI_Indicators'!A75:H255,8,FALSE)</f>
        <v>0.55249345302581787</v>
      </c>
      <c r="K80" s="133">
        <f>VLOOKUP(A80,'2022_PAPI_Indicators'!A75:I255,9,FALSE)</f>
        <v>0.57049751281738281</v>
      </c>
      <c r="L80" s="133">
        <f>VLOOKUP(A80,'2022_PAPI_Indicators'!A75:J255,10,FALSE)</f>
        <v>0.65224957466125488</v>
      </c>
      <c r="M80" s="133">
        <f>VLOOKUP(A80,'2022_PAPI_Indicators'!A75:K255,11,FALSE)</f>
        <v>0.74253749847412109</v>
      </c>
      <c r="N80" s="133">
        <f>VLOOKUP(A80,'2022_PAPI_Indicators'!A75:L255,12,FALSE)</f>
        <v>0.70234179496765137</v>
      </c>
      <c r="O80" s="133">
        <f>VLOOKUP(A80,'2022_PAPI_Indicators'!A75:M255,13,FALSE)</f>
        <v>0.70568346977233887</v>
      </c>
      <c r="P80" s="133">
        <f>VLOOKUP(A80,'2022_PAPI_Indicators'!A75:N255,14,FALSE)</f>
        <v>0.68418401479721069</v>
      </c>
      <c r="Q80" s="133">
        <f>VLOOKUP(A80,'2022_PAPI_Indicators'!A75:O255,15,FALSE)</f>
        <v>0.79445922374725342</v>
      </c>
      <c r="R80" s="135">
        <f>VLOOKUP(A80,'2022_PAPI_Indicators'!A75:P255,16,FALSE)</f>
        <v>0</v>
      </c>
      <c r="S80" s="133">
        <f>VLOOKUP(A80,'2022_PAPI_Indicators'!A75:R255,17,FALSE)</f>
        <v>0.725943922996521</v>
      </c>
      <c r="T80" s="133">
        <f>VLOOKUP(A80,'2022_PAPI_Indicators'!A75:S255,18,FALSE)</f>
        <v>0.69013452529907227</v>
      </c>
      <c r="U80" s="135">
        <f>VLOOKUP(A80,'2022_PAPI_Indicators'!A75:T255,19,FALSE)</f>
        <v>0</v>
      </c>
      <c r="V80" s="133">
        <f>VLOOKUP(A80,'2022_PAPI_Indicators'!A75:U255,20,FALSE)</f>
        <v>0.61543822288513184</v>
      </c>
      <c r="W80" s="133">
        <f>VLOOKUP(A80,'2022_PAPI_Indicators'!A75:V255,21,FALSE)</f>
        <v>0.65895277261734009</v>
      </c>
      <c r="X80" s="133">
        <f>VLOOKUP(A80,'2022_PAPI_Indicators'!A75:W255,22,FALSE)</f>
        <v>0.68445605039596558</v>
      </c>
      <c r="Y80" s="133">
        <f>VLOOKUP(A80,'2022_PAPI_Indicators'!A75:X255,23,FALSE)</f>
        <v>0.72372961044311523</v>
      </c>
      <c r="Z80" s="133">
        <f>VLOOKUP(A80,'2022_PAPI_Indicators'!A75:Y255,24,FALSE)</f>
        <v>0.72733771800994873</v>
      </c>
      <c r="AA80" s="133">
        <f>VLOOKUP(A80,'2022_PAPI_Indicators'!A75:Z255,25,FALSE)</f>
        <v>0.59648793935775757</v>
      </c>
      <c r="AB80" s="133">
        <f>VLOOKUP(A80,'2022_PAPI_Indicators'!A75:AA255,26,FALSE)</f>
        <v>0.65335649251937866</v>
      </c>
      <c r="AC80" s="133">
        <f>VLOOKUP(A80,'2022_PAPI_Indicators'!A75:AB255,27,FALSE)</f>
        <v>0.77200239896774292</v>
      </c>
      <c r="AD80" s="133">
        <f>VLOOKUP(A80,'2022_PAPI_Indicators'!A75:AC255,28,FALSE)</f>
        <v>0.68938291072845459</v>
      </c>
      <c r="AE80" s="133">
        <f>VLOOKUP(A80,'2022_PAPI_Indicators'!A75:AD255,29,FALSE)</f>
        <v>0.69498389959335327</v>
      </c>
      <c r="AF80" s="133">
        <f>VLOOKUP(A80,'2022_PAPI_Indicators'!A75:AE255,30,FALSE)</f>
        <v>0.81528604030609131</v>
      </c>
      <c r="AG80" s="133">
        <f>VLOOKUP(A80,'2022_PAPI_Indicators'!A75:AF255,31,FALSE)</f>
        <v>0.66931802034378052</v>
      </c>
      <c r="AH80" s="133">
        <f>VLOOKUP(A80,'2022_PAPI_Indicators'!A75:AG255,32,FALSE)</f>
        <v>0.70971465110778809</v>
      </c>
      <c r="AI80" s="133">
        <f>VLOOKUP(A80,'2022_PAPI_Indicators'!A75:AH255,33,FALSE)</f>
        <v>0.63630491495132446</v>
      </c>
      <c r="AJ80" s="133">
        <f>VLOOKUP(A80,'2022_PAPI_Indicators'!A75:AI255,34,FALSE)</f>
        <v>0.64746862649917603</v>
      </c>
      <c r="AK80" s="133">
        <f>VLOOKUP(A80,'2022_PAPI_Indicators'!A75:AJ255,35,FALSE)</f>
        <v>0.64879429340362549</v>
      </c>
      <c r="AL80" s="133">
        <f>VLOOKUP(A80,'2022_PAPI_Indicators'!A75:AK255,36,FALSE)</f>
        <v>0.70989835262298584</v>
      </c>
      <c r="AM80" s="133">
        <f>VLOOKUP(A80,'2022_PAPI_Indicators'!A75:AL255,37,FALSE)</f>
        <v>0.57506054639816284</v>
      </c>
      <c r="AN80" s="133">
        <f>VLOOKUP(A80,'2022_PAPI_Indicators'!A75:AM255,38,FALSE)</f>
        <v>0.625</v>
      </c>
      <c r="AO80" s="133">
        <f>VLOOKUP(A80,'2022_PAPI_Indicators'!A75:AN255,39,FALSE)</f>
        <v>0.7425076961517334</v>
      </c>
      <c r="AP80" s="133">
        <f>VLOOKUP(A80,'2022_PAPI_Indicators'!A75:AO255,40,FALSE)</f>
        <v>0.63926684856414795</v>
      </c>
      <c r="AQ80" s="133">
        <f>VLOOKUP(A80,'2022_PAPI_Indicators'!A75:AP255,41,FALSE)</f>
        <v>0.5640673041343689</v>
      </c>
      <c r="AR80" s="133">
        <f>VLOOKUP(A80,'2022_PAPI_Indicators'!A75:AQ255,42,FALSE)</f>
        <v>0.63631761074066162</v>
      </c>
      <c r="AS80" s="133">
        <f>VLOOKUP(A80,'2022_PAPI_Indicators'!A75:AR255,43,FALSE)</f>
        <v>0.63231521844863892</v>
      </c>
      <c r="AT80" s="133">
        <f>VLOOKUP(A80,'2022_PAPI_Indicators'!A75:AS255,44,FALSE)</f>
        <v>0.55779564380645752</v>
      </c>
      <c r="AU80" s="133">
        <f>VLOOKUP(A80,'2022_PAPI_Indicators'!A75:AT255,45,FALSE)</f>
        <v>0.56915861368179321</v>
      </c>
      <c r="AV80" s="133">
        <f>VLOOKUP(A80,'2022_PAPI_Indicators'!A75:AU255,46,FALSE)</f>
        <v>0.55433857440948486</v>
      </c>
      <c r="AW80" s="133">
        <f>VLOOKUP(A80,'2022_PAPI_Indicators'!A75:AV255,47,FALSE)</f>
        <v>0.62550681829452515</v>
      </c>
      <c r="AX80" s="133">
        <f>VLOOKUP(A80,'2022_PAPI_Indicators'!A75:AW255,48,FALSE)</f>
        <v>0.81542801856994629</v>
      </c>
      <c r="AY80" s="133">
        <f>VLOOKUP(A80,'2022_PAPI_Indicators'!A75:AX255,49,FALSE)</f>
        <v>0.60584515333175659</v>
      </c>
      <c r="AZ80" s="133">
        <f>VLOOKUP(A80,'2022_PAPI_Indicators'!A75:AY255,50,FALSE)</f>
        <v>0.71757996082305908</v>
      </c>
      <c r="BA80" s="133">
        <f>VLOOKUP(A80,'2022_PAPI_Indicators'!A75:AZ255,51,FALSE)</f>
        <v>0.56608617305755615</v>
      </c>
      <c r="BB80" s="133">
        <f>VLOOKUP(A80,'2022_PAPI_Indicators'!A75:BA255,52,FALSE)</f>
        <v>0.57544088363647461</v>
      </c>
      <c r="BC80" s="133">
        <f>VLOOKUP(A80,'2022_PAPI_Indicators'!A75:BB255,53,FALSE)</f>
        <v>0.7801281213760376</v>
      </c>
      <c r="BD80" s="133">
        <f>VLOOKUP(A80,'2022_PAPI_Indicators'!A75:BC255,54,FALSE)</f>
        <v>0.63989549875259399</v>
      </c>
      <c r="BE80" s="133">
        <f>VLOOKUP(A80,'2022_PAPI_Indicators'!A75:BD255,55,FALSE)</f>
        <v>0.72708237171173096</v>
      </c>
      <c r="BF80" s="133">
        <f>VLOOKUP(A80,'2022_PAPI_Indicators'!A75:BE255,56,FALSE)</f>
        <v>0.68657976388931274</v>
      </c>
      <c r="BG80" s="133">
        <f>VLOOKUP(A80,'2022_PAPI_Indicators'!A75:BF255,57,FALSE)</f>
        <v>0.61107271909713745</v>
      </c>
      <c r="BH80" s="133">
        <f>VLOOKUP(A80,'2022_PAPI_Indicators'!A75:BG255,58,FALSE)</f>
        <v>0.63019657135009766</v>
      </c>
      <c r="BI80" s="133">
        <f>VLOOKUP(A80,'2022_PAPI_Indicators'!A75:BH255,59,FALSE)</f>
        <v>0.6395951509475708</v>
      </c>
      <c r="BJ80" s="133">
        <f>VLOOKUP(A80,'2022_PAPI_Indicators'!A75:BI255,60,FALSE)</f>
        <v>0.58964771032333374</v>
      </c>
      <c r="BK80" s="133">
        <f>VLOOKUP(A80,'2022_PAPI_Indicators'!A75:BJ255,61,FALSE)</f>
        <v>0.74839234352111816</v>
      </c>
      <c r="BL80" s="133">
        <f>VLOOKUP(A80,'2022_PAPI_Indicators'!A75:BK255,62,FALSE)</f>
        <v>0.72980451583862305</v>
      </c>
      <c r="BM80" s="133">
        <f>VLOOKUP(A80,'2022_PAPI_Indicators'!A75:BL255,63,FALSE)</f>
        <v>0.78036093711853027</v>
      </c>
      <c r="BN80" s="133">
        <f>VLOOKUP(A80,'2022_PAPI_Indicators'!A75:BM255,64,FALSE)</f>
        <v>0.73504513502120972</v>
      </c>
    </row>
    <row r="81" spans="1:66" s="69" customFormat="1" x14ac:dyDescent="0.2">
      <c r="A81" s="70" t="s">
        <v>227</v>
      </c>
      <c r="B81" s="70" t="s">
        <v>228</v>
      </c>
      <c r="C81" s="89" t="s">
        <v>90</v>
      </c>
      <c r="D81" s="133">
        <f>VLOOKUP(A81,'2022_PAPI_Indicators'!A76:B256,2,)</f>
        <v>0.64058476686477661</v>
      </c>
      <c r="E81" s="133">
        <f>VLOOKUP(A81,'2022_PAPI_Indicators'!A76:C256,3,FALSE)</f>
        <v>0.5190269947052002</v>
      </c>
      <c r="F81" s="133">
        <f>VLOOKUP(A81,'2022_PAPI_Indicators'!A76:D256,4,FALSE)</f>
        <v>0.48361742496490479</v>
      </c>
      <c r="G81" s="133">
        <f>VLOOKUP(A81,'2022_PAPI_Indicators'!A76:E256,5,FALSE)</f>
        <v>0.55689632892608643</v>
      </c>
      <c r="H81" s="133">
        <f>VLOOKUP(A81,'2022_PAPI_Indicators'!A76:F256,6,FALSE)</f>
        <v>0.61551129817962646</v>
      </c>
      <c r="I81" s="133">
        <f>VLOOKUP(A81,'2022_PAPI_Indicators'!A76:G256,7,FALSE)</f>
        <v>0.46578842401504517</v>
      </c>
      <c r="J81" s="133">
        <f>VLOOKUP(A81,'2022_PAPI_Indicators'!A76:H256,8,FALSE)</f>
        <v>0.41026318073272705</v>
      </c>
      <c r="K81" s="133">
        <f>VLOOKUP(A81,'2022_PAPI_Indicators'!A76:I256,9,FALSE)</f>
        <v>0.5536036491394043</v>
      </c>
      <c r="L81" s="133">
        <f>VLOOKUP(A81,'2022_PAPI_Indicators'!A76:J256,10,FALSE)</f>
        <v>0.56265819072723389</v>
      </c>
      <c r="M81" s="133">
        <f>VLOOKUP(A81,'2022_PAPI_Indicators'!A76:K256,11,FALSE)</f>
        <v>0.54408389329910278</v>
      </c>
      <c r="N81" s="133">
        <f>VLOOKUP(A81,'2022_PAPI_Indicators'!A76:L256,12,FALSE)</f>
        <v>0.56415790319442749</v>
      </c>
      <c r="O81" s="133">
        <f>VLOOKUP(A81,'2022_PAPI_Indicators'!A76:M256,13,FALSE)</f>
        <v>0.49372810125350952</v>
      </c>
      <c r="P81" s="133">
        <f>VLOOKUP(A81,'2022_PAPI_Indicators'!A76:N256,14,FALSE)</f>
        <v>0.56533849239349365</v>
      </c>
      <c r="Q81" s="133">
        <f>VLOOKUP(A81,'2022_PAPI_Indicators'!A76:O256,15,FALSE)</f>
        <v>0.77506852149963379</v>
      </c>
      <c r="R81" s="135">
        <f>VLOOKUP(A81,'2022_PAPI_Indicators'!A76:P256,16,FALSE)</f>
        <v>0</v>
      </c>
      <c r="S81" s="133">
        <f>VLOOKUP(A81,'2022_PAPI_Indicators'!A76:R256,17,FALSE)</f>
        <v>0.66793489456176758</v>
      </c>
      <c r="T81" s="133">
        <f>VLOOKUP(A81,'2022_PAPI_Indicators'!A76:S256,18,FALSE)</f>
        <v>0.58494549989700317</v>
      </c>
      <c r="U81" s="135">
        <f>VLOOKUP(A81,'2022_PAPI_Indicators'!A76:T256,19,FALSE)</f>
        <v>0</v>
      </c>
      <c r="V81" s="133">
        <f>VLOOKUP(A81,'2022_PAPI_Indicators'!A76:U256,20,FALSE)</f>
        <v>0.53722113370895386</v>
      </c>
      <c r="W81" s="133">
        <f>VLOOKUP(A81,'2022_PAPI_Indicators'!A76:V256,21,FALSE)</f>
        <v>0.5620301365852356</v>
      </c>
      <c r="X81" s="133">
        <f>VLOOKUP(A81,'2022_PAPI_Indicators'!A76:W256,22,FALSE)</f>
        <v>0.61376309394836426</v>
      </c>
      <c r="Y81" s="133">
        <f>VLOOKUP(A81,'2022_PAPI_Indicators'!A76:X256,23,FALSE)</f>
        <v>0.66941028833389282</v>
      </c>
      <c r="Z81" s="133">
        <f>VLOOKUP(A81,'2022_PAPI_Indicators'!A76:Y256,24,FALSE)</f>
        <v>0.67990511655807495</v>
      </c>
      <c r="AA81" s="133">
        <f>VLOOKUP(A81,'2022_PAPI_Indicators'!A76:Z256,25,FALSE)</f>
        <v>0.55302160978317261</v>
      </c>
      <c r="AB81" s="133">
        <f>VLOOKUP(A81,'2022_PAPI_Indicators'!A76:AA256,26,FALSE)</f>
        <v>0.57304531335830688</v>
      </c>
      <c r="AC81" s="133">
        <f>VLOOKUP(A81,'2022_PAPI_Indicators'!A76:AB256,27,FALSE)</f>
        <v>0.69622015953063965</v>
      </c>
      <c r="AD81" s="133">
        <f>VLOOKUP(A81,'2022_PAPI_Indicators'!A76:AC256,28,FALSE)</f>
        <v>0.57588529586791992</v>
      </c>
      <c r="AE81" s="133">
        <f>VLOOKUP(A81,'2022_PAPI_Indicators'!A76:AD256,29,FALSE)</f>
        <v>0.55213218927383423</v>
      </c>
      <c r="AF81" s="133">
        <f>VLOOKUP(A81,'2022_PAPI_Indicators'!A76:AE256,30,FALSE)</f>
        <v>0.69953352212905884</v>
      </c>
      <c r="AG81" s="133">
        <f>VLOOKUP(A81,'2022_PAPI_Indicators'!A76:AF256,31,FALSE)</f>
        <v>0.55660521984100342</v>
      </c>
      <c r="AH81" s="133">
        <f>VLOOKUP(A81,'2022_PAPI_Indicators'!A76:AG256,32,FALSE)</f>
        <v>0.66708368062973022</v>
      </c>
      <c r="AI81" s="133">
        <f>VLOOKUP(A81,'2022_PAPI_Indicators'!A76:AH256,33,FALSE)</f>
        <v>0.54502838850021362</v>
      </c>
      <c r="AJ81" s="133">
        <f>VLOOKUP(A81,'2022_PAPI_Indicators'!A76:AI256,34,FALSE)</f>
        <v>0.51400232315063477</v>
      </c>
      <c r="AK81" s="133">
        <f>VLOOKUP(A81,'2022_PAPI_Indicators'!A76:AJ256,35,FALSE)</f>
        <v>0.53599900007247925</v>
      </c>
      <c r="AL81" s="133">
        <f>VLOOKUP(A81,'2022_PAPI_Indicators'!A76:AK256,36,FALSE)</f>
        <v>0.69288289546966553</v>
      </c>
      <c r="AM81" s="133">
        <f>VLOOKUP(A81,'2022_PAPI_Indicators'!A76:AL256,37,FALSE)</f>
        <v>0.46415328979492188</v>
      </c>
      <c r="AN81" s="133">
        <f>VLOOKUP(A81,'2022_PAPI_Indicators'!A76:AM256,38,FALSE)</f>
        <v>0.59994375705718994</v>
      </c>
      <c r="AO81" s="133">
        <f>VLOOKUP(A81,'2022_PAPI_Indicators'!A76:AN256,39,FALSE)</f>
        <v>0.68181353807449341</v>
      </c>
      <c r="AP81" s="133">
        <f>VLOOKUP(A81,'2022_PAPI_Indicators'!A76:AO256,40,FALSE)</f>
        <v>0.59080666303634644</v>
      </c>
      <c r="AQ81" s="133">
        <f>VLOOKUP(A81,'2022_PAPI_Indicators'!A76:AP256,41,FALSE)</f>
        <v>0.45228719711303711</v>
      </c>
      <c r="AR81" s="133">
        <f>VLOOKUP(A81,'2022_PAPI_Indicators'!A76:AQ256,42,FALSE)</f>
        <v>0.45886814594268799</v>
      </c>
      <c r="AS81" s="133">
        <f>VLOOKUP(A81,'2022_PAPI_Indicators'!A76:AR256,43,FALSE)</f>
        <v>0.51623505353927612</v>
      </c>
      <c r="AT81" s="133">
        <f>VLOOKUP(A81,'2022_PAPI_Indicators'!A76:AS256,44,FALSE)</f>
        <v>0.4565272331237793</v>
      </c>
      <c r="AU81" s="133">
        <f>VLOOKUP(A81,'2022_PAPI_Indicators'!A76:AT256,45,FALSE)</f>
        <v>0.51128119230270386</v>
      </c>
      <c r="AV81" s="133">
        <f>VLOOKUP(A81,'2022_PAPI_Indicators'!A76:AU256,46,FALSE)</f>
        <v>0.46283790469169617</v>
      </c>
      <c r="AW81" s="133">
        <f>VLOOKUP(A81,'2022_PAPI_Indicators'!A76:AV256,47,FALSE)</f>
        <v>0.49074044823646545</v>
      </c>
      <c r="AX81" s="133">
        <f>VLOOKUP(A81,'2022_PAPI_Indicators'!A76:AW256,48,FALSE)</f>
        <v>0.76023519039154053</v>
      </c>
      <c r="AY81" s="133">
        <f>VLOOKUP(A81,'2022_PAPI_Indicators'!A76:AX256,49,FALSE)</f>
        <v>0.50823444128036499</v>
      </c>
      <c r="AZ81" s="133">
        <f>VLOOKUP(A81,'2022_PAPI_Indicators'!A76:AY256,50,FALSE)</f>
        <v>0.61839622259140015</v>
      </c>
      <c r="BA81" s="133">
        <f>VLOOKUP(A81,'2022_PAPI_Indicators'!A76:AZ256,51,FALSE)</f>
        <v>0.51282972097396851</v>
      </c>
      <c r="BB81" s="133">
        <f>VLOOKUP(A81,'2022_PAPI_Indicators'!A76:BA256,52,FALSE)</f>
        <v>0.54397010803222656</v>
      </c>
      <c r="BC81" s="133">
        <f>VLOOKUP(A81,'2022_PAPI_Indicators'!A76:BB256,53,FALSE)</f>
        <v>0.71135592460632324</v>
      </c>
      <c r="BD81" s="133">
        <f>VLOOKUP(A81,'2022_PAPI_Indicators'!A76:BC256,54,FALSE)</f>
        <v>0.55111604928970337</v>
      </c>
      <c r="BE81" s="133">
        <f>VLOOKUP(A81,'2022_PAPI_Indicators'!A76:BD256,55,FALSE)</f>
        <v>0.55505818128585815</v>
      </c>
      <c r="BF81" s="133">
        <f>VLOOKUP(A81,'2022_PAPI_Indicators'!A76:BE256,56,FALSE)</f>
        <v>0.63050246238708496</v>
      </c>
      <c r="BG81" s="133">
        <f>VLOOKUP(A81,'2022_PAPI_Indicators'!A76:BF256,57,FALSE)</f>
        <v>0.58551305532455444</v>
      </c>
      <c r="BH81" s="133">
        <f>VLOOKUP(A81,'2022_PAPI_Indicators'!A76:BG256,58,FALSE)</f>
        <v>0.54900670051574707</v>
      </c>
      <c r="BI81" s="133">
        <f>VLOOKUP(A81,'2022_PAPI_Indicators'!A76:BH256,59,FALSE)</f>
        <v>0.54491829872131348</v>
      </c>
      <c r="BJ81" s="133">
        <f>VLOOKUP(A81,'2022_PAPI_Indicators'!A76:BI256,60,FALSE)</f>
        <v>0.53982841968536377</v>
      </c>
      <c r="BK81" s="133">
        <f>VLOOKUP(A81,'2022_PAPI_Indicators'!A76:BJ256,61,FALSE)</f>
        <v>0.65836066007614136</v>
      </c>
      <c r="BL81" s="133">
        <f>VLOOKUP(A81,'2022_PAPI_Indicators'!A76:BK256,62,FALSE)</f>
        <v>0.71160131692886353</v>
      </c>
      <c r="BM81" s="133">
        <f>VLOOKUP(A81,'2022_PAPI_Indicators'!A76:BL256,63,FALSE)</f>
        <v>0.75112462043762207</v>
      </c>
      <c r="BN81" s="133">
        <f>VLOOKUP(A81,'2022_PAPI_Indicators'!A76:BM256,64,FALSE)</f>
        <v>0.64726823568344116</v>
      </c>
    </row>
    <row r="82" spans="1:66" s="69" customFormat="1" x14ac:dyDescent="0.2">
      <c r="A82" s="70" t="s">
        <v>229</v>
      </c>
      <c r="B82" s="21" t="s">
        <v>237</v>
      </c>
      <c r="C82" s="89" t="s">
        <v>90</v>
      </c>
      <c r="D82" s="133">
        <f>VLOOKUP(A82,'2022_PAPI_Indicators'!A77:B257,2,)</f>
        <v>0.52657407522201538</v>
      </c>
      <c r="E82" s="133">
        <f>VLOOKUP(A82,'2022_PAPI_Indicators'!A77:C257,3,FALSE)</f>
        <v>0.60098457336425781</v>
      </c>
      <c r="F82" s="133">
        <f>VLOOKUP(A82,'2022_PAPI_Indicators'!A77:D257,4,FALSE)</f>
        <v>0.53017556667327881</v>
      </c>
      <c r="G82" s="133">
        <f>VLOOKUP(A82,'2022_PAPI_Indicators'!A77:E257,5,FALSE)</f>
        <v>0.57724148035049438</v>
      </c>
      <c r="H82" s="133">
        <f>VLOOKUP(A82,'2022_PAPI_Indicators'!A77:F257,6,FALSE)</f>
        <v>0.66446602344512939</v>
      </c>
      <c r="I82" s="133">
        <f>VLOOKUP(A82,'2022_PAPI_Indicators'!A77:G257,7,FALSE)</f>
        <v>0.44676929712295532</v>
      </c>
      <c r="J82" s="133">
        <f>VLOOKUP(A82,'2022_PAPI_Indicators'!A77:H257,8,FALSE)</f>
        <v>0.53044736385345459</v>
      </c>
      <c r="K82" s="133">
        <f>VLOOKUP(A82,'2022_PAPI_Indicators'!A77:I257,9,FALSE)</f>
        <v>0.57693958282470703</v>
      </c>
      <c r="L82" s="133">
        <f>VLOOKUP(A82,'2022_PAPI_Indicators'!A77:J257,10,FALSE)</f>
        <v>0.62569308280944824</v>
      </c>
      <c r="M82" s="133">
        <f>VLOOKUP(A82,'2022_PAPI_Indicators'!A77:K257,11,FALSE)</f>
        <v>0.54392307996749878</v>
      </c>
      <c r="N82" s="133">
        <f>VLOOKUP(A82,'2022_PAPI_Indicators'!A77:L257,12,FALSE)</f>
        <v>0.65628159046173096</v>
      </c>
      <c r="O82" s="133">
        <f>VLOOKUP(A82,'2022_PAPI_Indicators'!A77:M257,13,FALSE)</f>
        <v>0.58667564392089844</v>
      </c>
      <c r="P82" s="133">
        <f>VLOOKUP(A82,'2022_PAPI_Indicators'!A77:N257,14,FALSE)</f>
        <v>0.580485999584198</v>
      </c>
      <c r="Q82" s="133">
        <f>VLOOKUP(A82,'2022_PAPI_Indicators'!A77:O257,15,FALSE)</f>
        <v>0.82345312833786011</v>
      </c>
      <c r="R82" s="135">
        <f>VLOOKUP(A82,'2022_PAPI_Indicators'!A77:P257,16,FALSE)</f>
        <v>0</v>
      </c>
      <c r="S82" s="133">
        <f>VLOOKUP(A82,'2022_PAPI_Indicators'!A77:R257,17,FALSE)</f>
        <v>0.67164623737335205</v>
      </c>
      <c r="T82" s="133">
        <f>VLOOKUP(A82,'2022_PAPI_Indicators'!A77:S257,18,FALSE)</f>
        <v>0.62951987981796265</v>
      </c>
      <c r="U82" s="135">
        <f>VLOOKUP(A82,'2022_PAPI_Indicators'!A77:T257,19,FALSE)</f>
        <v>0</v>
      </c>
      <c r="V82" s="133">
        <f>VLOOKUP(A82,'2022_PAPI_Indicators'!A77:U257,20,FALSE)</f>
        <v>0.58429074287414551</v>
      </c>
      <c r="W82" s="133">
        <f>VLOOKUP(A82,'2022_PAPI_Indicators'!A77:V257,21,FALSE)</f>
        <v>0.64160603284835815</v>
      </c>
      <c r="X82" s="133">
        <f>VLOOKUP(A82,'2022_PAPI_Indicators'!A77:W257,22,FALSE)</f>
        <v>0.70294719934463501</v>
      </c>
      <c r="Y82" s="133">
        <f>VLOOKUP(A82,'2022_PAPI_Indicators'!A77:X257,23,FALSE)</f>
        <v>0.70838469266891479</v>
      </c>
      <c r="Z82" s="133">
        <f>VLOOKUP(A82,'2022_PAPI_Indicators'!A77:Y257,24,FALSE)</f>
        <v>0.67681825160980225</v>
      </c>
      <c r="AA82" s="133">
        <f>VLOOKUP(A82,'2022_PAPI_Indicators'!A77:Z257,25,FALSE)</f>
        <v>0.65854811668395996</v>
      </c>
      <c r="AB82" s="133">
        <f>VLOOKUP(A82,'2022_PAPI_Indicators'!A77:AA257,26,FALSE)</f>
        <v>0.56757968664169312</v>
      </c>
      <c r="AC82" s="133">
        <f>VLOOKUP(A82,'2022_PAPI_Indicators'!A77:AB257,27,FALSE)</f>
        <v>0.76180195808410645</v>
      </c>
      <c r="AD82" s="133">
        <f>VLOOKUP(A82,'2022_PAPI_Indicators'!A77:AC257,28,FALSE)</f>
        <v>0.66469317674636841</v>
      </c>
      <c r="AE82" s="133">
        <f>VLOOKUP(A82,'2022_PAPI_Indicators'!A77:AD257,29,FALSE)</f>
        <v>0.69852495193481445</v>
      </c>
      <c r="AF82" s="133">
        <f>VLOOKUP(A82,'2022_PAPI_Indicators'!A77:AE257,30,FALSE)</f>
        <v>0.72170388698577881</v>
      </c>
      <c r="AG82" s="133">
        <f>VLOOKUP(A82,'2022_PAPI_Indicators'!A77:AF257,31,FALSE)</f>
        <v>0.62294065952301025</v>
      </c>
      <c r="AH82" s="133">
        <f>VLOOKUP(A82,'2022_PAPI_Indicators'!A77:AG257,32,FALSE)</f>
        <v>0.67266517877578735</v>
      </c>
      <c r="AI82" s="133">
        <f>VLOOKUP(A82,'2022_PAPI_Indicators'!A77:AH257,33,FALSE)</f>
        <v>0.53277075290679932</v>
      </c>
      <c r="AJ82" s="133">
        <f>VLOOKUP(A82,'2022_PAPI_Indicators'!A77:AI257,34,FALSE)</f>
        <v>0.52469313144683838</v>
      </c>
      <c r="AK82" s="133">
        <f>VLOOKUP(A82,'2022_PAPI_Indicators'!A77:AJ257,35,FALSE)</f>
        <v>0.65255904197692871</v>
      </c>
      <c r="AL82" s="133">
        <f>VLOOKUP(A82,'2022_PAPI_Indicators'!A77:AK257,36,FALSE)</f>
        <v>0.71882551908493042</v>
      </c>
      <c r="AM82" s="133">
        <f>VLOOKUP(A82,'2022_PAPI_Indicators'!A77:AL257,37,FALSE)</f>
        <v>0.52450627088546753</v>
      </c>
      <c r="AN82" s="133">
        <f>VLOOKUP(A82,'2022_PAPI_Indicators'!A77:AM257,38,FALSE)</f>
        <v>0.60205674171447754</v>
      </c>
      <c r="AO82" s="133">
        <f>VLOOKUP(A82,'2022_PAPI_Indicators'!A77:AN257,39,FALSE)</f>
        <v>0.71280741691589355</v>
      </c>
      <c r="AP82" s="133">
        <f>VLOOKUP(A82,'2022_PAPI_Indicators'!A77:AO257,40,FALSE)</f>
        <v>0.62137758731842041</v>
      </c>
      <c r="AQ82" s="133">
        <f>VLOOKUP(A82,'2022_PAPI_Indicators'!A77:AP257,41,FALSE)</f>
        <v>0.5393221378326416</v>
      </c>
      <c r="AR82" s="133">
        <f>VLOOKUP(A82,'2022_PAPI_Indicators'!A77:AQ257,42,FALSE)</f>
        <v>0.484375</v>
      </c>
      <c r="AS82" s="133">
        <f>VLOOKUP(A82,'2022_PAPI_Indicators'!A77:AR257,43,FALSE)</f>
        <v>0.57013148069381714</v>
      </c>
      <c r="AT82" s="133">
        <f>VLOOKUP(A82,'2022_PAPI_Indicators'!A77:AS257,44,FALSE)</f>
        <v>0.50598937273025513</v>
      </c>
      <c r="AU82" s="133">
        <f>VLOOKUP(A82,'2022_PAPI_Indicators'!A77:AT257,45,FALSE)</f>
        <v>0.58738750219345093</v>
      </c>
      <c r="AV82" s="133">
        <f>VLOOKUP(A82,'2022_PAPI_Indicators'!A77:AU257,46,FALSE)</f>
        <v>0.52901840209960938</v>
      </c>
      <c r="AW82" s="133">
        <f>VLOOKUP(A82,'2022_PAPI_Indicators'!A77:AV257,47,FALSE)</f>
        <v>0.52242761850357056</v>
      </c>
      <c r="AX82" s="133">
        <f>VLOOKUP(A82,'2022_PAPI_Indicators'!A77:AW257,48,FALSE)</f>
        <v>0.71726334095001221</v>
      </c>
      <c r="AY82" s="133">
        <f>VLOOKUP(A82,'2022_PAPI_Indicators'!A77:AX257,49,FALSE)</f>
        <v>0.48868504166603088</v>
      </c>
      <c r="AZ82" s="133">
        <f>VLOOKUP(A82,'2022_PAPI_Indicators'!A77:AY257,50,FALSE)</f>
        <v>0.64209574460983276</v>
      </c>
      <c r="BA82" s="133">
        <f>VLOOKUP(A82,'2022_PAPI_Indicators'!A77:AZ257,51,FALSE)</f>
        <v>0.46981650590896606</v>
      </c>
      <c r="BB82" s="133">
        <f>VLOOKUP(A82,'2022_PAPI_Indicators'!A77:BA257,52,FALSE)</f>
        <v>0.48258340358734131</v>
      </c>
      <c r="BC82" s="133">
        <f>VLOOKUP(A82,'2022_PAPI_Indicators'!A77:BB257,53,FALSE)</f>
        <v>0.74613267183303833</v>
      </c>
      <c r="BD82" s="133">
        <f>VLOOKUP(A82,'2022_PAPI_Indicators'!A77:BC257,54,FALSE)</f>
        <v>0.57437855005264282</v>
      </c>
      <c r="BE82" s="133">
        <f>VLOOKUP(A82,'2022_PAPI_Indicators'!A77:BD257,55,FALSE)</f>
        <v>0.55416285991668701</v>
      </c>
      <c r="BF82" s="133">
        <f>VLOOKUP(A82,'2022_PAPI_Indicators'!A77:BE257,56,FALSE)</f>
        <v>0.57808727025985718</v>
      </c>
      <c r="BG82" s="133">
        <f>VLOOKUP(A82,'2022_PAPI_Indicators'!A77:BF257,57,FALSE)</f>
        <v>0.56759309768676758</v>
      </c>
      <c r="BH82" s="133">
        <f>VLOOKUP(A82,'2022_PAPI_Indicators'!A77:BG257,58,FALSE)</f>
        <v>0.56732690334320068</v>
      </c>
      <c r="BI82" s="133">
        <f>VLOOKUP(A82,'2022_PAPI_Indicators'!A77:BH257,59,FALSE)</f>
        <v>0.53901958465576172</v>
      </c>
      <c r="BJ82" s="133">
        <f>VLOOKUP(A82,'2022_PAPI_Indicators'!A77:BI257,60,FALSE)</f>
        <v>0.56025087833404541</v>
      </c>
      <c r="BK82" s="133">
        <f>VLOOKUP(A82,'2022_PAPI_Indicators'!A77:BJ257,61,FALSE)</f>
        <v>0.63987100124359131</v>
      </c>
      <c r="BL82" s="133">
        <f>VLOOKUP(A82,'2022_PAPI_Indicators'!A77:BK257,62,FALSE)</f>
        <v>0.75125521421432495</v>
      </c>
      <c r="BM82" s="133">
        <f>VLOOKUP(A82,'2022_PAPI_Indicators'!A77:BL257,63,FALSE)</f>
        <v>0.71638429164886475</v>
      </c>
      <c r="BN82" s="133">
        <f>VLOOKUP(A82,'2022_PAPI_Indicators'!A77:BM257,64,FALSE)</f>
        <v>0.64357054233551025</v>
      </c>
    </row>
    <row r="83" spans="1:66" s="69" customFormat="1" x14ac:dyDescent="0.2">
      <c r="A83" s="70" t="s">
        <v>231</v>
      </c>
      <c r="B83" s="21" t="s">
        <v>232</v>
      </c>
      <c r="C83" s="89" t="s">
        <v>90</v>
      </c>
      <c r="D83" s="133">
        <f>VLOOKUP(A83,'2022_PAPI_Indicators'!A78:B258,2,)</f>
        <v>0.34019634127616882</v>
      </c>
      <c r="E83" s="133">
        <f>VLOOKUP(A83,'2022_PAPI_Indicators'!A78:C258,3,FALSE)</f>
        <v>0.31725892424583435</v>
      </c>
      <c r="F83" s="133">
        <f>VLOOKUP(A83,'2022_PAPI_Indicators'!A78:D258,4,FALSE)</f>
        <v>0.31542125344276428</v>
      </c>
      <c r="G83" s="133">
        <f>VLOOKUP(A83,'2022_PAPI_Indicators'!A78:E258,5,FALSE)</f>
        <v>0.38556975126266479</v>
      </c>
      <c r="H83" s="133">
        <f>VLOOKUP(A83,'2022_PAPI_Indicators'!A78:F258,6,FALSE)</f>
        <v>0.37403756380081177</v>
      </c>
      <c r="I83" s="133">
        <f>VLOOKUP(A83,'2022_PAPI_Indicators'!A78:G258,7,FALSE)</f>
        <v>0.39094477891921997</v>
      </c>
      <c r="J83" s="133">
        <f>VLOOKUP(A83,'2022_PAPI_Indicators'!A78:H258,8,FALSE)</f>
        <v>0.36499345302581787</v>
      </c>
      <c r="K83" s="133">
        <f>VLOOKUP(A83,'2022_PAPI_Indicators'!A78:I258,9,FALSE)</f>
        <v>0.29107442498207092</v>
      </c>
      <c r="L83" s="133">
        <f>VLOOKUP(A83,'2022_PAPI_Indicators'!A78:J258,10,FALSE)</f>
        <v>0.32012417912483215</v>
      </c>
      <c r="M83" s="133">
        <f>VLOOKUP(A83,'2022_PAPI_Indicators'!A78:K258,11,FALSE)</f>
        <v>0.42606613039970398</v>
      </c>
      <c r="N83" s="133">
        <f>VLOOKUP(A83,'2022_PAPI_Indicators'!A78:L258,12,FALSE)</f>
        <v>0.27946609258651733</v>
      </c>
      <c r="O83" s="133">
        <f>VLOOKUP(A83,'2022_PAPI_Indicators'!A78:M258,13,FALSE)</f>
        <v>0.39289823174476624</v>
      </c>
      <c r="P83" s="133">
        <f>VLOOKUP(A83,'2022_PAPI_Indicators'!A78:N258,14,FALSE)</f>
        <v>0.33538484573364258</v>
      </c>
      <c r="Q83" s="133">
        <f>VLOOKUP(A83,'2022_PAPI_Indicators'!A78:O258,15,FALSE)</f>
        <v>0.35346230864524841</v>
      </c>
      <c r="R83" s="135">
        <f>VLOOKUP(A83,'2022_PAPI_Indicators'!A78:P258,16,FALSE)</f>
        <v>0</v>
      </c>
      <c r="S83" s="133">
        <f>VLOOKUP(A83,'2022_PAPI_Indicators'!A78:R258,17,FALSE)</f>
        <v>0.35094395279884338</v>
      </c>
      <c r="T83" s="133">
        <f>VLOOKUP(A83,'2022_PAPI_Indicators'!A78:S258,18,FALSE)</f>
        <v>0.25822407007217407</v>
      </c>
      <c r="U83" s="135">
        <f>VLOOKUP(A83,'2022_PAPI_Indicators'!A78:T258,19,FALSE)</f>
        <v>0</v>
      </c>
      <c r="V83" s="133">
        <f>VLOOKUP(A83,'2022_PAPI_Indicators'!A78:U258,20,FALSE)</f>
        <v>0.25894588232040405</v>
      </c>
      <c r="W83" s="133">
        <f>VLOOKUP(A83,'2022_PAPI_Indicators'!A78:V258,21,FALSE)</f>
        <v>0.34540298581123352</v>
      </c>
      <c r="X83" s="133">
        <f>VLOOKUP(A83,'2022_PAPI_Indicators'!A78:W258,22,FALSE)</f>
        <v>0.39805701375007629</v>
      </c>
      <c r="Y83" s="133">
        <f>VLOOKUP(A83,'2022_PAPI_Indicators'!A78:X258,23,FALSE)</f>
        <v>0.32790854573249817</v>
      </c>
      <c r="Z83" s="133">
        <f>VLOOKUP(A83,'2022_PAPI_Indicators'!A78:Y258,24,FALSE)</f>
        <v>0.26957538723945618</v>
      </c>
      <c r="AA83" s="133">
        <f>VLOOKUP(A83,'2022_PAPI_Indicators'!A78:Z258,25,FALSE)</f>
        <v>0.32642066478729248</v>
      </c>
      <c r="AB83" s="133">
        <f>VLOOKUP(A83,'2022_PAPI_Indicators'!A78:AA258,26,FALSE)</f>
        <v>0.31944456696510315</v>
      </c>
      <c r="AC83" s="133">
        <f>VLOOKUP(A83,'2022_PAPI_Indicators'!A78:AB258,27,FALSE)</f>
        <v>0.3726533055305481</v>
      </c>
      <c r="AD83" s="133">
        <f>VLOOKUP(A83,'2022_PAPI_Indicators'!A78:AC258,28,FALSE)</f>
        <v>0.28101447224617004</v>
      </c>
      <c r="AE83" s="133">
        <f>VLOOKUP(A83,'2022_PAPI_Indicators'!A78:AD258,29,FALSE)</f>
        <v>0.40887859463691711</v>
      </c>
      <c r="AF83" s="133">
        <f>VLOOKUP(A83,'2022_PAPI_Indicators'!A78:AE258,30,FALSE)</f>
        <v>0.23236106336116791</v>
      </c>
      <c r="AG83" s="133">
        <f>VLOOKUP(A83,'2022_PAPI_Indicators'!A78:AF258,31,FALSE)</f>
        <v>0.18032674491405487</v>
      </c>
      <c r="AH83" s="133">
        <f>VLOOKUP(A83,'2022_PAPI_Indicators'!A78:AG258,32,FALSE)</f>
        <v>0.28686907887458801</v>
      </c>
      <c r="AI83" s="133">
        <f>VLOOKUP(A83,'2022_PAPI_Indicators'!A78:AH258,33,FALSE)</f>
        <v>0.28847584128379822</v>
      </c>
      <c r="AJ83" s="133">
        <f>VLOOKUP(A83,'2022_PAPI_Indicators'!A78:AI258,34,FALSE)</f>
        <v>0.18223181366920471</v>
      </c>
      <c r="AK83" s="133">
        <f>VLOOKUP(A83,'2022_PAPI_Indicators'!A78:AJ258,35,FALSE)</f>
        <v>0.30840715765953064</v>
      </c>
      <c r="AL83" s="133">
        <f>VLOOKUP(A83,'2022_PAPI_Indicators'!A78:AK258,36,FALSE)</f>
        <v>0.18924908339977264</v>
      </c>
      <c r="AM83" s="133">
        <f>VLOOKUP(A83,'2022_PAPI_Indicators'!A78:AL258,37,FALSE)</f>
        <v>0.2248789370059967</v>
      </c>
      <c r="AN83" s="133">
        <f>VLOOKUP(A83,'2022_PAPI_Indicators'!A78:AM258,38,FALSE)</f>
        <v>0.27674293518066406</v>
      </c>
      <c r="AO83" s="133">
        <f>VLOOKUP(A83,'2022_PAPI_Indicators'!A78:AN258,39,FALSE)</f>
        <v>0.28705817461013794</v>
      </c>
      <c r="AP83" s="133">
        <f>VLOOKUP(A83,'2022_PAPI_Indicators'!A78:AO258,40,FALSE)</f>
        <v>0.31521844863891602</v>
      </c>
      <c r="AQ83" s="133">
        <f>VLOOKUP(A83,'2022_PAPI_Indicators'!A78:AP258,41,FALSE)</f>
        <v>0.24050714075565338</v>
      </c>
      <c r="AR83" s="133">
        <f>VLOOKUP(A83,'2022_PAPI_Indicators'!A78:AQ258,42,FALSE)</f>
        <v>0.22153724730014801</v>
      </c>
      <c r="AS83" s="133">
        <f>VLOOKUP(A83,'2022_PAPI_Indicators'!A78:AR258,43,FALSE)</f>
        <v>0.27291774749755859</v>
      </c>
      <c r="AT83" s="133">
        <f>VLOOKUP(A83,'2022_PAPI_Indicators'!A78:AS258,44,FALSE)</f>
        <v>0.27278193831443787</v>
      </c>
      <c r="AU83" s="133">
        <f>VLOOKUP(A83,'2022_PAPI_Indicators'!A78:AT258,45,FALSE)</f>
        <v>0.24620276689529419</v>
      </c>
      <c r="AV83" s="133">
        <f>VLOOKUP(A83,'2022_PAPI_Indicators'!A78:AU258,46,FALSE)</f>
        <v>0.28353479504585266</v>
      </c>
      <c r="AW83" s="133">
        <f>VLOOKUP(A83,'2022_PAPI_Indicators'!A78:AV258,47,FALSE)</f>
        <v>0.18313729763031006</v>
      </c>
      <c r="AX83" s="133">
        <f>VLOOKUP(A83,'2022_PAPI_Indicators'!A78:AW258,48,FALSE)</f>
        <v>0.3503284752368927</v>
      </c>
      <c r="AY83" s="133">
        <f>VLOOKUP(A83,'2022_PAPI_Indicators'!A78:AX258,49,FALSE)</f>
        <v>0.25838044285774231</v>
      </c>
      <c r="AZ83" s="133">
        <f>VLOOKUP(A83,'2022_PAPI_Indicators'!A78:AY258,50,FALSE)</f>
        <v>0.28439450263977051</v>
      </c>
      <c r="BA83" s="133">
        <f>VLOOKUP(A83,'2022_PAPI_Indicators'!A78:AZ258,51,FALSE)</f>
        <v>0.24314211308956146</v>
      </c>
      <c r="BB83" s="133">
        <f>VLOOKUP(A83,'2022_PAPI_Indicators'!A78:BA258,52,FALSE)</f>
        <v>0.26631978154182434</v>
      </c>
      <c r="BC83" s="133">
        <f>VLOOKUP(A83,'2022_PAPI_Indicators'!A78:BB258,53,FALSE)</f>
        <v>0.16969411075115204</v>
      </c>
      <c r="BD83" s="133">
        <f>VLOOKUP(A83,'2022_PAPI_Indicators'!A78:BC258,54,FALSE)</f>
        <v>0.21874569356441498</v>
      </c>
      <c r="BE83" s="133">
        <f>VLOOKUP(A83,'2022_PAPI_Indicators'!A78:BD258,55,FALSE)</f>
        <v>0.19428722560405731</v>
      </c>
      <c r="BF83" s="133">
        <f>VLOOKUP(A83,'2022_PAPI_Indicators'!A78:BE258,56,FALSE)</f>
        <v>0.2721656858921051</v>
      </c>
      <c r="BG83" s="133">
        <f>VLOOKUP(A83,'2022_PAPI_Indicators'!A78:BF258,57,FALSE)</f>
        <v>0.24660462141036987</v>
      </c>
      <c r="BH83" s="133">
        <f>VLOOKUP(A83,'2022_PAPI_Indicators'!A78:BG258,58,FALSE)</f>
        <v>0.15247620642185211</v>
      </c>
      <c r="BI83" s="133">
        <f>VLOOKUP(A83,'2022_PAPI_Indicators'!A78:BH258,59,FALSE)</f>
        <v>0.18768879771232605</v>
      </c>
      <c r="BJ83" s="133">
        <f>VLOOKUP(A83,'2022_PAPI_Indicators'!A78:BI258,60,FALSE)</f>
        <v>0.2010820209980011</v>
      </c>
      <c r="BK83" s="133">
        <f>VLOOKUP(A83,'2022_PAPI_Indicators'!A78:BJ258,61,FALSE)</f>
        <v>0.18086747825145721</v>
      </c>
      <c r="BL83" s="133">
        <f>VLOOKUP(A83,'2022_PAPI_Indicators'!A78:BK258,62,FALSE)</f>
        <v>0.19575899839401245</v>
      </c>
      <c r="BM83" s="133">
        <f>VLOOKUP(A83,'2022_PAPI_Indicators'!A78:BL258,63,FALSE)</f>
        <v>0.28911975026130676</v>
      </c>
      <c r="BN83" s="133">
        <f>VLOOKUP(A83,'2022_PAPI_Indicators'!A78:BM258,64,FALSE)</f>
        <v>0.151466965675354</v>
      </c>
    </row>
    <row r="84" spans="1:66" s="69" customFormat="1" x14ac:dyDescent="0.2">
      <c r="A84" s="70" t="s">
        <v>233</v>
      </c>
      <c r="B84" s="21" t="s">
        <v>230</v>
      </c>
      <c r="C84" s="89" t="s">
        <v>90</v>
      </c>
      <c r="D84" s="133">
        <f>VLOOKUP(A84,'2022_PAPI_Indicators'!A79:B259,2,)</f>
        <v>0.16240237653255463</v>
      </c>
      <c r="E84" s="133">
        <f>VLOOKUP(A84,'2022_PAPI_Indicators'!A79:C259,3,FALSE)</f>
        <v>0.23425203561782837</v>
      </c>
      <c r="F84" s="133">
        <f>VLOOKUP(A84,'2022_PAPI_Indicators'!A79:D259,4,FALSE)</f>
        <v>0.21899761259555817</v>
      </c>
      <c r="G84" s="133">
        <f>VLOOKUP(A84,'2022_PAPI_Indicators'!A79:E259,5,FALSE)</f>
        <v>0.2023918479681015</v>
      </c>
      <c r="H84" s="133">
        <f>VLOOKUP(A84,'2022_PAPI_Indicators'!A79:F259,6,FALSE)</f>
        <v>0.1727173924446106</v>
      </c>
      <c r="I84" s="133">
        <f>VLOOKUP(A84,'2022_PAPI_Indicators'!A79:G259,7,FALSE)</f>
        <v>0.25945934653282166</v>
      </c>
      <c r="J84" s="133">
        <f>VLOOKUP(A84,'2022_PAPI_Indicators'!A79:H259,8,FALSE)</f>
        <v>0.25339800119400024</v>
      </c>
      <c r="K84" s="133">
        <f>VLOOKUP(A84,'2022_PAPI_Indicators'!A79:I259,9,FALSE)</f>
        <v>0.19166167080402374</v>
      </c>
      <c r="L84" s="133">
        <f>VLOOKUP(A84,'2022_PAPI_Indicators'!A79:J259,10,FALSE)</f>
        <v>0.234375</v>
      </c>
      <c r="M84" s="133">
        <f>VLOOKUP(A84,'2022_PAPI_Indicators'!A79:K259,11,FALSE)</f>
        <v>0.2938709557056427</v>
      </c>
      <c r="N84" s="133">
        <f>VLOOKUP(A84,'2022_PAPI_Indicators'!A79:L259,12,FALSE)</f>
        <v>0.14999055862426758</v>
      </c>
      <c r="O84" s="133">
        <f>VLOOKUP(A84,'2022_PAPI_Indicators'!A79:M259,13,FALSE)</f>
        <v>0.14334040880203247</v>
      </c>
      <c r="P84" s="133">
        <f>VLOOKUP(A84,'2022_PAPI_Indicators'!A79:N259,14,FALSE)</f>
        <v>0.25442132353782654</v>
      </c>
      <c r="Q84" s="133">
        <f>VLOOKUP(A84,'2022_PAPI_Indicators'!A79:O259,15,FALSE)</f>
        <v>0.17192955315113068</v>
      </c>
      <c r="R84" s="135">
        <f>VLOOKUP(A84,'2022_PAPI_Indicators'!A79:P259,16,FALSE)</f>
        <v>0</v>
      </c>
      <c r="S84" s="133">
        <f>VLOOKUP(A84,'2022_PAPI_Indicators'!A79:R259,17,FALSE)</f>
        <v>0.17929768562316895</v>
      </c>
      <c r="T84" s="133">
        <f>VLOOKUP(A84,'2022_PAPI_Indicators'!A79:S259,18,FALSE)</f>
        <v>0.16526271402835846</v>
      </c>
      <c r="U84" s="135">
        <f>VLOOKUP(A84,'2022_PAPI_Indicators'!A79:T259,19,FALSE)</f>
        <v>0</v>
      </c>
      <c r="V84" s="133">
        <f>VLOOKUP(A84,'2022_PAPI_Indicators'!A79:U259,20,FALSE)</f>
        <v>0.20879831910133362</v>
      </c>
      <c r="W84" s="133">
        <f>VLOOKUP(A84,'2022_PAPI_Indicators'!A79:V259,21,FALSE)</f>
        <v>0.20651456713676453</v>
      </c>
      <c r="X84" s="133">
        <f>VLOOKUP(A84,'2022_PAPI_Indicators'!A79:W259,22,FALSE)</f>
        <v>0.20675210654735565</v>
      </c>
      <c r="Y84" s="133">
        <f>VLOOKUP(A84,'2022_PAPI_Indicators'!A79:X259,23,FALSE)</f>
        <v>0.17756088078022003</v>
      </c>
      <c r="Z84" s="133">
        <f>VLOOKUP(A84,'2022_PAPI_Indicators'!A79:Y259,24,FALSE)</f>
        <v>0.22240625321865082</v>
      </c>
      <c r="AA84" s="133">
        <f>VLOOKUP(A84,'2022_PAPI_Indicators'!A79:Z259,25,FALSE)</f>
        <v>0.20816107094287872</v>
      </c>
      <c r="AB84" s="133">
        <f>VLOOKUP(A84,'2022_PAPI_Indicators'!A79:AA259,26,FALSE)</f>
        <v>0.17116774618625641</v>
      </c>
      <c r="AC84" s="133">
        <f>VLOOKUP(A84,'2022_PAPI_Indicators'!A79:AB259,27,FALSE)</f>
        <v>0.22108884155750275</v>
      </c>
      <c r="AD84" s="133">
        <f>VLOOKUP(A84,'2022_PAPI_Indicators'!A79:AC259,28,FALSE)</f>
        <v>0.2533644437789917</v>
      </c>
      <c r="AE84" s="133">
        <f>VLOOKUP(A84,'2022_PAPI_Indicators'!A79:AD259,29,FALSE)</f>
        <v>0.23174642026424408</v>
      </c>
      <c r="AF84" s="133">
        <f>VLOOKUP(A84,'2022_PAPI_Indicators'!A79:AE259,30,FALSE)</f>
        <v>0.24509942531585693</v>
      </c>
      <c r="AG84" s="133">
        <f>VLOOKUP(A84,'2022_PAPI_Indicators'!A79:AF259,31,FALSE)</f>
        <v>0.21541216969490051</v>
      </c>
      <c r="AH84" s="133">
        <f>VLOOKUP(A84,'2022_PAPI_Indicators'!A79:AG259,32,FALSE)</f>
        <v>0.19010730087757111</v>
      </c>
      <c r="AI84" s="133">
        <f>VLOOKUP(A84,'2022_PAPI_Indicators'!A79:AH259,33,FALSE)</f>
        <v>0.18457785248756409</v>
      </c>
      <c r="AJ84" s="133">
        <f>VLOOKUP(A84,'2022_PAPI_Indicators'!A79:AI259,34,FALSE)</f>
        <v>0.21582287549972534</v>
      </c>
      <c r="AK84" s="133">
        <f>VLOOKUP(A84,'2022_PAPI_Indicators'!A79:AJ259,35,FALSE)</f>
        <v>0.19310203194618225</v>
      </c>
      <c r="AL84" s="133">
        <f>VLOOKUP(A84,'2022_PAPI_Indicators'!A79:AK259,36,FALSE)</f>
        <v>0.16559521853923798</v>
      </c>
      <c r="AM84" s="133">
        <f>VLOOKUP(A84,'2022_PAPI_Indicators'!A79:AL259,37,FALSE)</f>
        <v>0.18106842041015625</v>
      </c>
      <c r="AN84" s="133">
        <f>VLOOKUP(A84,'2022_PAPI_Indicators'!A79:AM259,38,FALSE)</f>
        <v>0.21227510273456573</v>
      </c>
      <c r="AO84" s="133">
        <f>VLOOKUP(A84,'2022_PAPI_Indicators'!A79:AN259,39,FALSE)</f>
        <v>0.2649846076965332</v>
      </c>
      <c r="AP84" s="133">
        <f>VLOOKUP(A84,'2022_PAPI_Indicators'!A79:AO259,40,FALSE)</f>
        <v>0.21580666303634644</v>
      </c>
      <c r="AQ84" s="133">
        <f>VLOOKUP(A84,'2022_PAPI_Indicators'!A79:AP259,41,FALSE)</f>
        <v>0.24432338774204254</v>
      </c>
      <c r="AR84" s="133">
        <f>VLOOKUP(A84,'2022_PAPI_Indicators'!A79:AQ259,42,FALSE)</f>
        <v>0.13783775269985199</v>
      </c>
      <c r="AS84" s="133">
        <f>VLOOKUP(A84,'2022_PAPI_Indicators'!A79:AR259,43,FALSE)</f>
        <v>0.23036700487136841</v>
      </c>
      <c r="AT84" s="133">
        <f>VLOOKUP(A84,'2022_PAPI_Indicators'!A79:AS259,44,FALSE)</f>
        <v>0.20184047520160675</v>
      </c>
      <c r="AU84" s="133">
        <f>VLOOKUP(A84,'2022_PAPI_Indicators'!A79:AT259,45,FALSE)</f>
        <v>0.22966635227203369</v>
      </c>
      <c r="AV84" s="133">
        <f>VLOOKUP(A84,'2022_PAPI_Indicators'!A79:AU259,46,FALSE)</f>
        <v>0.34334978461265564</v>
      </c>
      <c r="AW84" s="133">
        <f>VLOOKUP(A84,'2022_PAPI_Indicators'!A79:AV259,47,FALSE)</f>
        <v>0.19511817395687103</v>
      </c>
      <c r="AX84" s="133">
        <f>VLOOKUP(A84,'2022_PAPI_Indicators'!A79:AW259,48,FALSE)</f>
        <v>0.18611851334571838</v>
      </c>
      <c r="AY84" s="133">
        <f>VLOOKUP(A84,'2022_PAPI_Indicators'!A79:AX259,49,FALSE)</f>
        <v>0.22654558718204498</v>
      </c>
      <c r="AZ84" s="133">
        <f>VLOOKUP(A84,'2022_PAPI_Indicators'!A79:AY259,50,FALSE)</f>
        <v>0.19189064204692841</v>
      </c>
      <c r="BA84" s="133">
        <f>VLOOKUP(A84,'2022_PAPI_Indicators'!A79:AZ259,51,FALSE)</f>
        <v>0.14089569449424744</v>
      </c>
      <c r="BB84" s="133">
        <f>VLOOKUP(A84,'2022_PAPI_Indicators'!A79:BA259,52,FALSE)</f>
        <v>0.25208312273025513</v>
      </c>
      <c r="BC84" s="133">
        <f>VLOOKUP(A84,'2022_PAPI_Indicators'!A79:BB259,53,FALSE)</f>
        <v>0.2453513890504837</v>
      </c>
      <c r="BD84" s="133">
        <f>VLOOKUP(A84,'2022_PAPI_Indicators'!A79:BC259,54,FALSE)</f>
        <v>0.19840981066226959</v>
      </c>
      <c r="BE84" s="133">
        <f>VLOOKUP(A84,'2022_PAPI_Indicators'!A79:BD259,55,FALSE)</f>
        <v>0.28124520182609558</v>
      </c>
      <c r="BF84" s="133">
        <f>VLOOKUP(A84,'2022_PAPI_Indicators'!A79:BE259,56,FALSE)</f>
        <v>0.2397548109292984</v>
      </c>
      <c r="BG84" s="133">
        <f>VLOOKUP(A84,'2022_PAPI_Indicators'!A79:BF259,57,FALSE)</f>
        <v>0.30426308512687683</v>
      </c>
      <c r="BH84" s="133">
        <f>VLOOKUP(A84,'2022_PAPI_Indicators'!A79:BG259,58,FALSE)</f>
        <v>0.30990415811538696</v>
      </c>
      <c r="BI84" s="133">
        <f>VLOOKUP(A84,'2022_PAPI_Indicators'!A79:BH259,59,FALSE)</f>
        <v>0.27162668108940125</v>
      </c>
      <c r="BJ84" s="133">
        <f>VLOOKUP(A84,'2022_PAPI_Indicators'!A79:BI259,60,FALSE)</f>
        <v>0.23634423315525055</v>
      </c>
      <c r="BK84" s="133">
        <f>VLOOKUP(A84,'2022_PAPI_Indicators'!A79:BJ259,61,FALSE)</f>
        <v>0.26607686281204224</v>
      </c>
      <c r="BL84" s="133">
        <f>VLOOKUP(A84,'2022_PAPI_Indicators'!A79:BK259,62,FALSE)</f>
        <v>0.36701741814613342</v>
      </c>
      <c r="BM84" s="133">
        <f>VLOOKUP(A84,'2022_PAPI_Indicators'!A79:BL259,63,FALSE)</f>
        <v>0.30129963159561157</v>
      </c>
      <c r="BN84" s="133">
        <f>VLOOKUP(A84,'2022_PAPI_Indicators'!A79:BM259,64,FALSE)</f>
        <v>0.30220827460289001</v>
      </c>
    </row>
    <row r="85" spans="1:66" s="112" customFormat="1" x14ac:dyDescent="0.2">
      <c r="A85" s="77" t="s">
        <v>234</v>
      </c>
      <c r="B85" s="77" t="s">
        <v>235</v>
      </c>
      <c r="C85" s="92" t="s">
        <v>448</v>
      </c>
      <c r="D85" s="131">
        <f>VLOOKUP(A85,'2022_PAPI_Indicators'!A80:B260,2,)</f>
        <v>1.9721122980117798</v>
      </c>
      <c r="E85" s="131">
        <f>VLOOKUP(A85,'2022_PAPI_Indicators'!A80:C260,3,FALSE)</f>
        <v>2.0222949981689453</v>
      </c>
      <c r="F85" s="131">
        <f>VLOOKUP(A85,'2022_PAPI_Indicators'!A80:D260,4,FALSE)</f>
        <v>1.8232070207595825</v>
      </c>
      <c r="G85" s="131">
        <f>VLOOKUP(A85,'2022_PAPI_Indicators'!A80:E260,5,FALSE)</f>
        <v>1.9934008121490479</v>
      </c>
      <c r="H85" s="131">
        <f>VLOOKUP(A85,'2022_PAPI_Indicators'!A80:F260,6,FALSE)</f>
        <v>2.0433163642883301</v>
      </c>
      <c r="I85" s="131">
        <f>VLOOKUP(A85,'2022_PAPI_Indicators'!A80:G260,7,FALSE)</f>
        <v>1.7569867372512817</v>
      </c>
      <c r="J85" s="131">
        <f>VLOOKUP(A85,'2022_PAPI_Indicators'!A80:H260,8,FALSE)</f>
        <v>1.7763068675994873</v>
      </c>
      <c r="K85" s="131">
        <f>VLOOKUP(A85,'2022_PAPI_Indicators'!A80:I260,9,FALSE)</f>
        <v>1.8683273792266846</v>
      </c>
      <c r="L85" s="131">
        <f>VLOOKUP(A85,'2022_PAPI_Indicators'!A80:J260,10,FALSE)</f>
        <v>1.996732234954834</v>
      </c>
      <c r="M85" s="131">
        <f>VLOOKUP(A85,'2022_PAPI_Indicators'!A80:K260,11,FALSE)</f>
        <v>1.963447093963623</v>
      </c>
      <c r="N85" s="131">
        <f>VLOOKUP(A85,'2022_PAPI_Indicators'!A80:L260,12,FALSE)</f>
        <v>1.9701967239379883</v>
      </c>
      <c r="O85" s="131">
        <f>VLOOKUP(A85,'2022_PAPI_Indicators'!A80:M260,13,FALSE)</f>
        <v>1.9665869474411011</v>
      </c>
      <c r="P85" s="131">
        <f>VLOOKUP(A85,'2022_PAPI_Indicators'!A80:N260,14,FALSE)</f>
        <v>2.0346786975860596</v>
      </c>
      <c r="Q85" s="131">
        <f>VLOOKUP(A85,'2022_PAPI_Indicators'!A80:O260,15,FALSE)</f>
        <v>2.31551194190979</v>
      </c>
      <c r="R85" s="132">
        <f>VLOOKUP(A85,'2022_PAPI_Indicators'!A80:P260,16,FALSE)</f>
        <v>0</v>
      </c>
      <c r="S85" s="131">
        <f>VLOOKUP(A85,'2022_PAPI_Indicators'!A80:R260,17,FALSE)</f>
        <v>2.1166493892669678</v>
      </c>
      <c r="T85" s="131">
        <f>VLOOKUP(A85,'2022_PAPI_Indicators'!A80:S260,18,FALSE)</f>
        <v>2.0763800144195557</v>
      </c>
      <c r="U85" s="132">
        <f>VLOOKUP(A85,'2022_PAPI_Indicators'!A80:T260,19,FALSE)</f>
        <v>0</v>
      </c>
      <c r="V85" s="131">
        <f>VLOOKUP(A85,'2022_PAPI_Indicators'!A80:U260,20,FALSE)</f>
        <v>1.8728355169296265</v>
      </c>
      <c r="W85" s="131">
        <f>VLOOKUP(A85,'2022_PAPI_Indicators'!A80:V260,21,FALSE)</f>
        <v>2.0462219715118408</v>
      </c>
      <c r="X85" s="131">
        <f>VLOOKUP(A85,'2022_PAPI_Indicators'!A80:W260,22,FALSE)</f>
        <v>2.0259799957275391</v>
      </c>
      <c r="Y85" s="131">
        <f>VLOOKUP(A85,'2022_PAPI_Indicators'!A80:X260,23,FALSE)</f>
        <v>2.04557204246521</v>
      </c>
      <c r="Z85" s="131">
        <f>VLOOKUP(A85,'2022_PAPI_Indicators'!A80:Y260,24,FALSE)</f>
        <v>2.0394802093505859</v>
      </c>
      <c r="AA85" s="131">
        <f>VLOOKUP(A85,'2022_PAPI_Indicators'!A80:Z260,25,FALSE)</f>
        <v>1.9962091445922852</v>
      </c>
      <c r="AB85" s="131">
        <f>VLOOKUP(A85,'2022_PAPI_Indicators'!A80:AA260,26,FALSE)</f>
        <v>2.0303819179534912</v>
      </c>
      <c r="AC85" s="131">
        <f>VLOOKUP(A85,'2022_PAPI_Indicators'!A80:AB260,27,FALSE)</f>
        <v>2.1550467014312744</v>
      </c>
      <c r="AD85" s="131">
        <f>VLOOKUP(A85,'2022_PAPI_Indicators'!A80:AC260,28,FALSE)</f>
        <v>2.003495454788208</v>
      </c>
      <c r="AE85" s="131">
        <f>VLOOKUP(A85,'2022_PAPI_Indicators'!A80:AD260,29,FALSE)</f>
        <v>1.9267669916152954</v>
      </c>
      <c r="AF85" s="131">
        <f>VLOOKUP(A85,'2022_PAPI_Indicators'!A80:AE260,30,FALSE)</f>
        <v>2.1552221775054932</v>
      </c>
      <c r="AG85" s="131">
        <f>VLOOKUP(A85,'2022_PAPI_Indicators'!A80:AF260,31,FALSE)</f>
        <v>1.9568896293640137</v>
      </c>
      <c r="AH85" s="131">
        <f>VLOOKUP(A85,'2022_PAPI_Indicators'!A80:AG260,32,FALSE)</f>
        <v>2.0537819862365723</v>
      </c>
      <c r="AI85" s="131">
        <f>VLOOKUP(A85,'2022_PAPI_Indicators'!A80:AH260,33,FALSE)</f>
        <v>2.0118646621704102</v>
      </c>
      <c r="AJ85" s="131">
        <f>VLOOKUP(A85,'2022_PAPI_Indicators'!A80:AI260,34,FALSE)</f>
        <v>1.9930335283279419</v>
      </c>
      <c r="AK85" s="131">
        <f>VLOOKUP(A85,'2022_PAPI_Indicators'!A80:AJ260,35,FALSE)</f>
        <v>2.0526759624481201</v>
      </c>
      <c r="AL85" s="131">
        <f>VLOOKUP(A85,'2022_PAPI_Indicators'!A80:AK260,36,FALSE)</f>
        <v>2.1074955463409424</v>
      </c>
      <c r="AM85" s="131">
        <f>VLOOKUP(A85,'2022_PAPI_Indicators'!A80:AL260,37,FALSE)</f>
        <v>1.9607033729553223</v>
      </c>
      <c r="AN85" s="131">
        <f>VLOOKUP(A85,'2022_PAPI_Indicators'!A80:AM260,38,FALSE)</f>
        <v>2.0025346279144287</v>
      </c>
      <c r="AO85" s="131">
        <f>VLOOKUP(A85,'2022_PAPI_Indicators'!A80:AN260,39,FALSE)</f>
        <v>2.1286790370941162</v>
      </c>
      <c r="AP85" s="131">
        <f>VLOOKUP(A85,'2022_PAPI_Indicators'!A80:AO260,40,FALSE)</f>
        <v>2.0309109687805176</v>
      </c>
      <c r="AQ85" s="131">
        <f>VLOOKUP(A85,'2022_PAPI_Indicators'!A80:AP260,41,FALSE)</f>
        <v>1.9071817398071289</v>
      </c>
      <c r="AR85" s="131">
        <f>VLOOKUP(A85,'2022_PAPI_Indicators'!A80:AQ260,42,FALSE)</f>
        <v>1.9235643148422241</v>
      </c>
      <c r="AS85" s="131">
        <f>VLOOKUP(A85,'2022_PAPI_Indicators'!A80:AR260,43,FALSE)</f>
        <v>1.9594173431396484</v>
      </c>
      <c r="AT85" s="131">
        <f>VLOOKUP(A85,'2022_PAPI_Indicators'!A80:AS260,44,FALSE)</f>
        <v>1.9249395132064819</v>
      </c>
      <c r="AU85" s="131">
        <f>VLOOKUP(A85,'2022_PAPI_Indicators'!A80:AT260,45,FALSE)</f>
        <v>1.9999865293502808</v>
      </c>
      <c r="AV85" s="131">
        <f>VLOOKUP(A85,'2022_PAPI_Indicators'!A80:AU260,46,FALSE)</f>
        <v>2.0197279453277588</v>
      </c>
      <c r="AW85" s="131">
        <f>VLOOKUP(A85,'2022_PAPI_Indicators'!A80:AV260,47,FALSE)</f>
        <v>1.9236311912536621</v>
      </c>
      <c r="AX85" s="131">
        <f>VLOOKUP(A85,'2022_PAPI_Indicators'!A80:AW260,48,FALSE)</f>
        <v>2.2011935710906982</v>
      </c>
      <c r="AY85" s="131">
        <f>VLOOKUP(A85,'2022_PAPI_Indicators'!A80:AX260,49,FALSE)</f>
        <v>2.0370433330535889</v>
      </c>
      <c r="AZ85" s="131">
        <f>VLOOKUP(A85,'2022_PAPI_Indicators'!A80:AY260,50,FALSE)</f>
        <v>2.0504484176635742</v>
      </c>
      <c r="BA85" s="131">
        <f>VLOOKUP(A85,'2022_PAPI_Indicators'!A80:AZ260,51,FALSE)</f>
        <v>1.8679890632629395</v>
      </c>
      <c r="BB85" s="131">
        <f>VLOOKUP(A85,'2022_PAPI_Indicators'!A80:BA260,52,FALSE)</f>
        <v>1.8865388631820679</v>
      </c>
      <c r="BC85" s="131">
        <f>VLOOKUP(A85,'2022_PAPI_Indicators'!A80:BB260,53,FALSE)</f>
        <v>2.1640176773071289</v>
      </c>
      <c r="BD85" s="131">
        <f>VLOOKUP(A85,'2022_PAPI_Indicators'!A80:BC260,54,FALSE)</f>
        <v>1.9721276760101318</v>
      </c>
      <c r="BE85" s="131">
        <f>VLOOKUP(A85,'2022_PAPI_Indicators'!A80:BD260,55,FALSE)</f>
        <v>1.9679017066955566</v>
      </c>
      <c r="BF85" s="131">
        <f>VLOOKUP(A85,'2022_PAPI_Indicators'!A80:BE260,56,FALSE)</f>
        <v>1.986672043800354</v>
      </c>
      <c r="BG85" s="131">
        <f>VLOOKUP(A85,'2022_PAPI_Indicators'!A80:BF260,57,FALSE)</f>
        <v>1.9413198232650757</v>
      </c>
      <c r="BH85" s="131">
        <f>VLOOKUP(A85,'2022_PAPI_Indicators'!A80:BG260,58,FALSE)</f>
        <v>1.9865127801895142</v>
      </c>
      <c r="BI85" s="131">
        <f>VLOOKUP(A85,'2022_PAPI_Indicators'!A80:BH260,59,FALSE)</f>
        <v>1.9453268051147461</v>
      </c>
      <c r="BJ85" s="131">
        <f>VLOOKUP(A85,'2022_PAPI_Indicators'!A80:BI260,60,FALSE)</f>
        <v>1.8905489444732666</v>
      </c>
      <c r="BK85" s="131">
        <f>VLOOKUP(A85,'2022_PAPI_Indicators'!A80:BJ260,61,FALSE)</f>
        <v>2.0562691688537598</v>
      </c>
      <c r="BL85" s="131">
        <f>VLOOKUP(A85,'2022_PAPI_Indicators'!A80:BK260,62,FALSE)</f>
        <v>2.1751828193664551</v>
      </c>
      <c r="BM85" s="131">
        <f>VLOOKUP(A85,'2022_PAPI_Indicators'!A80:BL260,63,FALSE)</f>
        <v>2.1434030532836914</v>
      </c>
      <c r="BN85" s="131">
        <f>VLOOKUP(A85,'2022_PAPI_Indicators'!A80:BM260,64,FALSE)</f>
        <v>2.0216505527496338</v>
      </c>
    </row>
    <row r="86" spans="1:66" s="69" customFormat="1" x14ac:dyDescent="0.2">
      <c r="A86" s="70" t="s">
        <v>236</v>
      </c>
      <c r="B86" s="21" t="s">
        <v>423</v>
      </c>
      <c r="C86" s="89" t="s">
        <v>90</v>
      </c>
      <c r="D86" s="133">
        <f>VLOOKUP(A86,'2022_PAPI_Indicators'!A81:B261,2,)</f>
        <v>0.66575545072555542</v>
      </c>
      <c r="E86" s="133">
        <f>VLOOKUP(A86,'2022_PAPI_Indicators'!A81:C261,3,FALSE)</f>
        <v>0.70170682668685913</v>
      </c>
      <c r="F86" s="133">
        <f>VLOOKUP(A86,'2022_PAPI_Indicators'!A81:D261,4,FALSE)</f>
        <v>0.56175494194030762</v>
      </c>
      <c r="G86" s="133">
        <f>VLOOKUP(A86,'2022_PAPI_Indicators'!A81:E261,5,FALSE)</f>
        <v>0.67185622453689575</v>
      </c>
      <c r="H86" s="133">
        <f>VLOOKUP(A86,'2022_PAPI_Indicators'!A81:F261,6,FALSE)</f>
        <v>0.64631438255310059</v>
      </c>
      <c r="I86" s="133">
        <f>VLOOKUP(A86,'2022_PAPI_Indicators'!A81:G261,7,FALSE)</f>
        <v>0.45690220594406128</v>
      </c>
      <c r="J86" s="133">
        <f>VLOOKUP(A86,'2022_PAPI_Indicators'!A81:H261,8,FALSE)</f>
        <v>0.52865463495254517</v>
      </c>
      <c r="K86" s="133">
        <f>VLOOKUP(A86,'2022_PAPI_Indicators'!A81:I261,9,FALSE)</f>
        <v>0.55510824918746948</v>
      </c>
      <c r="L86" s="133">
        <f>VLOOKUP(A86,'2022_PAPI_Indicators'!A81:J261,10,FALSE)</f>
        <v>0.63054484128952026</v>
      </c>
      <c r="M86" s="133">
        <f>VLOOKUP(A86,'2022_PAPI_Indicators'!A81:K261,11,FALSE)</f>
        <v>0.60191929340362549</v>
      </c>
      <c r="N86" s="133">
        <f>VLOOKUP(A86,'2022_PAPI_Indicators'!A81:L261,12,FALSE)</f>
        <v>0.59144604206085205</v>
      </c>
      <c r="O86" s="133">
        <f>VLOOKUP(A86,'2022_PAPI_Indicators'!A81:M261,13,FALSE)</f>
        <v>0.54705417156219482</v>
      </c>
      <c r="P86" s="133">
        <f>VLOOKUP(A86,'2022_PAPI_Indicators'!A81:N261,14,FALSE)</f>
        <v>0.63951969146728516</v>
      </c>
      <c r="Q86" s="133">
        <f>VLOOKUP(A86,'2022_PAPI_Indicators'!A81:O261,15,FALSE)</f>
        <v>0.87700790166854858</v>
      </c>
      <c r="R86" s="135">
        <f>VLOOKUP(A86,'2022_PAPI_Indicators'!A81:P261,16,FALSE)</f>
        <v>0</v>
      </c>
      <c r="S86" s="133">
        <f>VLOOKUP(A86,'2022_PAPI_Indicators'!A81:R261,17,FALSE)</f>
        <v>0.74505156278610229</v>
      </c>
      <c r="T86" s="133">
        <f>VLOOKUP(A86,'2022_PAPI_Indicators'!A81:S261,18,FALSE)</f>
        <v>0.70018976926803589</v>
      </c>
      <c r="U86" s="135">
        <f>VLOOKUP(A86,'2022_PAPI_Indicators'!A81:T261,19,FALSE)</f>
        <v>0</v>
      </c>
      <c r="V86" s="133">
        <f>VLOOKUP(A86,'2022_PAPI_Indicators'!A81:U261,20,FALSE)</f>
        <v>0.58035135269165039</v>
      </c>
      <c r="W86" s="133">
        <f>VLOOKUP(A86,'2022_PAPI_Indicators'!A81:V261,21,FALSE)</f>
        <v>0.65243822336196899</v>
      </c>
      <c r="X86" s="133">
        <f>VLOOKUP(A86,'2022_PAPI_Indicators'!A81:W261,22,FALSE)</f>
        <v>0.62938809394836426</v>
      </c>
      <c r="Y86" s="133">
        <f>VLOOKUP(A86,'2022_PAPI_Indicators'!A81:X261,23,FALSE)</f>
        <v>0.64856916666030884</v>
      </c>
      <c r="Z86" s="133">
        <f>VLOOKUP(A86,'2022_PAPI_Indicators'!A81:Y261,24,FALSE)</f>
        <v>0.72425085306167603</v>
      </c>
      <c r="AA86" s="133">
        <f>VLOOKUP(A86,'2022_PAPI_Indicators'!A81:Z261,25,FALSE)</f>
        <v>0.63174039125442505</v>
      </c>
      <c r="AB86" s="133">
        <f>VLOOKUP(A86,'2022_PAPI_Indicators'!A81:AA261,26,FALSE)</f>
        <v>0.66383731365203857</v>
      </c>
      <c r="AC86" s="133">
        <f>VLOOKUP(A86,'2022_PAPI_Indicators'!A81:AB261,27,FALSE)</f>
        <v>0.75091356039047241</v>
      </c>
      <c r="AD86" s="133">
        <f>VLOOKUP(A86,'2022_PAPI_Indicators'!A81:AC261,28,FALSE)</f>
        <v>0.62755334377288818</v>
      </c>
      <c r="AE86" s="133">
        <f>VLOOKUP(A86,'2022_PAPI_Indicators'!A81:AD261,29,FALSE)</f>
        <v>0.56512856483459473</v>
      </c>
      <c r="AF86" s="133">
        <f>VLOOKUP(A86,'2022_PAPI_Indicators'!A81:AE261,30,FALSE)</f>
        <v>0.7602880597114563</v>
      </c>
      <c r="AG86" s="133">
        <f>VLOOKUP(A86,'2022_PAPI_Indicators'!A81:AF261,31,FALSE)</f>
        <v>0.66598021984100342</v>
      </c>
      <c r="AH86" s="133">
        <f>VLOOKUP(A86,'2022_PAPI_Indicators'!A81:AG261,32,FALSE)</f>
        <v>0.68705189228057861</v>
      </c>
      <c r="AI86" s="133">
        <f>VLOOKUP(A86,'2022_PAPI_Indicators'!A81:AH261,33,FALSE)</f>
        <v>0.70597577095031738</v>
      </c>
      <c r="AJ86" s="133">
        <f>VLOOKUP(A86,'2022_PAPI_Indicators'!A81:AI261,34,FALSE)</f>
        <v>0.63539779186248779</v>
      </c>
      <c r="AK86" s="133">
        <f>VLOOKUP(A86,'2022_PAPI_Indicators'!A81:AJ261,35,FALSE)</f>
        <v>0.69108432531356812</v>
      </c>
      <c r="AL86" s="133">
        <f>VLOOKUP(A86,'2022_PAPI_Indicators'!A81:AK261,36,FALSE)</f>
        <v>0.74787759780883789</v>
      </c>
      <c r="AM86" s="133">
        <f>VLOOKUP(A86,'2022_PAPI_Indicators'!A81:AL261,37,FALSE)</f>
        <v>0.60263127088546753</v>
      </c>
      <c r="AN86" s="133">
        <f>VLOOKUP(A86,'2022_PAPI_Indicators'!A81:AM261,38,FALSE)</f>
        <v>0.7060813307762146</v>
      </c>
      <c r="AO86" s="133">
        <f>VLOOKUP(A86,'2022_PAPI_Indicators'!A81:AN261,39,FALSE)</f>
        <v>0.7387615442276001</v>
      </c>
      <c r="AP86" s="133">
        <f>VLOOKUP(A86,'2022_PAPI_Indicators'!A81:AO261,40,FALSE)</f>
        <v>0.63383215665817261</v>
      </c>
      <c r="AQ86" s="133">
        <f>VLOOKUP(A86,'2022_PAPI_Indicators'!A81:AP261,41,FALSE)</f>
        <v>0.62533766031265259</v>
      </c>
      <c r="AR86" s="133">
        <f>VLOOKUP(A86,'2022_PAPI_Indicators'!A81:AQ261,42,FALSE)</f>
        <v>0.61351370811462402</v>
      </c>
      <c r="AS86" s="133">
        <f>VLOOKUP(A86,'2022_PAPI_Indicators'!A81:AR261,43,FALSE)</f>
        <v>0.63227748870849609</v>
      </c>
      <c r="AT86" s="133">
        <f>VLOOKUP(A86,'2022_PAPI_Indicators'!A81:AS261,44,FALSE)</f>
        <v>0.60643994808197021</v>
      </c>
      <c r="AU86" s="133">
        <f>VLOOKUP(A86,'2022_PAPI_Indicators'!A81:AT261,45,FALSE)</f>
        <v>0.67480194568634033</v>
      </c>
      <c r="AV86" s="133">
        <f>VLOOKUP(A86,'2022_PAPI_Indicators'!A81:AU261,46,FALSE)</f>
        <v>0.70476514101028442</v>
      </c>
      <c r="AW86" s="133">
        <f>VLOOKUP(A86,'2022_PAPI_Indicators'!A81:AV261,47,FALSE)</f>
        <v>0.65531283617019653</v>
      </c>
      <c r="AX86" s="133">
        <f>VLOOKUP(A86,'2022_PAPI_Indicators'!A81:AW261,48,FALSE)</f>
        <v>0.82893466949462891</v>
      </c>
      <c r="AY86" s="133">
        <f>VLOOKUP(A86,'2022_PAPI_Indicators'!A81:AX261,49,FALSE)</f>
        <v>0.70572578907012939</v>
      </c>
      <c r="AZ86" s="133">
        <f>VLOOKUP(A86,'2022_PAPI_Indicators'!A81:AY261,50,FALSE)</f>
        <v>0.7088087797164917</v>
      </c>
      <c r="BA86" s="133">
        <f>VLOOKUP(A86,'2022_PAPI_Indicators'!A81:AZ261,51,FALSE)</f>
        <v>0.6115606427192688</v>
      </c>
      <c r="BB86" s="133">
        <f>VLOOKUP(A86,'2022_PAPI_Indicators'!A81:BA261,52,FALSE)</f>
        <v>0.58688449859619141</v>
      </c>
      <c r="BC86" s="133">
        <f>VLOOKUP(A86,'2022_PAPI_Indicators'!A81:BB261,53,FALSE)</f>
        <v>0.79048985242843628</v>
      </c>
      <c r="BD86" s="133">
        <f>VLOOKUP(A86,'2022_PAPI_Indicators'!A81:BC261,54,FALSE)</f>
        <v>0.70303845405578613</v>
      </c>
      <c r="BE86" s="133">
        <f>VLOOKUP(A86,'2022_PAPI_Indicators'!A81:BD261,55,FALSE)</f>
        <v>0.63372230529785156</v>
      </c>
      <c r="BF86" s="133">
        <f>VLOOKUP(A86,'2022_PAPI_Indicators'!A81:BE261,56,FALSE)</f>
        <v>0.67711323499679565</v>
      </c>
      <c r="BG86" s="133">
        <f>VLOOKUP(A86,'2022_PAPI_Indicators'!A81:BF261,57,FALSE)</f>
        <v>0.65140843391418457</v>
      </c>
      <c r="BH86" s="133">
        <f>VLOOKUP(A86,'2022_PAPI_Indicators'!A81:BG261,58,FALSE)</f>
        <v>0.62821847200393677</v>
      </c>
      <c r="BI86" s="133">
        <f>VLOOKUP(A86,'2022_PAPI_Indicators'!A81:BH261,59,FALSE)</f>
        <v>0.62401586771011353</v>
      </c>
      <c r="BJ86" s="133">
        <f>VLOOKUP(A86,'2022_PAPI_Indicators'!A81:BI261,60,FALSE)</f>
        <v>0.59225738048553467</v>
      </c>
      <c r="BK86" s="133">
        <f>VLOOKUP(A86,'2022_PAPI_Indicators'!A81:BJ261,61,FALSE)</f>
        <v>0.67765223979949951</v>
      </c>
      <c r="BL86" s="133">
        <f>VLOOKUP(A86,'2022_PAPI_Indicators'!A81:BK261,62,FALSE)</f>
        <v>0.78485739231109619</v>
      </c>
      <c r="BM86" s="133">
        <f>VLOOKUP(A86,'2022_PAPI_Indicators'!A81:BL261,63,FALSE)</f>
        <v>0.78613710403442383</v>
      </c>
      <c r="BN86" s="133">
        <f>VLOOKUP(A86,'2022_PAPI_Indicators'!A81:BM261,64,FALSE)</f>
        <v>0.69246983528137207</v>
      </c>
    </row>
    <row r="87" spans="1:66" s="69" customFormat="1" x14ac:dyDescent="0.2">
      <c r="A87" s="70" t="s">
        <v>238</v>
      </c>
      <c r="B87" s="21" t="s">
        <v>424</v>
      </c>
      <c r="C87" s="89" t="s">
        <v>90</v>
      </c>
      <c r="D87" s="133">
        <f>VLOOKUP(A87,'2022_PAPI_Indicators'!A82:B262,2,)</f>
        <v>0.68486207723617554</v>
      </c>
      <c r="E87" s="133">
        <f>VLOOKUP(A87,'2022_PAPI_Indicators'!A82:C262,3,FALSE)</f>
        <v>0.72486972808837891</v>
      </c>
      <c r="F87" s="133">
        <f>VLOOKUP(A87,'2022_PAPI_Indicators'!A82:D262,4,FALSE)</f>
        <v>0.62279206514358521</v>
      </c>
      <c r="G87" s="133">
        <f>VLOOKUP(A87,'2022_PAPI_Indicators'!A82:E262,5,FALSE)</f>
        <v>0.72574472427368164</v>
      </c>
      <c r="H87" s="133">
        <f>VLOOKUP(A87,'2022_PAPI_Indicators'!A82:F262,6,FALSE)</f>
        <v>0.78272789716720581</v>
      </c>
      <c r="I87" s="133">
        <f>VLOOKUP(A87,'2022_PAPI_Indicators'!A82:G262,7,FALSE)</f>
        <v>0.6152610182762146</v>
      </c>
      <c r="J87" s="133">
        <f>VLOOKUP(A87,'2022_PAPI_Indicators'!A82:H262,8,FALSE)</f>
        <v>0.60517436265945435</v>
      </c>
      <c r="K87" s="133">
        <f>VLOOKUP(A87,'2022_PAPI_Indicators'!A82:I262,9,FALSE)</f>
        <v>0.66511476039886475</v>
      </c>
      <c r="L87" s="133">
        <f>VLOOKUP(A87,'2022_PAPI_Indicators'!A82:J262,10,FALSE)</f>
        <v>0.73576122522354126</v>
      </c>
      <c r="M87" s="133">
        <f>VLOOKUP(A87,'2022_PAPI_Indicators'!A82:K262,11,FALSE)</f>
        <v>0.73544883728027344</v>
      </c>
      <c r="N87" s="133">
        <f>VLOOKUP(A87,'2022_PAPI_Indicators'!A82:L262,12,FALSE)</f>
        <v>0.75517845153808594</v>
      </c>
      <c r="O87" s="133">
        <f>VLOOKUP(A87,'2022_PAPI_Indicators'!A82:M262,13,FALSE)</f>
        <v>0.74998688697814941</v>
      </c>
      <c r="P87" s="133">
        <f>VLOOKUP(A87,'2022_PAPI_Indicators'!A82:N262,14,FALSE)</f>
        <v>0.76293683052062988</v>
      </c>
      <c r="Q87" s="133">
        <f>VLOOKUP(A87,'2022_PAPI_Indicators'!A82:O262,15,FALSE)</f>
        <v>0.88347148895263672</v>
      </c>
      <c r="R87" s="135">
        <f>VLOOKUP(A87,'2022_PAPI_Indicators'!A82:P262,16,FALSE)</f>
        <v>0</v>
      </c>
      <c r="S87" s="133">
        <f>VLOOKUP(A87,'2022_PAPI_Indicators'!A82:R262,17,FALSE)</f>
        <v>0.76787048578262329</v>
      </c>
      <c r="T87" s="133">
        <f>VLOOKUP(A87,'2022_PAPI_Indicators'!A82:S262,18,FALSE)</f>
        <v>0.7773856520652771</v>
      </c>
      <c r="U87" s="135">
        <f>VLOOKUP(A87,'2022_PAPI_Indicators'!A82:T262,19,FALSE)</f>
        <v>0</v>
      </c>
      <c r="V87" s="133">
        <f>VLOOKUP(A87,'2022_PAPI_Indicators'!A82:U262,20,FALSE)</f>
        <v>0.6265595555305481</v>
      </c>
      <c r="W87" s="133">
        <f>VLOOKUP(A87,'2022_PAPI_Indicators'!A82:V262,21,FALSE)</f>
        <v>0.76494669914245605</v>
      </c>
      <c r="X87" s="133">
        <f>VLOOKUP(A87,'2022_PAPI_Indicators'!A82:W262,22,FALSE)</f>
        <v>0.75421029329299927</v>
      </c>
      <c r="Y87" s="133">
        <f>VLOOKUP(A87,'2022_PAPI_Indicators'!A82:X262,23,FALSE)</f>
        <v>0.78266924619674683</v>
      </c>
      <c r="Z87" s="133">
        <f>VLOOKUP(A87,'2022_PAPI_Indicators'!A82:Y262,24,FALSE)</f>
        <v>0.71532899141311646</v>
      </c>
      <c r="AA87" s="133">
        <f>VLOOKUP(A87,'2022_PAPI_Indicators'!A82:Z262,25,FALSE)</f>
        <v>0.74230295419692993</v>
      </c>
      <c r="AB87" s="133">
        <f>VLOOKUP(A87,'2022_PAPI_Indicators'!A82:AA262,26,FALSE)</f>
        <v>0.74852102994918823</v>
      </c>
      <c r="AC87" s="133">
        <f>VLOOKUP(A87,'2022_PAPI_Indicators'!A82:AB262,27,FALSE)</f>
        <v>0.81023752689361572</v>
      </c>
      <c r="AD87" s="133">
        <f>VLOOKUP(A87,'2022_PAPI_Indicators'!A82:AC262,28,FALSE)</f>
        <v>0.73775476217269897</v>
      </c>
      <c r="AE87" s="133">
        <f>VLOOKUP(A87,'2022_PAPI_Indicators'!A82:AD262,29,FALSE)</f>
        <v>0.69432675838470459</v>
      </c>
      <c r="AF87" s="133">
        <f>VLOOKUP(A87,'2022_PAPI_Indicators'!A82:AE262,30,FALSE)</f>
        <v>0.7882150411605835</v>
      </c>
      <c r="AG87" s="133">
        <f>VLOOKUP(A87,'2022_PAPI_Indicators'!A82:AF262,31,FALSE)</f>
        <v>0.72592324018478394</v>
      </c>
      <c r="AH87" s="133">
        <f>VLOOKUP(A87,'2022_PAPI_Indicators'!A82:AG262,32,FALSE)</f>
        <v>0.75090217590332031</v>
      </c>
      <c r="AI87" s="133">
        <f>VLOOKUP(A87,'2022_PAPI_Indicators'!A82:AH262,33,FALSE)</f>
        <v>0.67961305379867554</v>
      </c>
      <c r="AJ87" s="133">
        <f>VLOOKUP(A87,'2022_PAPI_Indicators'!A82:AI262,34,FALSE)</f>
        <v>0.69561338424682617</v>
      </c>
      <c r="AK87" s="133">
        <f>VLOOKUP(A87,'2022_PAPI_Indicators'!A82:AJ262,35,FALSE)</f>
        <v>0.73866468667984009</v>
      </c>
      <c r="AL87" s="133">
        <f>VLOOKUP(A87,'2022_PAPI_Indicators'!A82:AK262,36,FALSE)</f>
        <v>0.7630237340927124</v>
      </c>
      <c r="AM87" s="133">
        <f>VLOOKUP(A87,'2022_PAPI_Indicators'!A82:AL262,37,FALSE)</f>
        <v>0.68688517808914185</v>
      </c>
      <c r="AN87" s="133">
        <f>VLOOKUP(A87,'2022_PAPI_Indicators'!A82:AM262,38,FALSE)</f>
        <v>0.6368253231048584</v>
      </c>
      <c r="AO87" s="133">
        <f>VLOOKUP(A87,'2022_PAPI_Indicators'!A82:AN262,39,FALSE)</f>
        <v>0.78099381923675537</v>
      </c>
      <c r="AP87" s="133">
        <f>VLOOKUP(A87,'2022_PAPI_Indicators'!A82:AO262,40,FALSE)</f>
        <v>0.74932092428207397</v>
      </c>
      <c r="AQ87" s="133">
        <f>VLOOKUP(A87,'2022_PAPI_Indicators'!A82:AP262,41,FALSE)</f>
        <v>0.61737382411956787</v>
      </c>
      <c r="AR87" s="133">
        <f>VLOOKUP(A87,'2022_PAPI_Indicators'!A82:AQ262,42,FALSE)</f>
        <v>0.68606418371200562</v>
      </c>
      <c r="AS87" s="133">
        <f>VLOOKUP(A87,'2022_PAPI_Indicators'!A82:AR262,43,FALSE)</f>
        <v>0.6943480372428894</v>
      </c>
      <c r="AT87" s="133">
        <f>VLOOKUP(A87,'2022_PAPI_Indicators'!A82:AS262,44,FALSE)</f>
        <v>0.66749566793441772</v>
      </c>
      <c r="AU87" s="133">
        <f>VLOOKUP(A87,'2022_PAPI_Indicators'!A82:AT262,45,FALSE)</f>
        <v>0.69303077459335327</v>
      </c>
      <c r="AV87" s="133">
        <f>VLOOKUP(A87,'2022_PAPI_Indicators'!A82:AU262,46,FALSE)</f>
        <v>0.65487205982208252</v>
      </c>
      <c r="AW87" s="133">
        <f>VLOOKUP(A87,'2022_PAPI_Indicators'!A82:AV262,47,FALSE)</f>
        <v>0.61258536577224731</v>
      </c>
      <c r="AX87" s="133">
        <f>VLOOKUP(A87,'2022_PAPI_Indicators'!A82:AW262,48,FALSE)</f>
        <v>0.78307348489761353</v>
      </c>
      <c r="AY87" s="133">
        <f>VLOOKUP(A87,'2022_PAPI_Indicators'!A82:AX262,49,FALSE)</f>
        <v>0.69307321310043335</v>
      </c>
      <c r="AZ87" s="133">
        <f>VLOOKUP(A87,'2022_PAPI_Indicators'!A82:AY262,50,FALSE)</f>
        <v>0.69565194845199585</v>
      </c>
      <c r="BA87" s="133">
        <f>VLOOKUP(A87,'2022_PAPI_Indicators'!A82:AZ262,51,FALSE)</f>
        <v>0.56661707162857056</v>
      </c>
      <c r="BB87" s="133">
        <f>VLOOKUP(A87,'2022_PAPI_Indicators'!A82:BA262,52,FALSE)</f>
        <v>0.61059391498565674</v>
      </c>
      <c r="BC87" s="133">
        <f>VLOOKUP(A87,'2022_PAPI_Indicators'!A82:BB262,53,FALSE)</f>
        <v>0.76259815692901611</v>
      </c>
      <c r="BD87" s="133">
        <f>VLOOKUP(A87,'2022_PAPI_Indicators'!A82:BC262,54,FALSE)</f>
        <v>0.6235162615776062</v>
      </c>
      <c r="BE87" s="133">
        <f>VLOOKUP(A87,'2022_PAPI_Indicators'!A82:BD262,55,FALSE)</f>
        <v>0.67900878190994263</v>
      </c>
      <c r="BF87" s="133">
        <f>VLOOKUP(A87,'2022_PAPI_Indicators'!A82:BE262,56,FALSE)</f>
        <v>0.66014796495437622</v>
      </c>
      <c r="BG87" s="133">
        <f>VLOOKUP(A87,'2022_PAPI_Indicators'!A82:BF262,57,FALSE)</f>
        <v>0.65625</v>
      </c>
      <c r="BH87" s="133">
        <f>VLOOKUP(A87,'2022_PAPI_Indicators'!A82:BG262,58,FALSE)</f>
        <v>0.70247846841812134</v>
      </c>
      <c r="BI87" s="133">
        <f>VLOOKUP(A87,'2022_PAPI_Indicators'!A82:BH262,59,FALSE)</f>
        <v>0.63853675127029419</v>
      </c>
      <c r="BJ87" s="133">
        <f>VLOOKUP(A87,'2022_PAPI_Indicators'!A82:BI262,60,FALSE)</f>
        <v>0.61592912673950195</v>
      </c>
      <c r="BK87" s="133">
        <f>VLOOKUP(A87,'2022_PAPI_Indicators'!A82:BJ262,61,FALSE)</f>
        <v>0.73874551057815552</v>
      </c>
      <c r="BL87" s="133">
        <f>VLOOKUP(A87,'2022_PAPI_Indicators'!A82:BK262,62,FALSE)</f>
        <v>0.79022008180618286</v>
      </c>
      <c r="BM87" s="133">
        <f>VLOOKUP(A87,'2022_PAPI_Indicators'!A82:BL262,63,FALSE)</f>
        <v>0.73984438180923462</v>
      </c>
      <c r="BN87" s="133">
        <f>VLOOKUP(A87,'2022_PAPI_Indicators'!A82:BM262,64,FALSE)</f>
        <v>0.69219338893890381</v>
      </c>
    </row>
    <row r="88" spans="1:66" s="112" customFormat="1" x14ac:dyDescent="0.2">
      <c r="A88" s="77" t="s">
        <v>239</v>
      </c>
      <c r="B88" s="77" t="s">
        <v>240</v>
      </c>
      <c r="C88" s="92" t="s">
        <v>448</v>
      </c>
      <c r="D88" s="131">
        <f>VLOOKUP(A88,'2022_PAPI_Indicators'!A83:B263,2,)</f>
        <v>1.124035120010376</v>
      </c>
      <c r="E88" s="131">
        <f>VLOOKUP(A88,'2022_PAPI_Indicators'!A83:C263,3,FALSE)</f>
        <v>0.94757199287414551</v>
      </c>
      <c r="F88" s="131">
        <f>VLOOKUP(A88,'2022_PAPI_Indicators'!A83:D263,4,FALSE)</f>
        <v>0.95054292678833008</v>
      </c>
      <c r="G88" s="131">
        <f>VLOOKUP(A88,'2022_PAPI_Indicators'!A83:E263,5,FALSE)</f>
        <v>1.0611379146575928</v>
      </c>
      <c r="H88" s="131">
        <f>VLOOKUP(A88,'2022_PAPI_Indicators'!A83:F263,6,FALSE)</f>
        <v>1.1079201698303223</v>
      </c>
      <c r="I88" s="131">
        <f>VLOOKUP(A88,'2022_PAPI_Indicators'!A83:G263,7,FALSE)</f>
        <v>0.80015838146209717</v>
      </c>
      <c r="J88" s="131">
        <f>VLOOKUP(A88,'2022_PAPI_Indicators'!A83:H263,8,FALSE)</f>
        <v>0.8418470025062561</v>
      </c>
      <c r="K88" s="131">
        <f>VLOOKUP(A88,'2022_PAPI_Indicators'!A83:I263,9,FALSE)</f>
        <v>0.90571486949920654</v>
      </c>
      <c r="L88" s="131">
        <f>VLOOKUP(A88,'2022_PAPI_Indicators'!A83:J263,10,FALSE)</f>
        <v>1.0467501878738403</v>
      </c>
      <c r="M88" s="131">
        <f>VLOOKUP(A88,'2022_PAPI_Indicators'!A83:K263,11,FALSE)</f>
        <v>1.0737450122833252</v>
      </c>
      <c r="N88" s="131">
        <f>VLOOKUP(A88,'2022_PAPI_Indicators'!A83:L263,12,FALSE)</f>
        <v>1.0211066007614136</v>
      </c>
      <c r="O88" s="131">
        <f>VLOOKUP(A88,'2022_PAPI_Indicators'!A83:M263,13,FALSE)</f>
        <v>1.0468209981918335</v>
      </c>
      <c r="P88" s="131">
        <f>VLOOKUP(A88,'2022_PAPI_Indicators'!A83:N263,14,FALSE)</f>
        <v>1.1394810676574707</v>
      </c>
      <c r="Q88" s="131">
        <f>VLOOKUP(A88,'2022_PAPI_Indicators'!A83:O263,15,FALSE)</f>
        <v>1.6837660074234009</v>
      </c>
      <c r="R88" s="132">
        <f>VLOOKUP(A88,'2022_PAPI_Indicators'!A83:P263,16,FALSE)</f>
        <v>0</v>
      </c>
      <c r="S88" s="131">
        <f>VLOOKUP(A88,'2022_PAPI_Indicators'!A83:R263,17,FALSE)</f>
        <v>1.1697230339050293</v>
      </c>
      <c r="T88" s="131">
        <f>VLOOKUP(A88,'2022_PAPI_Indicators'!A83:S263,18,FALSE)</f>
        <v>1.1262087821960449</v>
      </c>
      <c r="U88" s="132">
        <f>VLOOKUP(A88,'2022_PAPI_Indicators'!A83:T263,19,FALSE)</f>
        <v>0</v>
      </c>
      <c r="V88" s="131">
        <f>VLOOKUP(A88,'2022_PAPI_Indicators'!A83:U263,20,FALSE)</f>
        <v>1.0343693494796753</v>
      </c>
      <c r="W88" s="131">
        <f>VLOOKUP(A88,'2022_PAPI_Indicators'!A83:V263,21,FALSE)</f>
        <v>1.1924903392791748</v>
      </c>
      <c r="X88" s="131">
        <f>VLOOKUP(A88,'2022_PAPI_Indicators'!A83:W263,22,FALSE)</f>
        <v>1.1237295866012573</v>
      </c>
      <c r="Y88" s="131">
        <f>VLOOKUP(A88,'2022_PAPI_Indicators'!A83:X263,23,FALSE)</f>
        <v>1.0487304925918579</v>
      </c>
      <c r="Z88" s="131">
        <f>VLOOKUP(A88,'2022_PAPI_Indicators'!A83:Y263,24,FALSE)</f>
        <v>1.1855490207672119</v>
      </c>
      <c r="AA88" s="131">
        <f>VLOOKUP(A88,'2022_PAPI_Indicators'!A83:Z263,25,FALSE)</f>
        <v>1.1793100833892822</v>
      </c>
      <c r="AB88" s="131">
        <f>VLOOKUP(A88,'2022_PAPI_Indicators'!A83:AA263,26,FALSE)</f>
        <v>1.1718894243240356</v>
      </c>
      <c r="AC88" s="131">
        <f>VLOOKUP(A88,'2022_PAPI_Indicators'!A83:AB263,27,FALSE)</f>
        <v>1.20189368724823</v>
      </c>
      <c r="AD88" s="131">
        <f>VLOOKUP(A88,'2022_PAPI_Indicators'!A83:AC263,28,FALSE)</f>
        <v>1.0510454177856445</v>
      </c>
      <c r="AE88" s="131">
        <f>VLOOKUP(A88,'2022_PAPI_Indicators'!A83:AD263,29,FALSE)</f>
        <v>1.0591851472854614</v>
      </c>
      <c r="AF88" s="131">
        <f>VLOOKUP(A88,'2022_PAPI_Indicators'!A83:AE263,30,FALSE)</f>
        <v>1.1850544214248657</v>
      </c>
      <c r="AG88" s="131">
        <f>VLOOKUP(A88,'2022_PAPI_Indicators'!A83:AF263,31,FALSE)</f>
        <v>1.0578427314758301</v>
      </c>
      <c r="AH88" s="131">
        <f>VLOOKUP(A88,'2022_PAPI_Indicators'!A83:AG263,32,FALSE)</f>
        <v>1.2247871160507202</v>
      </c>
      <c r="AI88" s="131">
        <f>VLOOKUP(A88,'2022_PAPI_Indicators'!A83:AH263,33,FALSE)</f>
        <v>1.1371293067932129</v>
      </c>
      <c r="AJ88" s="131">
        <f>VLOOKUP(A88,'2022_PAPI_Indicators'!A83:AI263,34,FALSE)</f>
        <v>1.1290332078933716</v>
      </c>
      <c r="AK88" s="131">
        <f>VLOOKUP(A88,'2022_PAPI_Indicators'!A83:AJ263,35,FALSE)</f>
        <v>1.2190483808517456</v>
      </c>
      <c r="AL88" s="131">
        <f>VLOOKUP(A88,'2022_PAPI_Indicators'!A83:AK263,36,FALSE)</f>
        <v>1.2051435708999634</v>
      </c>
      <c r="AM88" s="131">
        <f>VLOOKUP(A88,'2022_PAPI_Indicators'!A83:AL263,37,FALSE)</f>
        <v>1.0098581314086914</v>
      </c>
      <c r="AN88" s="131">
        <f>VLOOKUP(A88,'2022_PAPI_Indicators'!A83:AM263,38,FALSE)</f>
        <v>1.2857811450958252</v>
      </c>
      <c r="AO88" s="131">
        <f>VLOOKUP(A88,'2022_PAPI_Indicators'!A83:AN263,39,FALSE)</f>
        <v>1.5062322616577148</v>
      </c>
      <c r="AP88" s="131">
        <f>VLOOKUP(A88,'2022_PAPI_Indicators'!A83:AO263,40,FALSE)</f>
        <v>1.2968431711196899</v>
      </c>
      <c r="AQ88" s="131">
        <f>VLOOKUP(A88,'2022_PAPI_Indicators'!A83:AP263,41,FALSE)</f>
        <v>0.94530820846557617</v>
      </c>
      <c r="AR88" s="131">
        <f>VLOOKUP(A88,'2022_PAPI_Indicators'!A83:AQ263,42,FALSE)</f>
        <v>1.0099636316299438</v>
      </c>
      <c r="AS88" s="131">
        <f>VLOOKUP(A88,'2022_PAPI_Indicators'!A83:AR263,43,FALSE)</f>
        <v>1.1590430736541748</v>
      </c>
      <c r="AT88" s="131">
        <f>VLOOKUP(A88,'2022_PAPI_Indicators'!A83:AS263,44,FALSE)</f>
        <v>0.93241202831268311</v>
      </c>
      <c r="AU88" s="131">
        <f>VLOOKUP(A88,'2022_PAPI_Indicators'!A83:AT263,45,FALSE)</f>
        <v>1.1051383018493652</v>
      </c>
      <c r="AV88" s="131">
        <f>VLOOKUP(A88,'2022_PAPI_Indicators'!A83:AU263,46,FALSE)</f>
        <v>1.0811949968338013</v>
      </c>
      <c r="AW88" s="131">
        <f>VLOOKUP(A88,'2022_PAPI_Indicators'!A83:AV263,47,FALSE)</f>
        <v>1.146155834197998</v>
      </c>
      <c r="AX88" s="131">
        <f>VLOOKUP(A88,'2022_PAPI_Indicators'!A83:AW263,48,FALSE)</f>
        <v>1.6763715744018555</v>
      </c>
      <c r="AY88" s="131">
        <f>VLOOKUP(A88,'2022_PAPI_Indicators'!A83:AX263,49,FALSE)</f>
        <v>1.1230117082595825</v>
      </c>
      <c r="AZ88" s="131">
        <f>VLOOKUP(A88,'2022_PAPI_Indicators'!A83:AY263,50,FALSE)</f>
        <v>1.2871462106704712</v>
      </c>
      <c r="BA88" s="131">
        <f>VLOOKUP(A88,'2022_PAPI_Indicators'!A83:AZ263,51,FALSE)</f>
        <v>1.1115449666976929</v>
      </c>
      <c r="BB88" s="131">
        <f>VLOOKUP(A88,'2022_PAPI_Indicators'!A83:BA263,52,FALSE)</f>
        <v>1.0574514865875244</v>
      </c>
      <c r="BC88" s="131">
        <f>VLOOKUP(A88,'2022_PAPI_Indicators'!A83:BB263,53,FALSE)</f>
        <v>1.3796473741531372</v>
      </c>
      <c r="BD88" s="131">
        <f>VLOOKUP(A88,'2022_PAPI_Indicators'!A83:BC263,54,FALSE)</f>
        <v>1.2688376903533936</v>
      </c>
      <c r="BE88" s="131">
        <f>VLOOKUP(A88,'2022_PAPI_Indicators'!A83:BD263,55,FALSE)</f>
        <v>1.0680510997772217</v>
      </c>
      <c r="BF88" s="131">
        <f>VLOOKUP(A88,'2022_PAPI_Indicators'!A83:BE263,56,FALSE)</f>
        <v>1.1601847410202026</v>
      </c>
      <c r="BG88" s="131">
        <f>VLOOKUP(A88,'2022_PAPI_Indicators'!A83:BF263,57,FALSE)</f>
        <v>1.2434505224227905</v>
      </c>
      <c r="BH88" s="131">
        <f>VLOOKUP(A88,'2022_PAPI_Indicators'!A83:BG263,58,FALSE)</f>
        <v>1.1523358821868896</v>
      </c>
      <c r="BI88" s="131">
        <f>VLOOKUP(A88,'2022_PAPI_Indicators'!A83:BH263,59,FALSE)</f>
        <v>1.0434216260910034</v>
      </c>
      <c r="BJ88" s="131">
        <f>VLOOKUP(A88,'2022_PAPI_Indicators'!A83:BI263,60,FALSE)</f>
        <v>1.2144079208374023</v>
      </c>
      <c r="BK88" s="131">
        <f>VLOOKUP(A88,'2022_PAPI_Indicators'!A83:BJ263,61,FALSE)</f>
        <v>1.399598240852356</v>
      </c>
      <c r="BL88" s="131">
        <f>VLOOKUP(A88,'2022_PAPI_Indicators'!A83:BK263,62,FALSE)</f>
        <v>1.4083089828491211</v>
      </c>
      <c r="BM88" s="131">
        <f>VLOOKUP(A88,'2022_PAPI_Indicators'!A83:BL263,63,FALSE)</f>
        <v>1.4170445203781128</v>
      </c>
      <c r="BN88" s="131">
        <f>VLOOKUP(A88,'2022_PAPI_Indicators'!A83:BM263,64,FALSE)</f>
        <v>1.2487256526947021</v>
      </c>
    </row>
    <row r="89" spans="1:66" s="69" customFormat="1" x14ac:dyDescent="0.2">
      <c r="A89" s="70" t="s">
        <v>241</v>
      </c>
      <c r="B89" s="70" t="s">
        <v>242</v>
      </c>
      <c r="C89" s="89" t="s">
        <v>90</v>
      </c>
      <c r="D89" s="133">
        <f>VLOOKUP(A89,'2022_PAPI_Indicators'!A84:B264,2,)</f>
        <v>0.41932865977287292</v>
      </c>
      <c r="E89" s="133">
        <f>VLOOKUP(A89,'2022_PAPI_Indicators'!A84:C264,3,FALSE)</f>
        <v>0.39691686630249023</v>
      </c>
      <c r="F89" s="133">
        <f>VLOOKUP(A89,'2022_PAPI_Indicators'!A84:D264,4,FALSE)</f>
        <v>0.42020878195762634</v>
      </c>
      <c r="G89" s="133">
        <f>VLOOKUP(A89,'2022_PAPI_Indicators'!A84:E264,5,FALSE)</f>
        <v>0.44791612029075623</v>
      </c>
      <c r="H89" s="133">
        <f>VLOOKUP(A89,'2022_PAPI_Indicators'!A84:F264,6,FALSE)</f>
        <v>0.44499418139457703</v>
      </c>
      <c r="I89" s="133">
        <f>VLOOKUP(A89,'2022_PAPI_Indicators'!A84:G264,7,FALSE)</f>
        <v>0.27496692538261414</v>
      </c>
      <c r="J89" s="133">
        <f>VLOOKUP(A89,'2022_PAPI_Indicators'!A84:H264,8,FALSE)</f>
        <v>0.33813154697418213</v>
      </c>
      <c r="K89" s="133">
        <f>VLOOKUP(A89,'2022_PAPI_Indicators'!A84:I264,9,FALSE)</f>
        <v>0.37678009271621704</v>
      </c>
      <c r="L89" s="133">
        <f>VLOOKUP(A89,'2022_PAPI_Indicators'!A84:J264,10,FALSE)</f>
        <v>0.49322715401649475</v>
      </c>
      <c r="M89" s="133">
        <f>VLOOKUP(A89,'2022_PAPI_Indicators'!A84:K264,11,FALSE)</f>
        <v>0.48827385902404785</v>
      </c>
      <c r="N89" s="133">
        <f>VLOOKUP(A89,'2022_PAPI_Indicators'!A84:L264,12,FALSE)</f>
        <v>0.43700522184371948</v>
      </c>
      <c r="O89" s="133">
        <f>VLOOKUP(A89,'2022_PAPI_Indicators'!A84:M264,13,FALSE)</f>
        <v>0.42894503474235535</v>
      </c>
      <c r="P89" s="133">
        <f>VLOOKUP(A89,'2022_PAPI_Indicators'!A84:N264,14,FALSE)</f>
        <v>0.51467001438140869</v>
      </c>
      <c r="Q89" s="133">
        <f>VLOOKUP(A89,'2022_PAPI_Indicators'!A84:O264,15,FALSE)</f>
        <v>0.68421000242233276</v>
      </c>
      <c r="R89" s="135">
        <f>VLOOKUP(A89,'2022_PAPI_Indicators'!A84:P264,16,FALSE)</f>
        <v>0</v>
      </c>
      <c r="S89" s="133">
        <f>VLOOKUP(A89,'2022_PAPI_Indicators'!A84:R264,17,FALSE)</f>
        <v>0.47470682859420776</v>
      </c>
      <c r="T89" s="133">
        <f>VLOOKUP(A89,'2022_PAPI_Indicators'!A84:S264,18,FALSE)</f>
        <v>0.41397252678871155</v>
      </c>
      <c r="U89" s="135">
        <f>VLOOKUP(A89,'2022_PAPI_Indicators'!A84:T264,19,FALSE)</f>
        <v>0</v>
      </c>
      <c r="V89" s="133">
        <f>VLOOKUP(A89,'2022_PAPI_Indicators'!A84:U264,20,FALSE)</f>
        <v>0.40356189012527466</v>
      </c>
      <c r="W89" s="133">
        <f>VLOOKUP(A89,'2022_PAPI_Indicators'!A84:V264,21,FALSE)</f>
        <v>0.51466727256774902</v>
      </c>
      <c r="X89" s="133">
        <f>VLOOKUP(A89,'2022_PAPI_Indicators'!A84:W264,22,FALSE)</f>
        <v>0.43141216039657593</v>
      </c>
      <c r="Y89" s="133">
        <f>VLOOKUP(A89,'2022_PAPI_Indicators'!A84:X264,23,FALSE)</f>
        <v>0.39404255151748657</v>
      </c>
      <c r="Z89" s="133">
        <f>VLOOKUP(A89,'2022_PAPI_Indicators'!A84:Y264,24,FALSE)</f>
        <v>0.46487727761268616</v>
      </c>
      <c r="AA89" s="133">
        <f>VLOOKUP(A89,'2022_PAPI_Indicators'!A84:Z264,25,FALSE)</f>
        <v>0.41743269562721252</v>
      </c>
      <c r="AB89" s="133">
        <f>VLOOKUP(A89,'2022_PAPI_Indicators'!A84:AA264,26,FALSE)</f>
        <v>0.44618043303489685</v>
      </c>
      <c r="AC89" s="133">
        <f>VLOOKUP(A89,'2022_PAPI_Indicators'!A84:AB264,27,FALSE)</f>
        <v>0.47017529606819153</v>
      </c>
      <c r="AD89" s="133">
        <f>VLOOKUP(A89,'2022_PAPI_Indicators'!A84:AC264,28,FALSE)</f>
        <v>0.43662750720977783</v>
      </c>
      <c r="AE89" s="133">
        <f>VLOOKUP(A89,'2022_PAPI_Indicators'!A84:AD264,29,FALSE)</f>
        <v>0.41793212294578552</v>
      </c>
      <c r="AF89" s="133">
        <f>VLOOKUP(A89,'2022_PAPI_Indicators'!A84:AE264,30,FALSE)</f>
        <v>0.63718467950820923</v>
      </c>
      <c r="AG89" s="133">
        <f>VLOOKUP(A89,'2022_PAPI_Indicators'!A84:AF264,31,FALSE)</f>
        <v>0.48771283030509949</v>
      </c>
      <c r="AH89" s="133">
        <f>VLOOKUP(A89,'2022_PAPI_Indicators'!A84:AG264,32,FALSE)</f>
        <v>0.53471589088439941</v>
      </c>
      <c r="AI89" s="133">
        <f>VLOOKUP(A89,'2022_PAPI_Indicators'!A84:AH264,33,FALSE)</f>
        <v>0.45121505856513977</v>
      </c>
      <c r="AJ89" s="133">
        <f>VLOOKUP(A89,'2022_PAPI_Indicators'!A84:AI264,34,FALSE)</f>
        <v>0.47792837023735046</v>
      </c>
      <c r="AK89" s="133">
        <f>VLOOKUP(A89,'2022_PAPI_Indicators'!A84:AJ264,35,FALSE)</f>
        <v>0.5062909722328186</v>
      </c>
      <c r="AL89" s="133">
        <f>VLOOKUP(A89,'2022_PAPI_Indicators'!A84:AK264,36,FALSE)</f>
        <v>0.59431904554367065</v>
      </c>
      <c r="AM89" s="133">
        <f>VLOOKUP(A89,'2022_PAPI_Indicators'!A84:AL264,37,FALSE)</f>
        <v>0.4157460629940033</v>
      </c>
      <c r="AN89" s="133">
        <f>VLOOKUP(A89,'2022_PAPI_Indicators'!A84:AM264,38,FALSE)</f>
        <v>0.5050693154335022</v>
      </c>
      <c r="AO89" s="133">
        <f>VLOOKUP(A89,'2022_PAPI_Indicators'!A84:AN264,39,FALSE)</f>
        <v>0.65844643115997314</v>
      </c>
      <c r="AP89" s="133">
        <f>VLOOKUP(A89,'2022_PAPI_Indicators'!A84:AO264,40,FALSE)</f>
        <v>0.56431227922439575</v>
      </c>
      <c r="AQ89" s="133">
        <f>VLOOKUP(A89,'2022_PAPI_Indicators'!A84:AP264,41,FALSE)</f>
        <v>0.38084861636161804</v>
      </c>
      <c r="AR89" s="133">
        <f>VLOOKUP(A89,'2022_PAPI_Indicators'!A84:AQ264,42,FALSE)</f>
        <v>0.39079365134239197</v>
      </c>
      <c r="AS89" s="133">
        <f>VLOOKUP(A89,'2022_PAPI_Indicators'!A84:AR264,43,FALSE)</f>
        <v>0.49984908103942871</v>
      </c>
      <c r="AT89" s="133">
        <f>VLOOKUP(A89,'2022_PAPI_Indicators'!A84:AS264,44,FALSE)</f>
        <v>0.39149203896522522</v>
      </c>
      <c r="AU89" s="133">
        <f>VLOOKUP(A89,'2022_PAPI_Indicators'!A84:AT264,45,FALSE)</f>
        <v>0.47243034839630127</v>
      </c>
      <c r="AV89" s="133">
        <f>VLOOKUP(A89,'2022_PAPI_Indicators'!A84:AU264,46,FALSE)</f>
        <v>0.44313597679138184</v>
      </c>
      <c r="AW89" s="133">
        <f>VLOOKUP(A89,'2022_PAPI_Indicators'!A84:AV264,47,FALSE)</f>
        <v>0.48346245288848877</v>
      </c>
      <c r="AX89" s="133">
        <f>VLOOKUP(A89,'2022_PAPI_Indicators'!A84:AW264,48,FALSE)</f>
        <v>0.68747043609619141</v>
      </c>
      <c r="AY89" s="133">
        <f>VLOOKUP(A89,'2022_PAPI_Indicators'!A84:AX264,49,FALSE)</f>
        <v>0.46913337707519531</v>
      </c>
      <c r="AZ89" s="133">
        <f>VLOOKUP(A89,'2022_PAPI_Indicators'!A84:AY264,50,FALSE)</f>
        <v>0.58029115200042725</v>
      </c>
      <c r="BA89" s="133">
        <f>VLOOKUP(A89,'2022_PAPI_Indicators'!A84:AZ264,51,FALSE)</f>
        <v>0.46822986006736755</v>
      </c>
      <c r="BB89" s="133">
        <f>VLOOKUP(A89,'2022_PAPI_Indicators'!A84:BA264,52,FALSE)</f>
        <v>0.48812127113342285</v>
      </c>
      <c r="BC89" s="133">
        <f>VLOOKUP(A89,'2022_PAPI_Indicators'!A84:BB264,53,FALSE)</f>
        <v>0.72143447399139404</v>
      </c>
      <c r="BD89" s="133">
        <f>VLOOKUP(A89,'2022_PAPI_Indicators'!A84:BC264,54,FALSE)</f>
        <v>0.60238903760910034</v>
      </c>
      <c r="BE89" s="133">
        <f>VLOOKUP(A89,'2022_PAPI_Indicators'!A84:BD264,55,FALSE)</f>
        <v>0.54951769113540649</v>
      </c>
      <c r="BF89" s="133">
        <f>VLOOKUP(A89,'2022_PAPI_Indicators'!A84:BE264,56,FALSE)</f>
        <v>0.54477971792221069</v>
      </c>
      <c r="BG89" s="133">
        <f>VLOOKUP(A89,'2022_PAPI_Indicators'!A84:BF264,57,FALSE)</f>
        <v>0.57642728090286255</v>
      </c>
      <c r="BH89" s="133">
        <f>VLOOKUP(A89,'2022_PAPI_Indicators'!A84:BG264,58,FALSE)</f>
        <v>0.55148261785507202</v>
      </c>
      <c r="BI89" s="133">
        <f>VLOOKUP(A89,'2022_PAPI_Indicators'!A84:BH264,59,FALSE)</f>
        <v>0.54658323526382446</v>
      </c>
      <c r="BJ89" s="133">
        <f>VLOOKUP(A89,'2022_PAPI_Indicators'!A84:BI264,60,FALSE)</f>
        <v>0.59228473901748657</v>
      </c>
      <c r="BK89" s="133">
        <f>VLOOKUP(A89,'2022_PAPI_Indicators'!A84:BJ264,61,FALSE)</f>
        <v>0.68649500608444214</v>
      </c>
      <c r="BL89" s="133">
        <f>VLOOKUP(A89,'2022_PAPI_Indicators'!A84:BK264,62,FALSE)</f>
        <v>0.68080335855484009</v>
      </c>
      <c r="BM89" s="133">
        <f>VLOOKUP(A89,'2022_PAPI_Indicators'!A84:BL264,63,FALSE)</f>
        <v>0.73028039932250977</v>
      </c>
      <c r="BN89" s="133">
        <f>VLOOKUP(A89,'2022_PAPI_Indicators'!A84:BM264,64,FALSE)</f>
        <v>0.62687909603118896</v>
      </c>
    </row>
    <row r="90" spans="1:66" s="69" customFormat="1" ht="13.5" customHeight="1" x14ac:dyDescent="0.2">
      <c r="A90" s="70" t="s">
        <v>243</v>
      </c>
      <c r="B90" s="70" t="s">
        <v>244</v>
      </c>
      <c r="C90" s="89" t="s">
        <v>245</v>
      </c>
      <c r="D90" s="124">
        <f>VLOOKUP(A90,'2022_PAPI_Indicators'!A85:B265,2,)</f>
        <v>1.7879573106765747</v>
      </c>
      <c r="E90" s="124">
        <f>VLOOKUP(A90,'2022_PAPI_Indicators'!A85:C265,3,FALSE)</f>
        <v>1.1157357692718506</v>
      </c>
      <c r="F90" s="124">
        <f>VLOOKUP(A90,'2022_PAPI_Indicators'!A85:D265,4,FALSE)</f>
        <v>1.0124801397323608</v>
      </c>
      <c r="G90" s="124">
        <f>VLOOKUP(A90,'2022_PAPI_Indicators'!A85:E265,5,FALSE)</f>
        <v>1.3654764890670776</v>
      </c>
      <c r="H90" s="124">
        <f>VLOOKUP(A90,'2022_PAPI_Indicators'!A85:F265,6,FALSE)</f>
        <v>1.5880075693130493</v>
      </c>
      <c r="I90" s="124">
        <f>VLOOKUP(A90,'2022_PAPI_Indicators'!A85:G265,7,FALSE)</f>
        <v>1.0703139305114746</v>
      </c>
      <c r="J90" s="124">
        <f>VLOOKUP(A90,'2022_PAPI_Indicators'!A85:H265,8,FALSE)</f>
        <v>0.9397733211517334</v>
      </c>
      <c r="K90" s="124">
        <f>VLOOKUP(A90,'2022_PAPI_Indicators'!A85:I265,9,FALSE)</f>
        <v>1.0303878784179688</v>
      </c>
      <c r="L90" s="124">
        <f>VLOOKUP(A90,'2022_PAPI_Indicators'!A85:J265,10,FALSE)</f>
        <v>1.074975848197937</v>
      </c>
      <c r="M90" s="124">
        <f>VLOOKUP(A90,'2022_PAPI_Indicators'!A85:K265,11,FALSE)</f>
        <v>1.2197196483612061</v>
      </c>
      <c r="N90" s="124">
        <f>VLOOKUP(A90,'2022_PAPI_Indicators'!A85:L265,12,FALSE)</f>
        <v>1.2421143054962158</v>
      </c>
      <c r="O90" s="124">
        <f>VLOOKUP(A90,'2022_PAPI_Indicators'!A85:M265,13,FALSE)</f>
        <v>1.396701455116272</v>
      </c>
      <c r="P90" s="124">
        <f>VLOOKUP(A90,'2022_PAPI_Indicators'!A85:N265,14,FALSE)</f>
        <v>1.3798987865447998</v>
      </c>
      <c r="Q90" s="124">
        <f>VLOOKUP(A90,'2022_PAPI_Indicators'!A85:O265,15,FALSE)</f>
        <v>2.9512434005737305</v>
      </c>
      <c r="R90" s="125">
        <f>VLOOKUP(A90,'2022_PAPI_Indicators'!A85:P265,16,FALSE)</f>
        <v>0</v>
      </c>
      <c r="S90" s="124">
        <f>VLOOKUP(A90,'2022_PAPI_Indicators'!A85:R265,17,FALSE)</f>
        <v>1.7141237258911133</v>
      </c>
      <c r="T90" s="124">
        <f>VLOOKUP(A90,'2022_PAPI_Indicators'!A85:S265,18,FALSE)</f>
        <v>1.8243987560272217</v>
      </c>
      <c r="U90" s="125">
        <f>VLOOKUP(A90,'2022_PAPI_Indicators'!A85:T265,19,FALSE)</f>
        <v>0</v>
      </c>
      <c r="V90" s="124">
        <f>VLOOKUP(A90,'2022_PAPI_Indicators'!A85:U265,20,FALSE)</f>
        <v>1.4682763814926147</v>
      </c>
      <c r="W90" s="124">
        <f>VLOOKUP(A90,'2022_PAPI_Indicators'!A85:V265,21,FALSE)</f>
        <v>1.6155096292495728</v>
      </c>
      <c r="X90" s="124">
        <f>VLOOKUP(A90,'2022_PAPI_Indicators'!A85:W265,22,FALSE)</f>
        <v>1.7261819839477539</v>
      </c>
      <c r="Y90" s="124">
        <f>VLOOKUP(A90,'2022_PAPI_Indicators'!A85:X265,23,FALSE)</f>
        <v>1.5797004699707031</v>
      </c>
      <c r="Z90" s="124">
        <f>VLOOKUP(A90,'2022_PAPI_Indicators'!A85:Y265,24,FALSE)</f>
        <v>1.8336093425750732</v>
      </c>
      <c r="AA90" s="124">
        <f>VLOOKUP(A90,'2022_PAPI_Indicators'!A85:Z265,25,FALSE)</f>
        <v>2.0431034564971924</v>
      </c>
      <c r="AB90" s="124">
        <f>VLOOKUP(A90,'2022_PAPI_Indicators'!A85:AA265,26,FALSE)</f>
        <v>1.8663840293884277</v>
      </c>
      <c r="AC90" s="124">
        <f>VLOOKUP(A90,'2022_PAPI_Indicators'!A85:AB265,27,FALSE)</f>
        <v>1.8797619342803955</v>
      </c>
      <c r="AD90" s="124">
        <f>VLOOKUP(A90,'2022_PAPI_Indicators'!A85:AC265,28,FALSE)</f>
        <v>1.3770642280578613</v>
      </c>
      <c r="AE90" s="124">
        <f>VLOOKUP(A90,'2022_PAPI_Indicators'!A85:AD265,29,FALSE)</f>
        <v>1.5067179203033447</v>
      </c>
      <c r="AF90" s="124">
        <f>VLOOKUP(A90,'2022_PAPI_Indicators'!A85:AE265,30,FALSE)</f>
        <v>0.96987408399581909</v>
      </c>
      <c r="AG90" s="124">
        <f>VLOOKUP(A90,'2022_PAPI_Indicators'!A85:AF265,31,FALSE)</f>
        <v>1.1518479585647583</v>
      </c>
      <c r="AH90" s="124">
        <f>VLOOKUP(A90,'2022_PAPI_Indicators'!A85:AG265,32,FALSE)</f>
        <v>1.658807635307312</v>
      </c>
      <c r="AI90" s="124">
        <f>VLOOKUP(A90,'2022_PAPI_Indicators'!A85:AH265,33,FALSE)</f>
        <v>1.6867215633392334</v>
      </c>
      <c r="AJ90" s="124">
        <f>VLOOKUP(A90,'2022_PAPI_Indicators'!A85:AI265,34,FALSE)</f>
        <v>1.5171722173690796</v>
      </c>
      <c r="AK90" s="124">
        <f>VLOOKUP(A90,'2022_PAPI_Indicators'!A85:AJ265,35,FALSE)</f>
        <v>1.7754265069961548</v>
      </c>
      <c r="AL90" s="124">
        <f>VLOOKUP(A90,'2022_PAPI_Indicators'!A85:AK265,36,FALSE)</f>
        <v>1.2734874486923218</v>
      </c>
      <c r="AM90" s="124">
        <f>VLOOKUP(A90,'2022_PAPI_Indicators'!A85:AL265,37,FALSE)</f>
        <v>1.2984167337417603</v>
      </c>
      <c r="AN90" s="124">
        <f>VLOOKUP(A90,'2022_PAPI_Indicators'!A85:AM265,38,FALSE)</f>
        <v>2.078125</v>
      </c>
      <c r="AO90" s="124">
        <f>VLOOKUP(A90,'2022_PAPI_Indicators'!A85:AN265,39,FALSE)</f>
        <v>2.2910223007202148</v>
      </c>
      <c r="AP90" s="124">
        <f>VLOOKUP(A90,'2022_PAPI_Indicators'!A85:AO265,40,FALSE)</f>
        <v>1.8310748338699341</v>
      </c>
      <c r="AQ90" s="124">
        <f>VLOOKUP(A90,'2022_PAPI_Indicators'!A85:AP265,41,FALSE)</f>
        <v>1.1860156059265137</v>
      </c>
      <c r="AR90" s="124">
        <f>VLOOKUP(A90,'2022_PAPI_Indicators'!A85:AQ265,42,FALSE)</f>
        <v>1.4236481189727783</v>
      </c>
      <c r="AS90" s="124">
        <f>VLOOKUP(A90,'2022_PAPI_Indicators'!A85:AR265,43,FALSE)</f>
        <v>1.5409461259841919</v>
      </c>
      <c r="AT90" s="124">
        <f>VLOOKUP(A90,'2022_PAPI_Indicators'!A85:AS265,44,FALSE)</f>
        <v>1.0754822492599487</v>
      </c>
      <c r="AU90" s="124">
        <f>VLOOKUP(A90,'2022_PAPI_Indicators'!A85:AT265,45,FALSE)</f>
        <v>1.4384627342224121</v>
      </c>
      <c r="AV90" s="124">
        <f>VLOOKUP(A90,'2022_PAPI_Indicators'!A85:AU265,46,FALSE)</f>
        <v>1.4785199165344238</v>
      </c>
      <c r="AW90" s="124">
        <f>VLOOKUP(A90,'2022_PAPI_Indicators'!A85:AV265,47,FALSE)</f>
        <v>1.5656024217605591</v>
      </c>
      <c r="AX90" s="124">
        <f>VLOOKUP(A90,'2022_PAPI_Indicators'!A85:AW265,48,FALSE)</f>
        <v>2.9020771980285645</v>
      </c>
      <c r="AY90" s="124">
        <f>VLOOKUP(A90,'2022_PAPI_Indicators'!A85:AX265,49,FALSE)</f>
        <v>1.5343849658966064</v>
      </c>
      <c r="AZ90" s="124">
        <f>VLOOKUP(A90,'2022_PAPI_Indicators'!A85:AY265,50,FALSE)</f>
        <v>1.708082914352417</v>
      </c>
      <c r="BA90" s="124">
        <f>VLOOKUP(A90,'2022_PAPI_Indicators'!A85:AZ265,51,FALSE)</f>
        <v>1.4879393577575684</v>
      </c>
      <c r="BB90" s="124">
        <f>VLOOKUP(A90,'2022_PAPI_Indicators'!A85:BA265,52,FALSE)</f>
        <v>1.1480671167373657</v>
      </c>
      <c r="BC90" s="124">
        <f>VLOOKUP(A90,'2022_PAPI_Indicators'!A85:BB265,53,FALSE)</f>
        <v>1.4134829044342041</v>
      </c>
      <c r="BD90" s="124">
        <f>VLOOKUP(A90,'2022_PAPI_Indicators'!A85:BC265,54,FALSE)</f>
        <v>1.5162222385406494</v>
      </c>
      <c r="BE90" s="124">
        <f>VLOOKUP(A90,'2022_PAPI_Indicators'!A85:BD265,55,FALSE)</f>
        <v>0.88819426298141479</v>
      </c>
      <c r="BF90" s="124">
        <f>VLOOKUP(A90,'2022_PAPI_Indicators'!A85:BE265,56,FALSE)</f>
        <v>1.3213672637939453</v>
      </c>
      <c r="BG90" s="124">
        <f>VLOOKUP(A90,'2022_PAPI_Indicators'!A85:BF265,57,FALSE)</f>
        <v>1.5331991910934448</v>
      </c>
      <c r="BH90" s="124">
        <f>VLOOKUP(A90,'2022_PAPI_Indicators'!A85:BG265,58,FALSE)</f>
        <v>1.2529687881469727</v>
      </c>
      <c r="BI90" s="124">
        <f>VLOOKUP(A90,'2022_PAPI_Indicators'!A85:BH265,59,FALSE)</f>
        <v>0.79340201616287231</v>
      </c>
      <c r="BJ90" s="124">
        <f>VLOOKUP(A90,'2022_PAPI_Indicators'!A85:BI265,60,FALSE)</f>
        <v>1.3248336315155029</v>
      </c>
      <c r="BK90" s="124">
        <f>VLOOKUP(A90,'2022_PAPI_Indicators'!A85:BJ265,61,FALSE)</f>
        <v>1.6768503189086914</v>
      </c>
      <c r="BL90" s="124">
        <f>VLOOKUP(A90,'2022_PAPI_Indicators'!A85:BK265,62,FALSE)</f>
        <v>1.7440230846405029</v>
      </c>
      <c r="BM90" s="124">
        <f>VLOOKUP(A90,'2022_PAPI_Indicators'!A85:BL265,63,FALSE)</f>
        <v>1.5354623794555664</v>
      </c>
      <c r="BN90" s="124">
        <f>VLOOKUP(A90,'2022_PAPI_Indicators'!A85:BM265,64,FALSE)</f>
        <v>1.3043853044509888</v>
      </c>
    </row>
    <row r="91" spans="1:66" s="112" customFormat="1" x14ac:dyDescent="0.2">
      <c r="A91" s="77" t="s">
        <v>246</v>
      </c>
      <c r="B91" s="77" t="s">
        <v>422</v>
      </c>
      <c r="C91" s="92" t="s">
        <v>448</v>
      </c>
      <c r="D91" s="131">
        <f>VLOOKUP(A91,'2022_PAPI_Indicators'!A86:B266,2,)</f>
        <v>2.0618593692779541</v>
      </c>
      <c r="E91" s="131">
        <f>VLOOKUP(A91,'2022_PAPI_Indicators'!A86:C266,3,FALSE)</f>
        <v>2.0224881172180176</v>
      </c>
      <c r="F91" s="131">
        <f>VLOOKUP(A91,'2022_PAPI_Indicators'!A86:D266,4,FALSE)</f>
        <v>1.8890608549118042</v>
      </c>
      <c r="G91" s="131">
        <f>VLOOKUP(A91,'2022_PAPI_Indicators'!A86:E266,5,FALSE)</f>
        <v>1.8019102811813354</v>
      </c>
      <c r="H91" s="131">
        <f>VLOOKUP(A91,'2022_PAPI_Indicators'!A86:F266,6,FALSE)</f>
        <v>2.0090665817260742</v>
      </c>
      <c r="I91" s="131">
        <f>VLOOKUP(A91,'2022_PAPI_Indicators'!A86:G266,7,FALSE)</f>
        <v>1.8775409460067749</v>
      </c>
      <c r="J91" s="131">
        <f>VLOOKUP(A91,'2022_PAPI_Indicators'!A86:H266,8,FALSE)</f>
        <v>1.724076509475708</v>
      </c>
      <c r="K91" s="131">
        <f>VLOOKUP(A91,'2022_PAPI_Indicators'!A86:I266,9,FALSE)</f>
        <v>1.8562064170837402</v>
      </c>
      <c r="L91" s="131">
        <f>VLOOKUP(A91,'2022_PAPI_Indicators'!A86:J266,10,FALSE)</f>
        <v>1.9489704370498657</v>
      </c>
      <c r="M91" s="131">
        <f>VLOOKUP(A91,'2022_PAPI_Indicators'!A86:K266,11,FALSE)</f>
        <v>1.9921208620071411</v>
      </c>
      <c r="N91" s="131">
        <f>VLOOKUP(A91,'2022_PAPI_Indicators'!A86:L266,12,FALSE)</f>
        <v>1.7577552795410156</v>
      </c>
      <c r="O91" s="131">
        <f>VLOOKUP(A91,'2022_PAPI_Indicators'!A86:M266,13,FALSE)</f>
        <v>1.9558637142181396</v>
      </c>
      <c r="P91" s="131">
        <f>VLOOKUP(A91,'2022_PAPI_Indicators'!A86:N266,14,FALSE)</f>
        <v>1.9509071111679077</v>
      </c>
      <c r="Q91" s="131">
        <f>VLOOKUP(A91,'2022_PAPI_Indicators'!A86:O266,15,FALSE)</f>
        <v>1.3833721876144409</v>
      </c>
      <c r="R91" s="132">
        <f>VLOOKUP(A91,'2022_PAPI_Indicators'!A86:P266,16,FALSE)</f>
        <v>0</v>
      </c>
      <c r="S91" s="131">
        <f>VLOOKUP(A91,'2022_PAPI_Indicators'!A86:R266,17,FALSE)</f>
        <v>1.9636212587356567</v>
      </c>
      <c r="T91" s="131">
        <f>VLOOKUP(A91,'2022_PAPI_Indicators'!A86:S266,18,FALSE)</f>
        <v>1.9125839471817017</v>
      </c>
      <c r="U91" s="132">
        <f>VLOOKUP(A91,'2022_PAPI_Indicators'!A86:T266,19,FALSE)</f>
        <v>0</v>
      </c>
      <c r="V91" s="131">
        <f>VLOOKUP(A91,'2022_PAPI_Indicators'!A86:U266,20,FALSE)</f>
        <v>1.9081133604049683</v>
      </c>
      <c r="W91" s="131">
        <f>VLOOKUP(A91,'2022_PAPI_Indicators'!A86:V266,21,FALSE)</f>
        <v>2.0039999485015869</v>
      </c>
      <c r="X91" s="131">
        <f>VLOOKUP(A91,'2022_PAPI_Indicators'!A86:W266,22,FALSE)</f>
        <v>1.9758063554763794</v>
      </c>
      <c r="Y91" s="131">
        <f>VLOOKUP(A91,'2022_PAPI_Indicators'!A86:X266,23,FALSE)</f>
        <v>1.8928512334823608</v>
      </c>
      <c r="Z91" s="131">
        <f>VLOOKUP(A91,'2022_PAPI_Indicators'!A86:Y266,24,FALSE)</f>
        <v>1.963613748550415</v>
      </c>
      <c r="AA91" s="131">
        <f>VLOOKUP(A91,'2022_PAPI_Indicators'!A86:Z266,25,FALSE)</f>
        <v>1.9822306632995605</v>
      </c>
      <c r="AB91" s="131">
        <f>VLOOKUP(A91,'2022_PAPI_Indicators'!A86:AA266,26,FALSE)</f>
        <v>1.9408210515975952</v>
      </c>
      <c r="AC91" s="131">
        <f>VLOOKUP(A91,'2022_PAPI_Indicators'!A86:AB266,27,FALSE)</f>
        <v>2.002995491027832</v>
      </c>
      <c r="AD91" s="131">
        <f>VLOOKUP(A91,'2022_PAPI_Indicators'!A86:AC266,28,FALSE)</f>
        <v>1.8477439880371094</v>
      </c>
      <c r="AE91" s="131">
        <f>VLOOKUP(A91,'2022_PAPI_Indicators'!A86:AD266,29,FALSE)</f>
        <v>2.0098509788513184</v>
      </c>
      <c r="AF91" s="131">
        <f>VLOOKUP(A91,'2022_PAPI_Indicators'!A86:AE266,30,FALSE)</f>
        <v>1.9391077756881714</v>
      </c>
      <c r="AG91" s="131">
        <f>VLOOKUP(A91,'2022_PAPI_Indicators'!A86:AF266,31,FALSE)</f>
        <v>1.8818438053131104</v>
      </c>
      <c r="AH91" s="131">
        <f>VLOOKUP(A91,'2022_PAPI_Indicators'!A86:AG266,32,FALSE)</f>
        <v>1.9701193571090698</v>
      </c>
      <c r="AI91" s="131">
        <f>VLOOKUP(A91,'2022_PAPI_Indicators'!A86:AH266,33,FALSE)</f>
        <v>1.9107297658920288</v>
      </c>
      <c r="AJ91" s="131">
        <f>VLOOKUP(A91,'2022_PAPI_Indicators'!A86:AI266,34,FALSE)</f>
        <v>1.8549295663833618</v>
      </c>
      <c r="AK91" s="131">
        <f>VLOOKUP(A91,'2022_PAPI_Indicators'!A86:AJ266,35,FALSE)</f>
        <v>1.8843656778335571</v>
      </c>
      <c r="AL91" s="131">
        <f>VLOOKUP(A91,'2022_PAPI_Indicators'!A86:AK266,36,FALSE)</f>
        <v>1.9112714529037476</v>
      </c>
      <c r="AM91" s="131">
        <f>VLOOKUP(A91,'2022_PAPI_Indicators'!A86:AL266,37,FALSE)</f>
        <v>1.8588007688522339</v>
      </c>
      <c r="AN91" s="131">
        <f>VLOOKUP(A91,'2022_PAPI_Indicators'!A86:AM266,38,FALSE)</f>
        <v>2.0328128337860107</v>
      </c>
      <c r="AO91" s="131">
        <f>VLOOKUP(A91,'2022_PAPI_Indicators'!A86:AN266,39,FALSE)</f>
        <v>2.0324363708496094</v>
      </c>
      <c r="AP91" s="131">
        <f>VLOOKUP(A91,'2022_PAPI_Indicators'!A86:AO266,40,FALSE)</f>
        <v>1.9773175716400146</v>
      </c>
      <c r="AQ91" s="131">
        <f>VLOOKUP(A91,'2022_PAPI_Indicators'!A86:AP266,41,FALSE)</f>
        <v>1.9306709766387939</v>
      </c>
      <c r="AR91" s="131">
        <f>VLOOKUP(A91,'2022_PAPI_Indicators'!A86:AQ266,42,FALSE)</f>
        <v>1.8602060079574585</v>
      </c>
      <c r="AS91" s="131">
        <f>VLOOKUP(A91,'2022_PAPI_Indicators'!A86:AR266,43,FALSE)</f>
        <v>1.7323645353317261</v>
      </c>
      <c r="AT91" s="131">
        <f>VLOOKUP(A91,'2022_PAPI_Indicators'!A86:AS266,44,FALSE)</f>
        <v>1.8311852216720581</v>
      </c>
      <c r="AU91" s="131">
        <f>VLOOKUP(A91,'2022_PAPI_Indicators'!A86:AT266,45,FALSE)</f>
        <v>1.9176090955734253</v>
      </c>
      <c r="AV91" s="131">
        <f>VLOOKUP(A91,'2022_PAPI_Indicators'!A86:AU266,46,FALSE)</f>
        <v>1.460029125213623</v>
      </c>
      <c r="AW91" s="131">
        <f>VLOOKUP(A91,'2022_PAPI_Indicators'!A86:AV266,47,FALSE)</f>
        <v>1.855204701423645</v>
      </c>
      <c r="AX91" s="131">
        <f>VLOOKUP(A91,'2022_PAPI_Indicators'!A86:AW266,48,FALSE)</f>
        <v>2.0927236080169678</v>
      </c>
      <c r="AY91" s="131">
        <f>VLOOKUP(A91,'2022_PAPI_Indicators'!A86:AX266,49,FALSE)</f>
        <v>1.9266704320907593</v>
      </c>
      <c r="AZ91" s="131">
        <f>VLOOKUP(A91,'2022_PAPI_Indicators'!A86:AY266,50,FALSE)</f>
        <v>1.8818103075027466</v>
      </c>
      <c r="BA91" s="131">
        <f>VLOOKUP(A91,'2022_PAPI_Indicators'!A86:AZ266,51,FALSE)</f>
        <v>1.9304841756820679</v>
      </c>
      <c r="BB91" s="131">
        <f>VLOOKUP(A91,'2022_PAPI_Indicators'!A86:BA266,52,FALSE)</f>
        <v>1.8481576442718506</v>
      </c>
      <c r="BC91" s="131">
        <f>VLOOKUP(A91,'2022_PAPI_Indicators'!A86:BB266,53,FALSE)</f>
        <v>1.9310717582702637</v>
      </c>
      <c r="BD91" s="131">
        <f>VLOOKUP(A91,'2022_PAPI_Indicators'!A86:BC266,54,FALSE)</f>
        <v>1.8111437559127808</v>
      </c>
      <c r="BE91" s="131">
        <f>VLOOKUP(A91,'2022_PAPI_Indicators'!A86:BD266,55,FALSE)</f>
        <v>1.9366885423660278</v>
      </c>
      <c r="BF91" s="131">
        <f>VLOOKUP(A91,'2022_PAPI_Indicators'!A86:BE266,56,FALSE)</f>
        <v>1.9393696784973145</v>
      </c>
      <c r="BG91" s="131">
        <f>VLOOKUP(A91,'2022_PAPI_Indicators'!A86:BF266,57,FALSE)</f>
        <v>1.876736044883728</v>
      </c>
      <c r="BH91" s="131">
        <f>VLOOKUP(A91,'2022_PAPI_Indicators'!A86:BG266,58,FALSE)</f>
        <v>1.727230429649353</v>
      </c>
      <c r="BI91" s="131">
        <f>VLOOKUP(A91,'2022_PAPI_Indicators'!A86:BH266,59,FALSE)</f>
        <v>1.8823119401931763</v>
      </c>
      <c r="BJ91" s="131">
        <f>VLOOKUP(A91,'2022_PAPI_Indicators'!A86:BI266,60,FALSE)</f>
        <v>1.9149771928787231</v>
      </c>
      <c r="BK91" s="131">
        <f>VLOOKUP(A91,'2022_PAPI_Indicators'!A86:BJ266,61,FALSE)</f>
        <v>1.95838463306427</v>
      </c>
      <c r="BL91" s="131">
        <f>VLOOKUP(A91,'2022_PAPI_Indicators'!A86:BK266,62,FALSE)</f>
        <v>1.9218157529830933</v>
      </c>
      <c r="BM91" s="131">
        <f>VLOOKUP(A91,'2022_PAPI_Indicators'!A86:BL266,63,FALSE)</f>
        <v>2.0111849308013916</v>
      </c>
      <c r="BN91" s="131">
        <f>VLOOKUP(A91,'2022_PAPI_Indicators'!A86:BM266,64,FALSE)</f>
        <v>1.9137386083602905</v>
      </c>
    </row>
    <row r="92" spans="1:66" s="69" customFormat="1" x14ac:dyDescent="0.2">
      <c r="A92" s="70" t="s">
        <v>248</v>
      </c>
      <c r="B92" s="70" t="s">
        <v>249</v>
      </c>
      <c r="C92" s="89" t="s">
        <v>90</v>
      </c>
      <c r="D92" s="133">
        <f>VLOOKUP(A92,'2022_PAPI_Indicators'!A87:B267,2,)</f>
        <v>0.94553214311599731</v>
      </c>
      <c r="E92" s="133">
        <f>VLOOKUP(A92,'2022_PAPI_Indicators'!A87:C267,3,FALSE)</f>
        <v>0.93648350238800049</v>
      </c>
      <c r="F92" s="133">
        <f>VLOOKUP(A92,'2022_PAPI_Indicators'!A87:D267,4,FALSE)</f>
        <v>0.9130624532699585</v>
      </c>
      <c r="G92" s="133">
        <f>VLOOKUP(A92,'2022_PAPI_Indicators'!A87:E267,5,FALSE)</f>
        <v>0.92693346738815308</v>
      </c>
      <c r="H92" s="133">
        <f>VLOOKUP(A92,'2022_PAPI_Indicators'!A87:F267,6,FALSE)</f>
        <v>0.96204620599746704</v>
      </c>
      <c r="I92" s="133">
        <f>VLOOKUP(A92,'2022_PAPI_Indicators'!A87:G267,7,FALSE)</f>
        <v>0.93715238571166992</v>
      </c>
      <c r="J92" s="133">
        <f>VLOOKUP(A92,'2022_PAPI_Indicators'!A87:H267,8,FALSE)</f>
        <v>0.90124672651290894</v>
      </c>
      <c r="K92" s="133">
        <f>VLOOKUP(A92,'2022_PAPI_Indicators'!A87:I267,9,FALSE)</f>
        <v>0.93754678964614868</v>
      </c>
      <c r="L92" s="133">
        <f>VLOOKUP(A92,'2022_PAPI_Indicators'!A87:J267,10,FALSE)</f>
        <v>0.96267026662826538</v>
      </c>
      <c r="M92" s="133">
        <f>VLOOKUP(A92,'2022_PAPI_Indicators'!A87:K267,11,FALSE)</f>
        <v>0.94722795486450195</v>
      </c>
      <c r="N92" s="133">
        <f>VLOOKUP(A92,'2022_PAPI_Indicators'!A87:L267,12,FALSE)</f>
        <v>0.94697111845016479</v>
      </c>
      <c r="O92" s="133">
        <f>VLOOKUP(A92,'2022_PAPI_Indicators'!A87:M267,13,FALSE)</f>
        <v>0.99174147844314575</v>
      </c>
      <c r="P92" s="133">
        <f>VLOOKUP(A92,'2022_PAPI_Indicators'!A87:N267,14,FALSE)</f>
        <v>0.97711515426635742</v>
      </c>
      <c r="Q92" s="133">
        <f>VLOOKUP(A92,'2022_PAPI_Indicators'!A87:O267,15,FALSE)</f>
        <v>0.99353641271591187</v>
      </c>
      <c r="R92" s="135">
        <f>VLOOKUP(A92,'2022_PAPI_Indicators'!A87:P267,16,FALSE)</f>
        <v>0</v>
      </c>
      <c r="S92" s="133">
        <f>VLOOKUP(A92,'2022_PAPI_Indicators'!A87:R267,17,FALSE)</f>
        <v>0.975943922996521</v>
      </c>
      <c r="T92" s="133">
        <f>VLOOKUP(A92,'2022_PAPI_Indicators'!A87:S267,18,FALSE)</f>
        <v>0.95759809017181396</v>
      </c>
      <c r="U92" s="135">
        <f>VLOOKUP(A92,'2022_PAPI_Indicators'!A87:T267,19,FALSE)</f>
        <v>0</v>
      </c>
      <c r="V92" s="133">
        <f>VLOOKUP(A92,'2022_PAPI_Indicators'!A87:U267,20,FALSE)</f>
        <v>0.95686978101730347</v>
      </c>
      <c r="W92" s="133">
        <f>VLOOKUP(A92,'2022_PAPI_Indicators'!A87:V267,21,FALSE)</f>
        <v>0.97757786512374878</v>
      </c>
      <c r="X92" s="133">
        <f>VLOOKUP(A92,'2022_PAPI_Indicators'!A87:W267,22,FALSE)</f>
        <v>0.984375</v>
      </c>
      <c r="Y92" s="133">
        <f>VLOOKUP(A92,'2022_PAPI_Indicators'!A87:X267,23,FALSE)</f>
        <v>0.96285772323608398</v>
      </c>
      <c r="Z92" s="133">
        <f>VLOOKUP(A92,'2022_PAPI_Indicators'!A87:Y267,24,FALSE)</f>
        <v>0.94639360904693604</v>
      </c>
      <c r="AA92" s="133">
        <f>VLOOKUP(A92,'2022_PAPI_Indicators'!A87:Z267,25,FALSE)</f>
        <v>0.95423555374145508</v>
      </c>
      <c r="AB92" s="133">
        <f>VLOOKUP(A92,'2022_PAPI_Indicators'!A87:AA267,26,FALSE)</f>
        <v>0.96148407459259033</v>
      </c>
      <c r="AC92" s="133">
        <f>VLOOKUP(A92,'2022_PAPI_Indicators'!A87:AB267,27,FALSE)</f>
        <v>0.97891116142272949</v>
      </c>
      <c r="AD92" s="133">
        <f>VLOOKUP(A92,'2022_PAPI_Indicators'!A87:AC267,28,FALSE)</f>
        <v>0.97268587350845337</v>
      </c>
      <c r="AE92" s="133">
        <f>VLOOKUP(A92,'2022_PAPI_Indicators'!A87:AD267,29,FALSE)</f>
        <v>0.97623389959335327</v>
      </c>
      <c r="AF92" s="133">
        <f>VLOOKUP(A92,'2022_PAPI_Indicators'!A87:AE267,30,FALSE)</f>
        <v>0.99179309606552124</v>
      </c>
      <c r="AG92" s="133">
        <f>VLOOKUP(A92,'2022_PAPI_Indicators'!A87:AF267,31,FALSE)</f>
        <v>0.88394933938980103</v>
      </c>
      <c r="AH92" s="133">
        <f>VLOOKUP(A92,'2022_PAPI_Indicators'!A87:AG267,32,FALSE)</f>
        <v>0.96708852052688599</v>
      </c>
      <c r="AI92" s="133">
        <f>VLOOKUP(A92,'2022_PAPI_Indicators'!A87:AH267,33,FALSE)</f>
        <v>0.96356397867202759</v>
      </c>
      <c r="AJ92" s="133">
        <f>VLOOKUP(A92,'2022_PAPI_Indicators'!A87:AI267,34,FALSE)</f>
        <v>0.99303352832794189</v>
      </c>
      <c r="AK92" s="133">
        <f>VLOOKUP(A92,'2022_PAPI_Indicators'!A87:AJ267,35,FALSE)</f>
        <v>0.97381889820098877</v>
      </c>
      <c r="AL92" s="133">
        <f>VLOOKUP(A92,'2022_PAPI_Indicators'!A87:AK267,36,FALSE)</f>
        <v>0.96575933694839478</v>
      </c>
      <c r="AM92" s="133">
        <f>VLOOKUP(A92,'2022_PAPI_Indicators'!A87:AL267,37,FALSE)</f>
        <v>0.9914214015007019</v>
      </c>
      <c r="AN92" s="133">
        <f>VLOOKUP(A92,'2022_PAPI_Indicators'!A87:AM267,38,FALSE)</f>
        <v>0.99380624294281006</v>
      </c>
      <c r="AO92" s="133">
        <f>VLOOKUP(A92,'2022_PAPI_Indicators'!A87:AN267,39,FALSE)</f>
        <v>0.98514986038208008</v>
      </c>
      <c r="AP92" s="133">
        <f>VLOOKUP(A92,'2022_PAPI_Indicators'!A87:AO267,40,FALSE)</f>
        <v>0.99139487743377686</v>
      </c>
      <c r="AQ92" s="133">
        <f>VLOOKUP(A92,'2022_PAPI_Indicators'!A87:AP267,41,FALSE)</f>
        <v>0.96686416864395142</v>
      </c>
      <c r="AR92" s="133">
        <f>VLOOKUP(A92,'2022_PAPI_Indicators'!A87:AQ267,42,FALSE)</f>
        <v>0.93184119462966919</v>
      </c>
      <c r="AS92" s="133">
        <f>VLOOKUP(A92,'2022_PAPI_Indicators'!A87:AR267,43,FALSE)</f>
        <v>0.95259761810302734</v>
      </c>
      <c r="AT92" s="133">
        <f>VLOOKUP(A92,'2022_PAPI_Indicators'!A87:AS267,44,FALSE)</f>
        <v>0.95931714773178101</v>
      </c>
      <c r="AU92" s="133">
        <f>VLOOKUP(A92,'2022_PAPI_Indicators'!A87:AT267,45,FALSE)</f>
        <v>0.96548265218734741</v>
      </c>
      <c r="AV92" s="133">
        <f>VLOOKUP(A92,'2022_PAPI_Indicators'!A87:AU267,46,FALSE)</f>
        <v>1</v>
      </c>
      <c r="AW92" s="133">
        <f>VLOOKUP(A92,'2022_PAPI_Indicators'!A87:AV267,47,FALSE)</f>
        <v>0.96360999345779419</v>
      </c>
      <c r="AX92" s="133">
        <f>VLOOKUP(A92,'2022_PAPI_Indicators'!A87:AW267,48,FALSE)</f>
        <v>0.98958331346511841</v>
      </c>
      <c r="AY92" s="133">
        <f>VLOOKUP(A92,'2022_PAPI_Indicators'!A87:AX267,49,FALSE)</f>
        <v>0.98392552137374878</v>
      </c>
      <c r="AZ92" s="133">
        <f>VLOOKUP(A92,'2022_PAPI_Indicators'!A87:AY267,50,FALSE)</f>
        <v>0.99613720178604126</v>
      </c>
      <c r="BA92" s="133">
        <f>VLOOKUP(A92,'2022_PAPI_Indicators'!A87:AZ267,51,FALSE)</f>
        <v>0.97914093732833862</v>
      </c>
      <c r="BB92" s="133">
        <f>VLOOKUP(A92,'2022_PAPI_Indicators'!A87:BA267,52,FALSE)</f>
        <v>0.9845733642578125</v>
      </c>
      <c r="BC92" s="133">
        <f>VLOOKUP(A92,'2022_PAPI_Indicators'!A87:BB267,53,FALSE)</f>
        <v>0.9989355206489563</v>
      </c>
      <c r="BD92" s="133">
        <f>VLOOKUP(A92,'2022_PAPI_Indicators'!A87:BC267,54,FALSE)</f>
        <v>0.96961551904678345</v>
      </c>
      <c r="BE92" s="133">
        <f>VLOOKUP(A92,'2022_PAPI_Indicators'!A87:BD267,55,FALSE)</f>
        <v>0.97780442237854004</v>
      </c>
      <c r="BF92" s="133">
        <f>VLOOKUP(A92,'2022_PAPI_Indicators'!A87:BE267,56,FALSE)</f>
        <v>0.97830146551132202</v>
      </c>
      <c r="BG92" s="133">
        <f>VLOOKUP(A92,'2022_PAPI_Indicators'!A87:BF267,57,FALSE)</f>
        <v>0.94743460416793823</v>
      </c>
      <c r="BH92" s="133">
        <f>VLOOKUP(A92,'2022_PAPI_Indicators'!A87:BG267,58,FALSE)</f>
        <v>0.98465347290039063</v>
      </c>
      <c r="BI92" s="133">
        <f>VLOOKUP(A92,'2022_PAPI_Indicators'!A87:BH267,59,FALSE)</f>
        <v>0.997883141040802</v>
      </c>
      <c r="BJ92" s="133">
        <f>VLOOKUP(A92,'2022_PAPI_Indicators'!A87:BI267,60,FALSE)</f>
        <v>0.97921204566955566</v>
      </c>
      <c r="BK92" s="133">
        <f>VLOOKUP(A92,'2022_PAPI_Indicators'!A87:BJ267,61,FALSE)</f>
        <v>0.99196130037307739</v>
      </c>
      <c r="BL92" s="133">
        <f>VLOOKUP(A92,'2022_PAPI_Indicators'!A87:BK267,62,FALSE)</f>
        <v>0.9918331503868103</v>
      </c>
      <c r="BM92" s="133">
        <f>VLOOKUP(A92,'2022_PAPI_Indicators'!A87:BL267,63,FALSE)</f>
        <v>0.99855595827102661</v>
      </c>
      <c r="BN92" s="133">
        <f>VLOOKUP(A92,'2022_PAPI_Indicators'!A87:BM267,64,FALSE)</f>
        <v>0.97753739356994629</v>
      </c>
    </row>
    <row r="93" spans="1:66" s="69" customFormat="1" x14ac:dyDescent="0.2">
      <c r="A93" s="70" t="s">
        <v>250</v>
      </c>
      <c r="B93" s="70" t="s">
        <v>251</v>
      </c>
      <c r="C93" s="89" t="s">
        <v>90</v>
      </c>
      <c r="D93" s="133">
        <f>VLOOKUP(A93,'2022_PAPI_Indicators'!A88:B268,2,)</f>
        <v>0.62835174798965454</v>
      </c>
      <c r="E93" s="133">
        <f>VLOOKUP(A93,'2022_PAPI_Indicators'!A88:C268,3,FALSE)</f>
        <v>0.50938230752944946</v>
      </c>
      <c r="F93" s="133">
        <f>VLOOKUP(A93,'2022_PAPI_Indicators'!A88:D268,4,FALSE)</f>
        <v>0.38931542634963989</v>
      </c>
      <c r="G93" s="133">
        <f>VLOOKUP(A93,'2022_PAPI_Indicators'!A88:E268,5,FALSE)</f>
        <v>0.37364649772644043</v>
      </c>
      <c r="H93" s="133">
        <f>VLOOKUP(A93,'2022_PAPI_Indicators'!A88:F268,6,FALSE)</f>
        <v>0.55170482397079468</v>
      </c>
      <c r="I93" s="133">
        <f>VLOOKUP(A93,'2022_PAPI_Indicators'!A88:G268,7,FALSE)</f>
        <v>0.36696654558181763</v>
      </c>
      <c r="J93" s="133">
        <f>VLOOKUP(A93,'2022_PAPI_Indicators'!A88:H268,8,FALSE)</f>
        <v>0.38963490724563599</v>
      </c>
      <c r="K93" s="133">
        <f>VLOOKUP(A93,'2022_PAPI_Indicators'!A88:I268,9,FALSE)</f>
        <v>0.3963857889175415</v>
      </c>
      <c r="L93" s="133">
        <f>VLOOKUP(A93,'2022_PAPI_Indicators'!A88:J268,10,FALSE)</f>
        <v>0.46421468257904053</v>
      </c>
      <c r="M93" s="133">
        <f>VLOOKUP(A93,'2022_PAPI_Indicators'!A88:K268,11,FALSE)</f>
        <v>0.52419984340667725</v>
      </c>
      <c r="N93" s="133">
        <f>VLOOKUP(A93,'2022_PAPI_Indicators'!A88:L268,12,FALSE)</f>
        <v>0.39791038632392883</v>
      </c>
      <c r="O93" s="133">
        <f>VLOOKUP(A93,'2022_PAPI_Indicators'!A88:M268,13,FALSE)</f>
        <v>0.50546413660049438</v>
      </c>
      <c r="P93" s="133">
        <f>VLOOKUP(A93,'2022_PAPI_Indicators'!A88:N268,14,FALSE)</f>
        <v>0.493367999792099</v>
      </c>
      <c r="Q93" s="133">
        <f>VLOOKUP(A93,'2022_PAPI_Indicators'!A88:O268,15,FALSE)</f>
        <v>0.75253820419311523</v>
      </c>
      <c r="R93" s="135">
        <f>VLOOKUP(A93,'2022_PAPI_Indicators'!A88:P268,16,FALSE)</f>
        <v>0</v>
      </c>
      <c r="S93" s="133">
        <f>VLOOKUP(A93,'2022_PAPI_Indicators'!A88:R268,17,FALSE)</f>
        <v>0.50572806596755981</v>
      </c>
      <c r="T93" s="133">
        <f>VLOOKUP(A93,'2022_PAPI_Indicators'!A88:S268,18,FALSE)</f>
        <v>0.42674976587295532</v>
      </c>
      <c r="U93" s="135">
        <f>VLOOKUP(A93,'2022_PAPI_Indicators'!A88:T268,19,FALSE)</f>
        <v>0</v>
      </c>
      <c r="V93" s="133">
        <f>VLOOKUP(A93,'2022_PAPI_Indicators'!A88:U268,20,FALSE)</f>
        <v>0.53003913164138794</v>
      </c>
      <c r="W93" s="133">
        <f>VLOOKUP(A93,'2022_PAPI_Indicators'!A88:V268,21,FALSE)</f>
        <v>0.54104721546173096</v>
      </c>
      <c r="X93" s="133">
        <f>VLOOKUP(A93,'2022_PAPI_Indicators'!A88:W268,22,FALSE)</f>
        <v>0.49923902750015259</v>
      </c>
      <c r="Y93" s="133">
        <f>VLOOKUP(A93,'2022_PAPI_Indicators'!A88:X268,23,FALSE)</f>
        <v>0.46830034255981445</v>
      </c>
      <c r="Z93" s="133">
        <f>VLOOKUP(A93,'2022_PAPI_Indicators'!A88:Y268,24,FALSE)</f>
        <v>0.48795360326766968</v>
      </c>
      <c r="AA93" s="133">
        <f>VLOOKUP(A93,'2022_PAPI_Indicators'!A88:Z268,25,FALSE)</f>
        <v>0.48718991875648499</v>
      </c>
      <c r="AB93" s="133">
        <f>VLOOKUP(A93,'2022_PAPI_Indicators'!A88:AA268,26,FALSE)</f>
        <v>0.47530868649482727</v>
      </c>
      <c r="AC93" s="133">
        <f>VLOOKUP(A93,'2022_PAPI_Indicators'!A88:AB268,27,FALSE)</f>
        <v>0.56082558631896973</v>
      </c>
      <c r="AD93" s="133">
        <f>VLOOKUP(A93,'2022_PAPI_Indicators'!A88:AC268,28,FALSE)</f>
        <v>0.52913016080856323</v>
      </c>
      <c r="AE93" s="133">
        <f>VLOOKUP(A93,'2022_PAPI_Indicators'!A88:AD268,29,FALSE)</f>
        <v>0.48568928241729736</v>
      </c>
      <c r="AF93" s="133">
        <f>VLOOKUP(A93,'2022_PAPI_Indicators'!A88:AE268,30,FALSE)</f>
        <v>0.48321709036827087</v>
      </c>
      <c r="AG93" s="133">
        <f>VLOOKUP(A93,'2022_PAPI_Indicators'!A88:AF268,31,FALSE)</f>
        <v>0.38728716969490051</v>
      </c>
      <c r="AH93" s="133">
        <f>VLOOKUP(A93,'2022_PAPI_Indicators'!A88:AG268,32,FALSE)</f>
        <v>0.5600731372833252</v>
      </c>
      <c r="AI93" s="133">
        <f>VLOOKUP(A93,'2022_PAPI_Indicators'!A88:AH268,33,FALSE)</f>
        <v>0.46231430768966675</v>
      </c>
      <c r="AJ93" s="133">
        <f>VLOOKUP(A93,'2022_PAPI_Indicators'!A88:AI268,34,FALSE)</f>
        <v>0.37343087792396545</v>
      </c>
      <c r="AK93" s="133">
        <f>VLOOKUP(A93,'2022_PAPI_Indicators'!A88:AJ268,35,FALSE)</f>
        <v>0.36002296209335327</v>
      </c>
      <c r="AL93" s="133">
        <f>VLOOKUP(A93,'2022_PAPI_Indicators'!A88:AK268,36,FALSE)</f>
        <v>0.4197966456413269</v>
      </c>
      <c r="AM93" s="133">
        <f>VLOOKUP(A93,'2022_PAPI_Indicators'!A88:AL268,37,FALSE)</f>
        <v>0.36795362830162048</v>
      </c>
      <c r="AN93" s="133">
        <f>VLOOKUP(A93,'2022_PAPI_Indicators'!A88:AM268,38,FALSE)</f>
        <v>0.5654563307762146</v>
      </c>
      <c r="AO93" s="133">
        <f>VLOOKUP(A93,'2022_PAPI_Indicators'!A88:AN268,39,FALSE)</f>
        <v>0.56390249729156494</v>
      </c>
      <c r="AP93" s="133">
        <f>VLOOKUP(A93,'2022_PAPI_Indicators'!A88:AO268,40,FALSE)</f>
        <v>0.5448378324508667</v>
      </c>
      <c r="AQ93" s="133">
        <f>VLOOKUP(A93,'2022_PAPI_Indicators'!A88:AP268,41,FALSE)</f>
        <v>0.39677625894546509</v>
      </c>
      <c r="AR93" s="133">
        <f>VLOOKUP(A93,'2022_PAPI_Indicators'!A88:AQ268,42,FALSE)</f>
        <v>0.33378380537033081</v>
      </c>
      <c r="AS93" s="133">
        <f>VLOOKUP(A93,'2022_PAPI_Indicators'!A88:AR268,43,FALSE)</f>
        <v>0.33983993530273438</v>
      </c>
      <c r="AT93" s="133">
        <f>VLOOKUP(A93,'2022_PAPI_Indicators'!A88:AS268,44,FALSE)</f>
        <v>0.39252603054046631</v>
      </c>
      <c r="AU93" s="133">
        <f>VLOOKUP(A93,'2022_PAPI_Indicators'!A88:AT268,45,FALSE)</f>
        <v>0.40459224581718445</v>
      </c>
      <c r="AV93" s="133">
        <f>VLOOKUP(A93,'2022_PAPI_Indicators'!A88:AU268,46,FALSE)</f>
        <v>0.30426764488220215</v>
      </c>
      <c r="AW93" s="133">
        <f>VLOOKUP(A93,'2022_PAPI_Indicators'!A88:AV268,47,FALSE)</f>
        <v>0.36652117967605591</v>
      </c>
      <c r="AX93" s="133">
        <f>VLOOKUP(A93,'2022_PAPI_Indicators'!A88:AW268,48,FALSE)</f>
        <v>0.66618728637695313</v>
      </c>
      <c r="AY93" s="133">
        <f>VLOOKUP(A93,'2022_PAPI_Indicators'!A88:AX268,49,FALSE)</f>
        <v>0.45796290040016174</v>
      </c>
      <c r="AZ93" s="133">
        <f>VLOOKUP(A93,'2022_PAPI_Indicators'!A88:AY268,50,FALSE)</f>
        <v>0.40353184938430786</v>
      </c>
      <c r="BA93" s="133">
        <f>VLOOKUP(A93,'2022_PAPI_Indicators'!A88:AZ268,51,FALSE)</f>
        <v>0.45041882991790771</v>
      </c>
      <c r="BB93" s="133">
        <f>VLOOKUP(A93,'2022_PAPI_Indicators'!A88:BA268,52,FALSE)</f>
        <v>0.31538873910903931</v>
      </c>
      <c r="BC93" s="133">
        <f>VLOOKUP(A93,'2022_PAPI_Indicators'!A88:BB268,53,FALSE)</f>
        <v>0.45273253321647644</v>
      </c>
      <c r="BD93" s="133">
        <f>VLOOKUP(A93,'2022_PAPI_Indicators'!A88:BC268,54,FALSE)</f>
        <v>0.30170953273773193</v>
      </c>
      <c r="BE93" s="133">
        <f>VLOOKUP(A93,'2022_PAPI_Indicators'!A88:BD268,55,FALSE)</f>
        <v>0.44039785861968994</v>
      </c>
      <c r="BF93" s="133">
        <f>VLOOKUP(A93,'2022_PAPI_Indicators'!A88:BE268,56,FALSE)</f>
        <v>0.48852783441543579</v>
      </c>
      <c r="BG93" s="133">
        <f>VLOOKUP(A93,'2022_PAPI_Indicators'!A88:BF268,57,FALSE)</f>
        <v>0.36277037858963013</v>
      </c>
      <c r="BH93" s="133">
        <f>VLOOKUP(A93,'2022_PAPI_Indicators'!A88:BG268,58,FALSE)</f>
        <v>0.50841665267944336</v>
      </c>
      <c r="BI93" s="133">
        <f>VLOOKUP(A93,'2022_PAPI_Indicators'!A88:BH268,59,FALSE)</f>
        <v>0.40804651379585266</v>
      </c>
      <c r="BJ93" s="133">
        <f>VLOOKUP(A93,'2022_PAPI_Indicators'!A88:BI268,60,FALSE)</f>
        <v>0.43038254976272583</v>
      </c>
      <c r="BK93" s="133">
        <f>VLOOKUP(A93,'2022_PAPI_Indicators'!A88:BJ268,61,FALSE)</f>
        <v>0.50482344627380371</v>
      </c>
      <c r="BL93" s="133">
        <f>VLOOKUP(A93,'2022_PAPI_Indicators'!A88:BK268,62,FALSE)</f>
        <v>0.4682672917842865</v>
      </c>
      <c r="BM93" s="133">
        <f>VLOOKUP(A93,'2022_PAPI_Indicators'!A88:BL268,63,FALSE)</f>
        <v>0.54502636194229126</v>
      </c>
      <c r="BN93" s="133">
        <f>VLOOKUP(A93,'2022_PAPI_Indicators'!A88:BM268,64,FALSE)</f>
        <v>0.4360852837562561</v>
      </c>
    </row>
    <row r="94" spans="1:66" s="69" customFormat="1" x14ac:dyDescent="0.2">
      <c r="A94" s="70" t="s">
        <v>252</v>
      </c>
      <c r="B94" s="70" t="s">
        <v>253</v>
      </c>
      <c r="C94" s="89" t="s">
        <v>254</v>
      </c>
      <c r="D94" s="140">
        <f>VLOOKUP(A94,'2022_PAPI_Indicators'!A89:B269,2,)</f>
        <v>29282.158203125</v>
      </c>
      <c r="E94" s="140">
        <f>VLOOKUP(A94,'2022_PAPI_Indicators'!A89:C269,3,FALSE)</f>
        <v>21065.083984375</v>
      </c>
      <c r="F94" s="140">
        <f>VLOOKUP(A94,'2022_PAPI_Indicators'!A89:D269,4,FALSE)</f>
        <v>29353.646484375</v>
      </c>
      <c r="G94" s="140">
        <f>VLOOKUP(A94,'2022_PAPI_Indicators'!A89:E269,5,FALSE)</f>
        <v>35712.82421875</v>
      </c>
      <c r="H94" s="140">
        <f>VLOOKUP(A94,'2022_PAPI_Indicators'!A89:F269,6,FALSE)</f>
        <v>30436.65625</v>
      </c>
      <c r="I94" s="140">
        <f>VLOOKUP(A94,'2022_PAPI_Indicators'!A89:G269,7,FALSE)</f>
        <v>28735.919921875</v>
      </c>
      <c r="J94" s="140">
        <f>VLOOKUP(A94,'2022_PAPI_Indicators'!A89:H269,8,FALSE)</f>
        <v>24894.958984375</v>
      </c>
      <c r="K94" s="140">
        <f>VLOOKUP(A94,'2022_PAPI_Indicators'!A89:I269,9,FALSE)</f>
        <v>28136.39453125</v>
      </c>
      <c r="L94" s="140">
        <f>VLOOKUP(A94,'2022_PAPI_Indicators'!A89:J269,10,FALSE)</f>
        <v>30289.076171875</v>
      </c>
      <c r="M94" s="140">
        <f>VLOOKUP(A94,'2022_PAPI_Indicators'!A89:K269,11,FALSE)</f>
        <v>30430.15625</v>
      </c>
      <c r="N94" s="140">
        <f>VLOOKUP(A94,'2022_PAPI_Indicators'!A89:L269,12,FALSE)</f>
        <v>27664.6640625</v>
      </c>
      <c r="O94" s="140">
        <f>VLOOKUP(A94,'2022_PAPI_Indicators'!A89:M269,13,FALSE)</f>
        <v>34603.1015625</v>
      </c>
      <c r="P94" s="140">
        <f>VLOOKUP(A94,'2022_PAPI_Indicators'!A89:N269,14,FALSE)</f>
        <v>33213.6171875</v>
      </c>
      <c r="Q94" s="140">
        <f>VLOOKUP(A94,'2022_PAPI_Indicators'!A89:O269,15,FALSE)</f>
        <v>35520.78515625</v>
      </c>
      <c r="R94" s="141">
        <f>VLOOKUP(A94,'2022_PAPI_Indicators'!A89:P269,16,FALSE)</f>
        <v>0</v>
      </c>
      <c r="S94" s="140">
        <f>VLOOKUP(A94,'2022_PAPI_Indicators'!A89:R269,17,FALSE)</f>
        <v>33948.05078125</v>
      </c>
      <c r="T94" s="140">
        <f>VLOOKUP(A94,'2022_PAPI_Indicators'!A89:S269,18,FALSE)</f>
        <v>31236.595703125</v>
      </c>
      <c r="U94" s="141">
        <f>VLOOKUP(A94,'2022_PAPI_Indicators'!A89:T269,19,FALSE)</f>
        <v>0</v>
      </c>
      <c r="V94" s="140">
        <f>VLOOKUP(A94,'2022_PAPI_Indicators'!A89:U269,20,FALSE)</f>
        <v>26604.96875</v>
      </c>
      <c r="W94" s="140">
        <f>VLOOKUP(A94,'2022_PAPI_Indicators'!A89:V269,21,FALSE)</f>
        <v>30387.23046875</v>
      </c>
      <c r="X94" s="140">
        <f>VLOOKUP(A94,'2022_PAPI_Indicators'!A89:W269,22,FALSE)</f>
        <v>29305.447265625</v>
      </c>
      <c r="Y94" s="140">
        <f>VLOOKUP(A94,'2022_PAPI_Indicators'!A89:X269,23,FALSE)</f>
        <v>43008.98828125</v>
      </c>
      <c r="Z94" s="140">
        <f>VLOOKUP(A94,'2022_PAPI_Indicators'!A89:Y269,24,FALSE)</f>
        <v>29823.171875</v>
      </c>
      <c r="AA94" s="140">
        <f>VLOOKUP(A94,'2022_PAPI_Indicators'!A89:Z269,25,FALSE)</f>
        <v>26187.62109375</v>
      </c>
      <c r="AB94" s="140">
        <f>VLOOKUP(A94,'2022_PAPI_Indicators'!A89:AA269,26,FALSE)</f>
        <v>32138.37890625</v>
      </c>
      <c r="AC94" s="140">
        <f>VLOOKUP(A94,'2022_PAPI_Indicators'!A89:AB269,27,FALSE)</f>
        <v>33421.65234375</v>
      </c>
      <c r="AD94" s="140">
        <f>VLOOKUP(A94,'2022_PAPI_Indicators'!A89:AC269,28,FALSE)</f>
        <v>32375.818359375</v>
      </c>
      <c r="AE94" s="140">
        <f>VLOOKUP(A94,'2022_PAPI_Indicators'!A89:AD269,29,FALSE)</f>
        <v>20271.990234375</v>
      </c>
      <c r="AF94" s="140">
        <f>VLOOKUP(A94,'2022_PAPI_Indicators'!A89:AE269,30,FALSE)</f>
        <v>35334.28125</v>
      </c>
      <c r="AG94" s="140">
        <f>VLOOKUP(A94,'2022_PAPI_Indicators'!A89:AF269,31,FALSE)</f>
        <v>31538.96484375</v>
      </c>
      <c r="AH94" s="140">
        <f>VLOOKUP(A94,'2022_PAPI_Indicators'!A89:AG269,32,FALSE)</f>
        <v>40747.80078125</v>
      </c>
      <c r="AI94" s="140">
        <f>VLOOKUP(A94,'2022_PAPI_Indicators'!A89:AH269,33,FALSE)</f>
        <v>38031.55859375</v>
      </c>
      <c r="AJ94" s="140">
        <f>VLOOKUP(A94,'2022_PAPI_Indicators'!A89:AI269,34,FALSE)</f>
        <v>35056.58203125</v>
      </c>
      <c r="AK94" s="140">
        <f>VLOOKUP(A94,'2022_PAPI_Indicators'!A89:AJ269,35,FALSE)</f>
        <v>26826.724609375</v>
      </c>
      <c r="AL94" s="140">
        <f>VLOOKUP(A94,'2022_PAPI_Indicators'!A89:AK269,36,FALSE)</f>
        <v>29896.8203125</v>
      </c>
      <c r="AM94" s="140">
        <f>VLOOKUP(A94,'2022_PAPI_Indicators'!A89:AL269,37,FALSE)</f>
        <v>32075.642578125</v>
      </c>
      <c r="AN94" s="140">
        <f>VLOOKUP(A94,'2022_PAPI_Indicators'!A89:AM269,38,FALSE)</f>
        <v>27751.234375</v>
      </c>
      <c r="AO94" s="140">
        <f>VLOOKUP(A94,'2022_PAPI_Indicators'!A89:AN269,39,FALSE)</f>
        <v>27778.4140625</v>
      </c>
      <c r="AP94" s="140">
        <f>VLOOKUP(A94,'2022_PAPI_Indicators'!A89:AO269,40,FALSE)</f>
        <v>36270.4609375</v>
      </c>
      <c r="AQ94" s="140">
        <f>VLOOKUP(A94,'2022_PAPI_Indicators'!A89:AP269,41,FALSE)</f>
        <v>23330.4296875</v>
      </c>
      <c r="AR94" s="140">
        <f>VLOOKUP(A94,'2022_PAPI_Indicators'!A89:AQ269,42,FALSE)</f>
        <v>27710.556640625</v>
      </c>
      <c r="AS94" s="140">
        <f>VLOOKUP(A94,'2022_PAPI_Indicators'!A89:AR269,43,FALSE)</f>
        <v>27289.54296875</v>
      </c>
      <c r="AT94" s="140">
        <f>VLOOKUP(A94,'2022_PAPI_Indicators'!A89:AS269,44,FALSE)</f>
        <v>28958.49609375</v>
      </c>
      <c r="AU94" s="140">
        <f>VLOOKUP(A94,'2022_PAPI_Indicators'!A89:AT269,45,FALSE)</f>
        <v>26072.025390625</v>
      </c>
      <c r="AV94" s="140">
        <f>VLOOKUP(A94,'2022_PAPI_Indicators'!A89:AU269,46,FALSE)</f>
        <v>34942.01953125</v>
      </c>
      <c r="AW94" s="140">
        <f>VLOOKUP(A94,'2022_PAPI_Indicators'!A89:AV269,47,FALSE)</f>
        <v>34526.8671875</v>
      </c>
      <c r="AX94" s="140">
        <f>VLOOKUP(A94,'2022_PAPI_Indicators'!A89:AW269,48,FALSE)</f>
        <v>30701.337890625</v>
      </c>
      <c r="AY94" s="140">
        <f>VLOOKUP(A94,'2022_PAPI_Indicators'!A89:AX269,49,FALSE)</f>
        <v>33323.046875</v>
      </c>
      <c r="AZ94" s="140">
        <f>VLOOKUP(A94,'2022_PAPI_Indicators'!A89:AY269,50,FALSE)</f>
        <v>33962.80859375</v>
      </c>
      <c r="BA94" s="140">
        <f>VLOOKUP(A94,'2022_PAPI_Indicators'!A89:AZ269,51,FALSE)</f>
        <v>24891.3984375</v>
      </c>
      <c r="BB94" s="140">
        <f>VLOOKUP(A94,'2022_PAPI_Indicators'!A89:BA269,52,FALSE)</f>
        <v>26905.55859375</v>
      </c>
      <c r="BC94" s="140">
        <f>VLOOKUP(A94,'2022_PAPI_Indicators'!A89:BB269,53,FALSE)</f>
        <v>30421.263671875</v>
      </c>
      <c r="BD94" s="140">
        <f>VLOOKUP(A94,'2022_PAPI_Indicators'!A89:BC269,54,FALSE)</f>
        <v>33805.1875</v>
      </c>
      <c r="BE94" s="140">
        <f>VLOOKUP(A94,'2022_PAPI_Indicators'!A89:BD269,55,FALSE)</f>
        <v>29137.150390625</v>
      </c>
      <c r="BF94" s="140">
        <f>VLOOKUP(A94,'2022_PAPI_Indicators'!A89:BE269,56,FALSE)</f>
        <v>36037.75390625</v>
      </c>
      <c r="BG94" s="140">
        <f>VLOOKUP(A94,'2022_PAPI_Indicators'!A89:BF269,57,FALSE)</f>
        <v>29452.30078125</v>
      </c>
      <c r="BH94" s="140">
        <f>VLOOKUP(A94,'2022_PAPI_Indicators'!A89:BG269,58,FALSE)</f>
        <v>30765.48046875</v>
      </c>
      <c r="BI94" s="140">
        <f>VLOOKUP(A94,'2022_PAPI_Indicators'!A89:BH269,59,FALSE)</f>
        <v>34132.51953125</v>
      </c>
      <c r="BJ94" s="140">
        <f>VLOOKUP(A94,'2022_PAPI_Indicators'!A89:BI269,60,FALSE)</f>
        <v>31833.90625</v>
      </c>
      <c r="BK94" s="140">
        <f>VLOOKUP(A94,'2022_PAPI_Indicators'!A89:BJ269,61,FALSE)</f>
        <v>33598.37109375</v>
      </c>
      <c r="BL94" s="140">
        <f>VLOOKUP(A94,'2022_PAPI_Indicators'!A89:BK269,62,FALSE)</f>
        <v>36333.55859375</v>
      </c>
      <c r="BM94" s="140">
        <f>VLOOKUP(A94,'2022_PAPI_Indicators'!A89:BL269,63,FALSE)</f>
        <v>29821.693359375</v>
      </c>
      <c r="BN94" s="140">
        <f>VLOOKUP(A94,'2022_PAPI_Indicators'!A89:BM269,64,FALSE)</f>
        <v>33726.265625</v>
      </c>
    </row>
    <row r="95" spans="1:66" s="69" customFormat="1" x14ac:dyDescent="0.2">
      <c r="A95" s="70" t="s">
        <v>255</v>
      </c>
      <c r="B95" s="70" t="s">
        <v>256</v>
      </c>
      <c r="C95" s="89" t="s">
        <v>90</v>
      </c>
      <c r="D95" s="134">
        <v>2.1664895117282867E-2</v>
      </c>
      <c r="E95" s="134">
        <v>0</v>
      </c>
      <c r="F95" s="134">
        <v>0</v>
      </c>
      <c r="G95" s="134">
        <v>9.8304137587547302E-2</v>
      </c>
      <c r="H95" s="134">
        <v>0</v>
      </c>
      <c r="I95" s="134">
        <v>0</v>
      </c>
      <c r="J95" s="134">
        <v>0.3001897931098938</v>
      </c>
      <c r="K95" s="134">
        <v>8.7206512689590454E-2</v>
      </c>
      <c r="L95" s="134">
        <v>0</v>
      </c>
      <c r="M95" s="134">
        <v>0</v>
      </c>
      <c r="N95" s="134">
        <v>0.27007436752319336</v>
      </c>
      <c r="O95" s="134">
        <v>0</v>
      </c>
      <c r="P95" s="134">
        <v>0</v>
      </c>
      <c r="Q95" s="134">
        <v>1</v>
      </c>
      <c r="R95" s="135">
        <v>0</v>
      </c>
      <c r="S95" s="134">
        <v>0</v>
      </c>
      <c r="T95" s="134">
        <v>0</v>
      </c>
      <c r="U95" s="135">
        <v>0</v>
      </c>
      <c r="V95" s="134">
        <v>0</v>
      </c>
      <c r="W95" s="134">
        <v>0</v>
      </c>
      <c r="X95" s="134">
        <v>0</v>
      </c>
      <c r="Y95" s="134">
        <v>0</v>
      </c>
      <c r="Z95" s="134">
        <v>0</v>
      </c>
      <c r="AA95" s="134">
        <v>0</v>
      </c>
      <c r="AB95" s="134">
        <v>0</v>
      </c>
      <c r="AC95" s="134">
        <v>0.21675676107406616</v>
      </c>
      <c r="AD95" s="134">
        <v>0</v>
      </c>
      <c r="AE95" s="134">
        <v>0</v>
      </c>
      <c r="AF95" s="134">
        <v>0</v>
      </c>
      <c r="AG95" s="134">
        <v>0</v>
      </c>
      <c r="AH95" s="134">
        <v>0</v>
      </c>
      <c r="AI95" s="134">
        <v>0</v>
      </c>
      <c r="AJ95" s="134">
        <v>0</v>
      </c>
      <c r="AK95" s="134">
        <v>0</v>
      </c>
      <c r="AL95" s="134">
        <v>0</v>
      </c>
      <c r="AM95" s="134">
        <v>0</v>
      </c>
      <c r="AN95" s="134">
        <v>0</v>
      </c>
      <c r="AO95" s="134">
        <v>0</v>
      </c>
      <c r="AP95" s="134">
        <v>0</v>
      </c>
      <c r="AQ95" s="134">
        <v>0</v>
      </c>
      <c r="AR95" s="134">
        <v>0.17244124412536621</v>
      </c>
      <c r="AS95" s="134">
        <v>0.13390825688838959</v>
      </c>
      <c r="AT95" s="134">
        <v>0</v>
      </c>
      <c r="AU95" s="134">
        <v>0</v>
      </c>
      <c r="AV95" s="134">
        <v>0</v>
      </c>
      <c r="AW95" s="134">
        <v>0</v>
      </c>
      <c r="AX95" s="134">
        <v>0</v>
      </c>
      <c r="AY95" s="134">
        <v>7.561115175485611E-2</v>
      </c>
      <c r="AZ95" s="134">
        <v>0</v>
      </c>
      <c r="BA95" s="134">
        <v>0</v>
      </c>
      <c r="BB95" s="134">
        <v>0</v>
      </c>
      <c r="BC95" s="134">
        <v>0</v>
      </c>
      <c r="BD95" s="134">
        <v>0</v>
      </c>
      <c r="BE95" s="134">
        <v>0</v>
      </c>
      <c r="BF95" s="134">
        <v>0.38711050152778625</v>
      </c>
      <c r="BG95" s="134">
        <v>0</v>
      </c>
      <c r="BH95" s="134">
        <v>0</v>
      </c>
      <c r="BI95" s="134">
        <v>0</v>
      </c>
      <c r="BJ95" s="134">
        <v>0</v>
      </c>
      <c r="BK95" s="134">
        <v>0</v>
      </c>
      <c r="BL95" s="134">
        <v>0</v>
      </c>
      <c r="BM95" s="142"/>
      <c r="BN95" s="142"/>
    </row>
    <row r="96" spans="1:66" s="85" customFormat="1" x14ac:dyDescent="0.2">
      <c r="A96" s="85" t="s">
        <v>257</v>
      </c>
      <c r="B96" s="85" t="s">
        <v>258</v>
      </c>
      <c r="C96" s="93" t="s">
        <v>90</v>
      </c>
      <c r="D96" s="136">
        <v>0.50272434949874878</v>
      </c>
      <c r="E96" s="136">
        <v>0.37305721640586853</v>
      </c>
      <c r="F96" s="136">
        <v>0.58054697513580322</v>
      </c>
      <c r="G96" s="136">
        <v>0.36936527490615845</v>
      </c>
      <c r="H96" s="136">
        <v>0.42935463786125183</v>
      </c>
      <c r="I96" s="136">
        <v>0.67136090993881226</v>
      </c>
      <c r="J96" s="136">
        <v>0.15501955151557922</v>
      </c>
      <c r="K96" s="136">
        <v>0.20899952948093414</v>
      </c>
      <c r="L96" s="136">
        <v>0.72820240259170532</v>
      </c>
      <c r="M96" s="136">
        <v>0.36197265982627869</v>
      </c>
      <c r="N96" s="136">
        <v>0.4582374095916748</v>
      </c>
      <c r="O96" s="136">
        <v>0.4977487325668335</v>
      </c>
      <c r="P96" s="136">
        <v>0.53935897350311279</v>
      </c>
      <c r="Q96" s="136">
        <v>0.45659822225570679</v>
      </c>
      <c r="R96" s="135">
        <v>0</v>
      </c>
      <c r="S96" s="136">
        <v>0.68222337961196899</v>
      </c>
      <c r="T96" s="136">
        <v>0.50262326002120972</v>
      </c>
      <c r="U96" s="135">
        <v>0</v>
      </c>
      <c r="V96" s="136">
        <v>0.5097317099571228</v>
      </c>
      <c r="W96" s="136">
        <v>0.35138723254203796</v>
      </c>
      <c r="X96" s="136">
        <v>0.25328055024147034</v>
      </c>
      <c r="Y96" s="136">
        <v>0.27594444155693054</v>
      </c>
      <c r="Z96" s="136">
        <v>0.28855052590370178</v>
      </c>
      <c r="AA96" s="136">
        <v>0.25438413023948669</v>
      </c>
      <c r="AB96" s="136">
        <v>0.40046724677085876</v>
      </c>
      <c r="AC96" s="136">
        <v>0.30980682373046875</v>
      </c>
      <c r="AD96" s="136">
        <v>0.42317688465118408</v>
      </c>
      <c r="AE96" s="136">
        <v>0.38453838229179382</v>
      </c>
      <c r="AF96" s="136">
        <v>0.66436392068862915</v>
      </c>
      <c r="AG96" s="136">
        <v>0.69011896848678589</v>
      </c>
      <c r="AH96" s="136">
        <v>0.46186333894729614</v>
      </c>
      <c r="AI96" s="136">
        <v>0.64221596717834473</v>
      </c>
      <c r="AJ96" s="136">
        <v>0.55869990587234497</v>
      </c>
      <c r="AK96" s="136">
        <v>0.3663230836391449</v>
      </c>
      <c r="AL96" s="136">
        <v>0.55028229951858521</v>
      </c>
      <c r="AM96" s="136">
        <v>0.28485766053199768</v>
      </c>
      <c r="AN96" s="136">
        <v>0.33250764012336731</v>
      </c>
      <c r="AO96" s="136">
        <v>0.26272016763687134</v>
      </c>
      <c r="AP96" s="136">
        <v>0.27836358547210693</v>
      </c>
      <c r="AQ96" s="136">
        <v>0.47409719228744507</v>
      </c>
      <c r="AR96" s="136">
        <v>0.43787017464637756</v>
      </c>
      <c r="AS96" s="136">
        <v>0.84091228246688843</v>
      </c>
      <c r="AT96" s="136">
        <v>0.32931378483772278</v>
      </c>
      <c r="AU96" s="136">
        <v>0.50159043073654175</v>
      </c>
      <c r="AV96" s="136">
        <v>0.61109548807144165</v>
      </c>
      <c r="AW96" s="136">
        <v>0.39814296364784241</v>
      </c>
      <c r="AX96" s="136">
        <v>0.42261281609535217</v>
      </c>
      <c r="AY96" s="136">
        <v>0.46181750297546387</v>
      </c>
      <c r="AZ96" s="136">
        <v>0.57494384050369263</v>
      </c>
      <c r="BA96" s="136">
        <v>0.50237780809402466</v>
      </c>
      <c r="BB96" s="136">
        <v>0.38283523917198181</v>
      </c>
      <c r="BC96" s="136">
        <v>0.47088390588760376</v>
      </c>
      <c r="BD96" s="136">
        <v>0.64650392532348633</v>
      </c>
      <c r="BE96" s="136">
        <v>0.33837714791297913</v>
      </c>
      <c r="BF96" s="136">
        <v>0.23473115265369415</v>
      </c>
      <c r="BG96" s="136">
        <v>0.31958940625190735</v>
      </c>
      <c r="BH96" s="136">
        <v>0.45806166529655457</v>
      </c>
      <c r="BI96" s="136">
        <v>0.6064574122428894</v>
      </c>
      <c r="BJ96" s="136">
        <v>0.62410265207290649</v>
      </c>
      <c r="BK96" s="136">
        <v>0.37116345763206482</v>
      </c>
      <c r="BL96" s="136">
        <v>0.32956001162528992</v>
      </c>
      <c r="BM96" s="136">
        <v>0.30389821529388428</v>
      </c>
      <c r="BN96" s="136">
        <v>0.66572070121765137</v>
      </c>
    </row>
    <row r="97" spans="1:66" s="85" customFormat="1" x14ac:dyDescent="0.2">
      <c r="A97" s="85" t="s">
        <v>259</v>
      </c>
      <c r="B97" s="85" t="s">
        <v>260</v>
      </c>
      <c r="C97" s="93" t="s">
        <v>90</v>
      </c>
      <c r="D97" s="136">
        <v>0.5302245020866394</v>
      </c>
      <c r="E97" s="136">
        <v>0.39818075299263</v>
      </c>
      <c r="F97" s="136">
        <v>0.44487133622169495</v>
      </c>
      <c r="G97" s="136">
        <v>0.66319423913955688</v>
      </c>
      <c r="H97" s="136">
        <v>0.46621042490005493</v>
      </c>
      <c r="I97" s="136">
        <v>0.78320503234863281</v>
      </c>
      <c r="J97" s="136">
        <v>0.57999056577682495</v>
      </c>
      <c r="K97" s="136">
        <v>0.63973355293273926</v>
      </c>
      <c r="L97" s="136">
        <v>0.85260307788848877</v>
      </c>
      <c r="M97" s="136">
        <v>0.57860845327377319</v>
      </c>
      <c r="N97" s="136">
        <v>0.60145735740661621</v>
      </c>
      <c r="O97" s="136">
        <v>0.80436617136001587</v>
      </c>
      <c r="P97" s="136">
        <v>0.90256065130233765</v>
      </c>
      <c r="Q97" s="136">
        <v>0.79301506280899048</v>
      </c>
      <c r="R97" s="135">
        <v>0</v>
      </c>
      <c r="S97" s="136">
        <v>0.55167990922927856</v>
      </c>
      <c r="T97" s="136">
        <v>0.49220070242881775</v>
      </c>
      <c r="U97" s="135">
        <v>0</v>
      </c>
      <c r="V97" s="136">
        <v>0.58603155612945557</v>
      </c>
      <c r="W97" s="136">
        <v>0.56229245662689209</v>
      </c>
      <c r="X97" s="136">
        <v>0.47882235050201416</v>
      </c>
      <c r="Y97" s="136">
        <v>0.47780406475067139</v>
      </c>
      <c r="Z97" s="136">
        <v>0.46185436844825745</v>
      </c>
      <c r="AA97" s="136">
        <v>0.39780676364898682</v>
      </c>
      <c r="AB97" s="136">
        <v>0.51148474216461182</v>
      </c>
      <c r="AC97" s="136">
        <v>0.48502692580223083</v>
      </c>
      <c r="AD97" s="136">
        <v>0.52559036016464233</v>
      </c>
      <c r="AE97" s="136">
        <v>0.48460748791694641</v>
      </c>
      <c r="AF97" s="136">
        <v>0.78279018402099609</v>
      </c>
      <c r="AG97" s="136">
        <v>0.40205740928649902</v>
      </c>
      <c r="AH97" s="136">
        <v>0.29803341627120972</v>
      </c>
      <c r="AI97" s="136">
        <v>0.43327748775482178</v>
      </c>
      <c r="AJ97" s="136">
        <v>0.39315375685691833</v>
      </c>
      <c r="AK97" s="136">
        <v>0.45655238628387451</v>
      </c>
      <c r="AL97" s="136">
        <v>0.37473073601722717</v>
      </c>
      <c r="AM97" s="136">
        <v>0.2314714789390564</v>
      </c>
      <c r="AN97" s="136">
        <v>0.35347160696983337</v>
      </c>
      <c r="AO97" s="136">
        <v>0.36005264520645142</v>
      </c>
      <c r="AP97" s="136">
        <v>0.41165843605995178</v>
      </c>
      <c r="AQ97" s="136">
        <v>0.40702161192893982</v>
      </c>
      <c r="AR97" s="136">
        <v>0.49609819054603577</v>
      </c>
      <c r="AS97" s="136">
        <v>0.41170260310173035</v>
      </c>
      <c r="AT97" s="136">
        <v>0.33885020017623901</v>
      </c>
      <c r="AU97" s="136">
        <v>0.61562395095825195</v>
      </c>
      <c r="AV97" s="136">
        <v>0.40017986297607422</v>
      </c>
      <c r="AW97" s="136">
        <v>0.54339122772216797</v>
      </c>
      <c r="AX97" s="136">
        <v>0.30498969554901123</v>
      </c>
      <c r="AY97" s="136">
        <v>0.48741647601127625</v>
      </c>
      <c r="AZ97" s="136">
        <v>0.36876434087753296</v>
      </c>
      <c r="BA97" s="136">
        <v>0.25658160448074341</v>
      </c>
      <c r="BB97" s="136">
        <v>0.57427459955215454</v>
      </c>
      <c r="BC97" s="136">
        <v>0.41110730171203613</v>
      </c>
      <c r="BD97" s="136">
        <v>0.2321641594171524</v>
      </c>
      <c r="BE97" s="136">
        <v>0.33046439290046692</v>
      </c>
      <c r="BF97" s="136">
        <v>0.34796106815338135</v>
      </c>
      <c r="BG97" s="136">
        <v>0.43254399299621582</v>
      </c>
      <c r="BH97" s="136">
        <v>0.42157390713691711</v>
      </c>
      <c r="BI97" s="136">
        <v>0.36847448348999023</v>
      </c>
      <c r="BJ97" s="136">
        <v>0.52188175916671753</v>
      </c>
      <c r="BK97" s="136">
        <v>0.45854669809341431</v>
      </c>
      <c r="BL97" s="136">
        <v>0.38418292999267578</v>
      </c>
      <c r="BM97" s="136">
        <v>0.36165201663970947</v>
      </c>
      <c r="BN97" s="136">
        <v>0.34678950905799866</v>
      </c>
    </row>
    <row r="98" spans="1:66" s="83" customFormat="1" x14ac:dyDescent="0.2">
      <c r="A98" s="75" t="s">
        <v>261</v>
      </c>
      <c r="B98" s="76" t="s">
        <v>450</v>
      </c>
      <c r="C98" s="91" t="s">
        <v>85</v>
      </c>
      <c r="D98" s="129">
        <f>VLOOKUP(A98,'2022_PAPI_Indicators'!A93:B273,2,)</f>
        <v>7.3100886344909668</v>
      </c>
      <c r="E98" s="129">
        <f>VLOOKUP(A98,'2022_PAPI_Indicators'!A93:C273,3,FALSE)</f>
        <v>7.1843667030334473</v>
      </c>
      <c r="F98" s="129">
        <f>VLOOKUP(A98,'2022_PAPI_Indicators'!A93:D273,4,FALSE)</f>
        <v>7.0613975524902344</v>
      </c>
      <c r="G98" s="129">
        <f>VLOOKUP(A98,'2022_PAPI_Indicators'!A93:E273,5,FALSE)</f>
        <v>7.3774452209472656</v>
      </c>
      <c r="H98" s="129">
        <f>VLOOKUP(A98,'2022_PAPI_Indicators'!A93:F273,6,FALSE)</f>
        <v>7.1355791091918945</v>
      </c>
      <c r="I98" s="129">
        <f>VLOOKUP(A98,'2022_PAPI_Indicators'!A93:G273,7,FALSE)</f>
        <v>7.2720203399658203</v>
      </c>
      <c r="J98" s="129">
        <f>VLOOKUP(A98,'2022_PAPI_Indicators'!A93:H273,8,FALSE)</f>
        <v>7.0126233100891113</v>
      </c>
      <c r="K98" s="129">
        <f>VLOOKUP(A98,'2022_PAPI_Indicators'!A93:I273,9,FALSE)</f>
        <v>7.1850852966308594</v>
      </c>
      <c r="L98" s="129">
        <f>VLOOKUP(A98,'2022_PAPI_Indicators'!A93:J273,10,FALSE)</f>
        <v>7.3813962936401367</v>
      </c>
      <c r="M98" s="129">
        <f>VLOOKUP(A98,'2022_PAPI_Indicators'!A93:K273,11,FALSE)</f>
        <v>7.2090578079223633</v>
      </c>
      <c r="N98" s="129">
        <f>VLOOKUP(A98,'2022_PAPI_Indicators'!A93:L273,12,FALSE)</f>
        <v>6.6468024253845215</v>
      </c>
      <c r="O98" s="129">
        <f>VLOOKUP(A98,'2022_PAPI_Indicators'!A93:M273,13,FALSE)</f>
        <v>7.2042131423950195</v>
      </c>
      <c r="P98" s="129">
        <f>VLOOKUP(A98,'2022_PAPI_Indicators'!A93:N273,14,FALSE)</f>
        <v>7.2627081871032715</v>
      </c>
      <c r="Q98" s="129">
        <f>VLOOKUP(A98,'2022_PAPI_Indicators'!A93:O273,15,FALSE)</f>
        <v>7.6550760269165039</v>
      </c>
      <c r="R98" s="130">
        <f>VLOOKUP(A98,'2022_PAPI_Indicators'!A93:P273,16,FALSE)</f>
        <v>0</v>
      </c>
      <c r="S98" s="129">
        <f>VLOOKUP(A98,'2022_PAPI_Indicators'!A93:R273,17,FALSE)</f>
        <v>7.2750053405761719</v>
      </c>
      <c r="T98" s="129">
        <f>VLOOKUP(A98,'2022_PAPI_Indicators'!A93:S273,18,FALSE)</f>
        <v>7.1579360961914063</v>
      </c>
      <c r="U98" s="130">
        <f>VLOOKUP(A98,'2022_PAPI_Indicators'!A93:T273,19,FALSE)</f>
        <v>7.5820889472961426</v>
      </c>
      <c r="V98" s="129">
        <f>VLOOKUP(A98,'2022_PAPI_Indicators'!A93:U273,20,FALSE)</f>
        <v>7.2598567008972168</v>
      </c>
      <c r="W98" s="129">
        <f>VLOOKUP(A98,'2022_PAPI_Indicators'!A93:V273,21,FALSE)</f>
        <v>7.1115450859069824</v>
      </c>
      <c r="X98" s="129">
        <f>VLOOKUP(A98,'2022_PAPI_Indicators'!A93:W273,22,FALSE)</f>
        <v>7.6275625228881836</v>
      </c>
      <c r="Y98" s="129">
        <f>VLOOKUP(A98,'2022_PAPI_Indicators'!A93:X273,23,FALSE)</f>
        <v>7.0830698013305664</v>
      </c>
      <c r="Z98" s="129">
        <f>VLOOKUP(A98,'2022_PAPI_Indicators'!A93:Y273,24,FALSE)</f>
        <v>7.2404990196228027</v>
      </c>
      <c r="AA98" s="129">
        <f>VLOOKUP(A98,'2022_PAPI_Indicators'!A93:Z273,25,FALSE)</f>
        <v>7.3646101951599121</v>
      </c>
      <c r="AB98" s="129">
        <f>VLOOKUP(A98,'2022_PAPI_Indicators'!A93:AA273,26,FALSE)</f>
        <v>7.4360909461975098</v>
      </c>
      <c r="AC98" s="129">
        <f>VLOOKUP(A98,'2022_PAPI_Indicators'!A93:AB273,27,FALSE)</f>
        <v>7.4392595291137695</v>
      </c>
      <c r="AD98" s="129">
        <f>VLOOKUP(A98,'2022_PAPI_Indicators'!A93:AC273,28,FALSE)</f>
        <v>7.0631861686706543</v>
      </c>
      <c r="AE98" s="129">
        <f>VLOOKUP(A98,'2022_PAPI_Indicators'!A93:AD273,29,FALSE)</f>
        <v>7.3882136344909668</v>
      </c>
      <c r="AF98" s="129">
        <f>VLOOKUP(A98,'2022_PAPI_Indicators'!A93:AE273,30,FALSE)</f>
        <v>7.1305179595947266</v>
      </c>
      <c r="AG98" s="129">
        <f>VLOOKUP(A98,'2022_PAPI_Indicators'!A93:AF273,31,FALSE)</f>
        <v>6.9933686256408691</v>
      </c>
      <c r="AH98" s="129">
        <f>VLOOKUP(A98,'2022_PAPI_Indicators'!A93:AG273,32,FALSE)</f>
        <v>7.2938337326049805</v>
      </c>
      <c r="AI98" s="129">
        <f>VLOOKUP(A98,'2022_PAPI_Indicators'!A93:AH273,33,FALSE)</f>
        <v>7.3062219619750977</v>
      </c>
      <c r="AJ98" s="129">
        <f>VLOOKUP(A98,'2022_PAPI_Indicators'!A93:AI273,34,FALSE)</f>
        <v>7.1178221702575684</v>
      </c>
      <c r="AK98" s="129">
        <f>VLOOKUP(A98,'2022_PAPI_Indicators'!A93:AJ273,35,FALSE)</f>
        <v>7.178260326385498</v>
      </c>
      <c r="AL98" s="129">
        <f>VLOOKUP(A98,'2022_PAPI_Indicators'!A93:AK273,36,FALSE)</f>
        <v>7.0358519554138184</v>
      </c>
      <c r="AM98" s="129">
        <f>VLOOKUP(A98,'2022_PAPI_Indicators'!A93:AL273,37,FALSE)</f>
        <v>7.0172815322875977</v>
      </c>
      <c r="AN98" s="129">
        <f>VLOOKUP(A98,'2022_PAPI_Indicators'!A93:AM273,38,FALSE)</f>
        <v>7.3427681922912598</v>
      </c>
      <c r="AO98" s="129">
        <f>VLOOKUP(A98,'2022_PAPI_Indicators'!A93:AN273,39,FALSE)</f>
        <v>7.5295376777648926</v>
      </c>
      <c r="AP98" s="129">
        <f>VLOOKUP(A98,'2022_PAPI_Indicators'!A93:AO273,40,FALSE)</f>
        <v>7.4387602806091309</v>
      </c>
      <c r="AQ98" s="129">
        <f>VLOOKUP(A98,'2022_PAPI_Indicators'!A93:AP273,41,FALSE)</f>
        <v>6.894007682800293</v>
      </c>
      <c r="AR98" s="129">
        <f>VLOOKUP(A98,'2022_PAPI_Indicators'!A93:AQ273,42,FALSE)</f>
        <v>6.6384882926940918</v>
      </c>
      <c r="AS98" s="129">
        <f>VLOOKUP(A98,'2022_PAPI_Indicators'!A93:AR273,43,FALSE)</f>
        <v>7.2450494766235352</v>
      </c>
      <c r="AT98" s="129">
        <f>VLOOKUP(A98,'2022_PAPI_Indicators'!A93:AS273,44,FALSE)</f>
        <v>7.254117488861084</v>
      </c>
      <c r="AU98" s="129">
        <f>VLOOKUP(A98,'2022_PAPI_Indicators'!A93:AT273,45,FALSE)</f>
        <v>7.2094426155090332</v>
      </c>
      <c r="AV98" s="129">
        <f>VLOOKUP(A98,'2022_PAPI_Indicators'!A93:AU273,46,FALSE)</f>
        <v>7.0778846740722656</v>
      </c>
      <c r="AW98" s="129">
        <f>VLOOKUP(A98,'2022_PAPI_Indicators'!A93:AV273,47,FALSE)</f>
        <v>6.5760350227355957</v>
      </c>
      <c r="AX98" s="129">
        <f>VLOOKUP(A98,'2022_PAPI_Indicators'!A93:AW273,48,FALSE)</f>
        <v>7.4758787155151367</v>
      </c>
      <c r="AY98" s="129">
        <f>VLOOKUP(A98,'2022_PAPI_Indicators'!A93:AX273,49,FALSE)</f>
        <v>7.1641297340393066</v>
      </c>
      <c r="AZ98" s="129">
        <f>VLOOKUP(A98,'2022_PAPI_Indicators'!A93:AY273,50,FALSE)</f>
        <v>7.0796189308166504</v>
      </c>
      <c r="BA98" s="129">
        <f>VLOOKUP(A98,'2022_PAPI_Indicators'!A93:AZ273,51,FALSE)</f>
        <v>7.1545886993408203</v>
      </c>
      <c r="BB98" s="129">
        <f>VLOOKUP(A98,'2022_PAPI_Indicators'!A93:BA273,52,FALSE)</f>
        <v>7.2193088531494141</v>
      </c>
      <c r="BC98" s="129">
        <f>VLOOKUP(A98,'2022_PAPI_Indicators'!A93:BB273,53,FALSE)</f>
        <v>7.1929783821105957</v>
      </c>
      <c r="BD98" s="129">
        <f>VLOOKUP(A98,'2022_PAPI_Indicators'!A93:BC273,54,FALSE)</f>
        <v>7.3836445808410645</v>
      </c>
      <c r="BE98" s="129">
        <f>VLOOKUP(A98,'2022_PAPI_Indicators'!A93:BD273,55,FALSE)</f>
        <v>7.2851505279541016</v>
      </c>
      <c r="BF98" s="129">
        <f>VLOOKUP(A98,'2022_PAPI_Indicators'!A93:BE273,56,FALSE)</f>
        <v>7.2795648574829102</v>
      </c>
      <c r="BG98" s="129">
        <f>VLOOKUP(A98,'2022_PAPI_Indicators'!A93:BF273,57,FALSE)</f>
        <v>7.580986499786377</v>
      </c>
      <c r="BH98" s="129">
        <f>VLOOKUP(A98,'2022_PAPI_Indicators'!A93:BG273,58,FALSE)</f>
        <v>7.0618629455566406</v>
      </c>
      <c r="BI98" s="129">
        <f>VLOOKUP(A98,'2022_PAPI_Indicators'!A93:BH273,59,FALSE)</f>
        <v>7.186039924621582</v>
      </c>
      <c r="BJ98" s="129">
        <f>VLOOKUP(A98,'2022_PAPI_Indicators'!A93:BI273,60,FALSE)</f>
        <v>7.0766887664794922</v>
      </c>
      <c r="BK98" s="129">
        <f>VLOOKUP(A98,'2022_PAPI_Indicators'!A93:BJ273,61,FALSE)</f>
        <v>7.2648205757141113</v>
      </c>
      <c r="BL98" s="129">
        <f>VLOOKUP(A98,'2022_PAPI_Indicators'!A93:BK273,62,FALSE)</f>
        <v>7.4120903015136719</v>
      </c>
      <c r="BM98" s="129">
        <f>VLOOKUP(A98,'2022_PAPI_Indicators'!A93:BL273,63,FALSE)</f>
        <v>7.4739141464233398</v>
      </c>
      <c r="BN98" s="129">
        <f>VLOOKUP(A98,'2022_PAPI_Indicators'!A93:BM273,64,FALSE)</f>
        <v>7.3368282318115234</v>
      </c>
    </row>
    <row r="99" spans="1:66" s="112" customFormat="1" x14ac:dyDescent="0.2">
      <c r="A99" s="77" t="s">
        <v>263</v>
      </c>
      <c r="B99" s="77" t="s">
        <v>264</v>
      </c>
      <c r="C99" s="92" t="s">
        <v>449</v>
      </c>
      <c r="D99" s="131">
        <f>VLOOKUP(A99,'2022_PAPI_Indicators'!A94:B274,2,)</f>
        <v>2.5001900196075439</v>
      </c>
      <c r="E99" s="131">
        <f>VLOOKUP(A99,'2022_PAPI_Indicators'!A94:C274,3,FALSE)</f>
        <v>2.4748642444610596</v>
      </c>
      <c r="F99" s="131">
        <f>VLOOKUP(A99,'2022_PAPI_Indicators'!A94:D274,4,FALSE)</f>
        <v>2.4116997718811035</v>
      </c>
      <c r="G99" s="131">
        <f>VLOOKUP(A99,'2022_PAPI_Indicators'!A94:E274,5,FALSE)</f>
        <v>2.573563814163208</v>
      </c>
      <c r="H99" s="131">
        <f>VLOOKUP(A99,'2022_PAPI_Indicators'!A94:F274,6,FALSE)</f>
        <v>2.5161044597625732</v>
      </c>
      <c r="I99" s="131">
        <f>VLOOKUP(A99,'2022_PAPI_Indicators'!A94:G274,7,FALSE)</f>
        <v>2.4963574409484863</v>
      </c>
      <c r="J99" s="131">
        <f>VLOOKUP(A99,'2022_PAPI_Indicators'!A94:H274,8,FALSE)</f>
        <v>2.4955332279205322</v>
      </c>
      <c r="K99" s="131">
        <f>VLOOKUP(A99,'2022_PAPI_Indicators'!A94:I274,9,FALSE)</f>
        <v>2.438805103302002</v>
      </c>
      <c r="L99" s="131">
        <f>VLOOKUP(A99,'2022_PAPI_Indicators'!A94:J274,10,FALSE)</f>
        <v>2.4512801170349121</v>
      </c>
      <c r="M99" s="131">
        <f>VLOOKUP(A99,'2022_PAPI_Indicators'!A94:K274,11,FALSE)</f>
        <v>2.5893228054046631</v>
      </c>
      <c r="N99" s="131">
        <f>VLOOKUP(A99,'2022_PAPI_Indicators'!A94:L274,12,FALSE)</f>
        <v>2.3912980556488037</v>
      </c>
      <c r="O99" s="131">
        <f>VLOOKUP(A99,'2022_PAPI_Indicators'!A94:M274,13,FALSE)</f>
        <v>2.4963390827178955</v>
      </c>
      <c r="P99" s="131">
        <f>VLOOKUP(A99,'2022_PAPI_Indicators'!A94:N274,14,FALSE)</f>
        <v>2.5001235008239746</v>
      </c>
      <c r="Q99" s="131">
        <f>VLOOKUP(A99,'2022_PAPI_Indicators'!A94:O274,15,FALSE)</f>
        <v>2.6361923217773438</v>
      </c>
      <c r="R99" s="132">
        <f>VLOOKUP(A99,'2022_PAPI_Indicators'!A94:P274,16,FALSE)</f>
        <v>0</v>
      </c>
      <c r="S99" s="131">
        <f>VLOOKUP(A99,'2022_PAPI_Indicators'!A94:R274,17,FALSE)</f>
        <v>2.4944777488708496</v>
      </c>
      <c r="T99" s="131">
        <f>VLOOKUP(A99,'2022_PAPI_Indicators'!A94:S274,18,FALSE)</f>
        <v>2.4452745914459229</v>
      </c>
      <c r="U99" s="132">
        <f>VLOOKUP(A99,'2022_PAPI_Indicators'!A94:T274,19,FALSE)</f>
        <v>2.5532879829406738</v>
      </c>
      <c r="V99" s="131">
        <f>VLOOKUP(A99,'2022_PAPI_Indicators'!A94:U274,20,FALSE)</f>
        <v>2.388167142868042</v>
      </c>
      <c r="W99" s="131">
        <f>VLOOKUP(A99,'2022_PAPI_Indicators'!A94:V274,21,FALSE)</f>
        <v>2.5148863792419434</v>
      </c>
      <c r="X99" s="131">
        <f>VLOOKUP(A99,'2022_PAPI_Indicators'!A94:W274,22,FALSE)</f>
        <v>2.6078004837036133</v>
      </c>
      <c r="Y99" s="131">
        <f>VLOOKUP(A99,'2022_PAPI_Indicators'!A94:X274,23,FALSE)</f>
        <v>2.4095909595489502</v>
      </c>
      <c r="Z99" s="131">
        <f>VLOOKUP(A99,'2022_PAPI_Indicators'!A94:Y274,24,FALSE)</f>
        <v>2.4674272537231445</v>
      </c>
      <c r="AA99" s="131">
        <f>VLOOKUP(A99,'2022_PAPI_Indicators'!A94:Z274,25,FALSE)</f>
        <v>2.4781394004821777</v>
      </c>
      <c r="AB99" s="131">
        <f>VLOOKUP(A99,'2022_PAPI_Indicators'!A94:AA274,26,FALSE)</f>
        <v>2.5139491558074951</v>
      </c>
      <c r="AC99" s="131">
        <f>VLOOKUP(A99,'2022_PAPI_Indicators'!A94:AB274,27,FALSE)</f>
        <v>2.567255973815918</v>
      </c>
      <c r="AD99" s="131">
        <f>VLOOKUP(A99,'2022_PAPI_Indicators'!A94:AC274,28,FALSE)</f>
        <v>2.3788332939147949</v>
      </c>
      <c r="AE99" s="131">
        <f>VLOOKUP(A99,'2022_PAPI_Indicators'!A94:AD274,29,FALSE)</f>
        <v>2.5374319553375244</v>
      </c>
      <c r="AF99" s="131">
        <f>VLOOKUP(A99,'2022_PAPI_Indicators'!A94:AE274,30,FALSE)</f>
        <v>2.3708858489990234</v>
      </c>
      <c r="AG99" s="131">
        <f>VLOOKUP(A99,'2022_PAPI_Indicators'!A94:AF274,31,FALSE)</f>
        <v>2.3357524871826172</v>
      </c>
      <c r="AH99" s="131">
        <f>VLOOKUP(A99,'2022_PAPI_Indicators'!A94:AG274,32,FALSE)</f>
        <v>2.5294897556304932</v>
      </c>
      <c r="AI99" s="131">
        <f>VLOOKUP(A99,'2022_PAPI_Indicators'!A94:AH274,33,FALSE)</f>
        <v>2.4272365570068359</v>
      </c>
      <c r="AJ99" s="131">
        <f>VLOOKUP(A99,'2022_PAPI_Indicators'!A94:AI274,34,FALSE)</f>
        <v>2.3328802585601807</v>
      </c>
      <c r="AK99" s="131">
        <f>VLOOKUP(A99,'2022_PAPI_Indicators'!A94:AJ274,35,FALSE)</f>
        <v>2.4362337589263916</v>
      </c>
      <c r="AL99" s="131">
        <f>VLOOKUP(A99,'2022_PAPI_Indicators'!A94:AK274,36,FALSE)</f>
        <v>2.3866379261016846</v>
      </c>
      <c r="AM99" s="131">
        <f>VLOOKUP(A99,'2022_PAPI_Indicators'!A94:AL274,37,FALSE)</f>
        <v>2.3699014186859131</v>
      </c>
      <c r="AN99" s="131">
        <f>VLOOKUP(A99,'2022_PAPI_Indicators'!A94:AM274,38,FALSE)</f>
        <v>2.4229435920715332</v>
      </c>
      <c r="AO99" s="131">
        <f>VLOOKUP(A99,'2022_PAPI_Indicators'!A94:AN274,39,FALSE)</f>
        <v>2.5028789043426514</v>
      </c>
      <c r="AP99" s="131">
        <f>VLOOKUP(A99,'2022_PAPI_Indicators'!A94:AO274,40,FALSE)</f>
        <v>2.5449676513671875</v>
      </c>
      <c r="AQ99" s="131">
        <f>VLOOKUP(A99,'2022_PAPI_Indicators'!A94:AP274,41,FALSE)</f>
        <v>2.3141446113586426</v>
      </c>
      <c r="AR99" s="131">
        <f>VLOOKUP(A99,'2022_PAPI_Indicators'!A94:AQ274,42,FALSE)</f>
        <v>2.2610373497009277</v>
      </c>
      <c r="AS99" s="131">
        <f>VLOOKUP(A99,'2022_PAPI_Indicators'!A94:AR274,43,FALSE)</f>
        <v>2.4104037284851074</v>
      </c>
      <c r="AT99" s="131">
        <f>VLOOKUP(A99,'2022_PAPI_Indicators'!A94:AS274,44,FALSE)</f>
        <v>2.4284472465515137</v>
      </c>
      <c r="AU99" s="131">
        <f>VLOOKUP(A99,'2022_PAPI_Indicators'!A94:AT274,45,FALSE)</f>
        <v>2.3543980121612549</v>
      </c>
      <c r="AV99" s="131">
        <f>VLOOKUP(A99,'2022_PAPI_Indicators'!A94:AU274,46,FALSE)</f>
        <v>2.4267749786376953</v>
      </c>
      <c r="AW99" s="131">
        <f>VLOOKUP(A99,'2022_PAPI_Indicators'!A94:AV274,47,FALSE)</f>
        <v>2.2091338634490967</v>
      </c>
      <c r="AX99" s="131">
        <f>VLOOKUP(A99,'2022_PAPI_Indicators'!A94:AW274,48,FALSE)</f>
        <v>2.5849614143371582</v>
      </c>
      <c r="AY99" s="131">
        <f>VLOOKUP(A99,'2022_PAPI_Indicators'!A94:AX274,49,FALSE)</f>
        <v>2.3292365074157715</v>
      </c>
      <c r="AZ99" s="131">
        <f>VLOOKUP(A99,'2022_PAPI_Indicators'!A94:AY274,50,FALSE)</f>
        <v>2.4058656692504883</v>
      </c>
      <c r="BA99" s="131">
        <f>VLOOKUP(A99,'2022_PAPI_Indicators'!A94:AZ274,51,FALSE)</f>
        <v>2.4208881855010986</v>
      </c>
      <c r="BB99" s="131">
        <f>VLOOKUP(A99,'2022_PAPI_Indicators'!A94:BA274,52,FALSE)</f>
        <v>2.3953356742858887</v>
      </c>
      <c r="BC99" s="131">
        <f>VLOOKUP(A99,'2022_PAPI_Indicators'!A94:BB274,53,FALSE)</f>
        <v>2.2991642951965332</v>
      </c>
      <c r="BD99" s="131">
        <f>VLOOKUP(A99,'2022_PAPI_Indicators'!A94:BC274,54,FALSE)</f>
        <v>2.4416346549987793</v>
      </c>
      <c r="BE99" s="131">
        <f>VLOOKUP(A99,'2022_PAPI_Indicators'!A94:BD274,55,FALSE)</f>
        <v>2.3737308979034424</v>
      </c>
      <c r="BF99" s="131">
        <f>VLOOKUP(A99,'2022_PAPI_Indicators'!A94:BE274,56,FALSE)</f>
        <v>2.477628231048584</v>
      </c>
      <c r="BG99" s="131">
        <f>VLOOKUP(A99,'2022_PAPI_Indicators'!A94:BF274,57,FALSE)</f>
        <v>2.490729808807373</v>
      </c>
      <c r="BH99" s="131">
        <f>VLOOKUP(A99,'2022_PAPI_Indicators'!A94:BG274,58,FALSE)</f>
        <v>2.3158168792724609</v>
      </c>
      <c r="BI99" s="131">
        <f>VLOOKUP(A99,'2022_PAPI_Indicators'!A94:BH274,59,FALSE)</f>
        <v>2.3677494525909424</v>
      </c>
      <c r="BJ99" s="131">
        <f>VLOOKUP(A99,'2022_PAPI_Indicators'!A94:BI274,60,FALSE)</f>
        <v>2.3218441009521484</v>
      </c>
      <c r="BK99" s="131">
        <f>VLOOKUP(A99,'2022_PAPI_Indicators'!A94:BJ274,61,FALSE)</f>
        <v>2.3934700489044189</v>
      </c>
      <c r="BL99" s="131">
        <f>VLOOKUP(A99,'2022_PAPI_Indicators'!A94:BK274,62,FALSE)</f>
        <v>2.4041471481323242</v>
      </c>
      <c r="BM99" s="131">
        <f>VLOOKUP(A99,'2022_PAPI_Indicators'!A94:BL274,63,FALSE)</f>
        <v>2.5663864612579346</v>
      </c>
      <c r="BN99" s="131">
        <f>VLOOKUP(A99,'2022_PAPI_Indicators'!A94:BM274,64,FALSE)</f>
        <v>2.4191136360168457</v>
      </c>
    </row>
    <row r="100" spans="1:66" x14ac:dyDescent="0.2">
      <c r="A100" s="70" t="s">
        <v>265</v>
      </c>
      <c r="B100" s="70" t="s">
        <v>266</v>
      </c>
      <c r="C100" s="89" t="s">
        <v>90</v>
      </c>
      <c r="D100" s="133">
        <v>0.36</v>
      </c>
      <c r="E100" s="134">
        <v>0.37861749529838562</v>
      </c>
      <c r="F100" s="134">
        <v>0.33881902694702148</v>
      </c>
      <c r="G100" s="134">
        <v>0.43544545769691467</v>
      </c>
      <c r="H100" s="134">
        <v>0.41740095615386963</v>
      </c>
      <c r="I100" s="134">
        <v>0.44934454560279846</v>
      </c>
      <c r="J100" s="134">
        <v>0.46677497029304504</v>
      </c>
      <c r="K100" s="134">
        <v>0.36077964305877686</v>
      </c>
      <c r="L100" s="134">
        <v>0.36084103584289551</v>
      </c>
      <c r="M100" s="134">
        <v>0.50322222709655762</v>
      </c>
      <c r="N100" s="134">
        <v>0.29475542902946472</v>
      </c>
      <c r="O100" s="134">
        <v>0.43430113792419434</v>
      </c>
      <c r="P100" s="134">
        <v>0.37278932332992554</v>
      </c>
      <c r="Q100" s="134">
        <v>0.36052507162094116</v>
      </c>
      <c r="R100" s="135">
        <v>0</v>
      </c>
      <c r="S100" s="134">
        <v>0.38095682859420776</v>
      </c>
      <c r="T100" s="134">
        <v>0.29379865527153015</v>
      </c>
      <c r="U100" s="136">
        <v>0.39883884787559509</v>
      </c>
      <c r="V100" s="134">
        <v>0.27605864405632019</v>
      </c>
      <c r="W100" s="134">
        <v>0.35987132787704468</v>
      </c>
      <c r="X100" s="134">
        <v>0.40960589051246643</v>
      </c>
      <c r="Y100" s="134">
        <v>0.35690027475357056</v>
      </c>
      <c r="Z100" s="134">
        <v>0.29144707322120667</v>
      </c>
      <c r="AA100" s="134">
        <v>0.36603844165802002</v>
      </c>
      <c r="AB100" s="134">
        <v>0.37358549237251282</v>
      </c>
      <c r="AC100" s="134">
        <v>0.38003844022750854</v>
      </c>
      <c r="AD100" s="134">
        <v>0.28812378644943237</v>
      </c>
      <c r="AE100" s="134">
        <v>0.43458274006843567</v>
      </c>
      <c r="AF100" s="134">
        <v>0.28479573130607605</v>
      </c>
      <c r="AG100" s="134">
        <v>0.24736751616001129</v>
      </c>
      <c r="AH100" s="134">
        <v>0.34470805525779724</v>
      </c>
      <c r="AI100" s="134">
        <v>0.31370845437049866</v>
      </c>
      <c r="AJ100" s="134">
        <v>0.18347324430942535</v>
      </c>
      <c r="AK100" s="134">
        <v>0.32326114177703857</v>
      </c>
      <c r="AL100" s="134">
        <v>0.21124006807804108</v>
      </c>
      <c r="AM100" s="134">
        <v>0.25904113054275513</v>
      </c>
      <c r="AN100" s="134">
        <v>0.27846771478652954</v>
      </c>
      <c r="AO100" s="134">
        <v>0.29470252990722656</v>
      </c>
      <c r="AP100" s="134">
        <v>0.34572497010231018</v>
      </c>
      <c r="AQ100" s="134">
        <v>0.27196460962295532</v>
      </c>
      <c r="AR100" s="134">
        <v>0.2484963983297348</v>
      </c>
      <c r="AS100" s="134">
        <v>0.27944949269294739</v>
      </c>
      <c r="AT100" s="134">
        <v>0.32571929693222046</v>
      </c>
      <c r="AU100" s="134">
        <v>0.24934875965118408</v>
      </c>
      <c r="AV100" s="134">
        <v>0.29919910430908203</v>
      </c>
      <c r="AW100" s="134">
        <v>0.20852425694465637</v>
      </c>
      <c r="AX100" s="134">
        <v>0.35209682583808899</v>
      </c>
      <c r="AY100" s="134">
        <v>0.27236932516098022</v>
      </c>
      <c r="AZ100" s="134">
        <v>0.30663961172103882</v>
      </c>
      <c r="BA100" s="134">
        <v>0.25212636590003967</v>
      </c>
      <c r="BB100" s="134">
        <v>0.28317952156066895</v>
      </c>
      <c r="BC100" s="134">
        <v>0.19257932901382446</v>
      </c>
      <c r="BD100" s="134">
        <v>0.24251319468021393</v>
      </c>
      <c r="BE100" s="134">
        <v>0.22014941275119781</v>
      </c>
      <c r="BF100" s="134">
        <v>0.29335376620292664</v>
      </c>
      <c r="BG100" s="134">
        <v>0.26530089974403381</v>
      </c>
      <c r="BH100" s="134">
        <v>0.15648332238197327</v>
      </c>
      <c r="BI100" s="134">
        <v>0.194645956158638</v>
      </c>
      <c r="BJ100" s="134">
        <v>0.24112395942211151</v>
      </c>
      <c r="BK100" s="134">
        <v>0.193574458360672</v>
      </c>
      <c r="BL100" s="134">
        <v>0.20299112796783447</v>
      </c>
      <c r="BM100" s="134">
        <v>0.30558034777641296</v>
      </c>
      <c r="BN100" s="134">
        <v>0.17473277449607849</v>
      </c>
    </row>
    <row r="101" spans="1:66" x14ac:dyDescent="0.2">
      <c r="A101" s="70" t="s">
        <v>267</v>
      </c>
      <c r="B101" s="70" t="s">
        <v>268</v>
      </c>
      <c r="C101" s="89" t="s">
        <v>269</v>
      </c>
      <c r="D101" s="124">
        <v>3.83</v>
      </c>
      <c r="E101" s="142">
        <v>3.7174246311187744</v>
      </c>
      <c r="F101" s="142">
        <v>3.6505732536315918</v>
      </c>
      <c r="G101" s="142">
        <v>3.9085612297058105</v>
      </c>
      <c r="H101" s="142">
        <v>3.7932009696960449</v>
      </c>
      <c r="I101" s="142">
        <v>3.6814141273498535</v>
      </c>
      <c r="J101" s="142">
        <v>3.5365567207336426</v>
      </c>
      <c r="K101" s="142">
        <v>3.7793889045715332</v>
      </c>
      <c r="L101" s="142">
        <v>3.7599081993103027</v>
      </c>
      <c r="M101" s="142">
        <v>3.66339111328125</v>
      </c>
      <c r="N101" s="142">
        <v>3.7289581298828125</v>
      </c>
      <c r="O101" s="142">
        <v>3.7483093738555908</v>
      </c>
      <c r="P101" s="142">
        <v>3.8345627784729004</v>
      </c>
      <c r="Q101" s="142">
        <v>3.9809262752532959</v>
      </c>
      <c r="R101" s="125">
        <v>0</v>
      </c>
      <c r="S101" s="142">
        <v>3.8749525547027588</v>
      </c>
      <c r="T101" s="142">
        <v>3.8444437980651855</v>
      </c>
      <c r="U101" s="143">
        <v>3.7374763488769531</v>
      </c>
      <c r="V101" s="142">
        <v>3.7983522415161133</v>
      </c>
      <c r="W101" s="142">
        <v>3.9150931835174561</v>
      </c>
      <c r="X101" s="142">
        <v>3.9191792011260986</v>
      </c>
      <c r="Y101" s="142">
        <v>3.6979086399078369</v>
      </c>
      <c r="Z101" s="142">
        <v>3.7989108562469482</v>
      </c>
      <c r="AA101" s="142">
        <v>3.7674925327301025</v>
      </c>
      <c r="AB101" s="142">
        <v>3.8782110214233398</v>
      </c>
      <c r="AC101" s="142">
        <v>3.8534178733825684</v>
      </c>
      <c r="AD101" s="142">
        <v>3.8070423603057861</v>
      </c>
      <c r="AE101" s="142">
        <v>3.8460826873779297</v>
      </c>
      <c r="AF101" s="142">
        <v>3.8333332538604736</v>
      </c>
      <c r="AG101" s="142">
        <v>3.7934184074401855</v>
      </c>
      <c r="AH101" s="142">
        <v>3.8657300472259521</v>
      </c>
      <c r="AI101" s="142">
        <v>3.8658475875854492</v>
      </c>
      <c r="AJ101" s="142">
        <v>3.8689260482788086</v>
      </c>
      <c r="AK101" s="142">
        <v>3.851508617401123</v>
      </c>
      <c r="AL101" s="142">
        <v>3.9295597076416016</v>
      </c>
      <c r="AM101" s="142">
        <v>3.7585382461547852</v>
      </c>
      <c r="AN101" s="142">
        <v>3.8919076919555664</v>
      </c>
      <c r="AO101" s="142">
        <v>3.8367724418640137</v>
      </c>
      <c r="AP101" s="142">
        <v>3.8869509696960449</v>
      </c>
      <c r="AQ101" s="142">
        <v>3.7720305919647217</v>
      </c>
      <c r="AR101" s="142">
        <v>3.4937396049499512</v>
      </c>
      <c r="AS101" s="142">
        <v>3.8263125419616699</v>
      </c>
      <c r="AT101" s="142">
        <v>3.7467184066772461</v>
      </c>
      <c r="AU101" s="142">
        <v>3.7252037525177002</v>
      </c>
      <c r="AV101" s="142">
        <v>3.9419155120849609</v>
      </c>
      <c r="AW101" s="142">
        <v>3.6029131412506104</v>
      </c>
      <c r="AX101" s="142">
        <v>3.9684762954711914</v>
      </c>
      <c r="AY101" s="142">
        <v>3.7366340160369873</v>
      </c>
      <c r="AZ101" s="142">
        <v>3.7800681591033936</v>
      </c>
      <c r="BA101" s="142">
        <v>3.8934011459350586</v>
      </c>
      <c r="BB101" s="142">
        <v>3.8181416988372803</v>
      </c>
      <c r="BC101" s="142">
        <v>3.7692019939422607</v>
      </c>
      <c r="BD101" s="142">
        <v>3.8599786758422852</v>
      </c>
      <c r="BE101" s="142">
        <v>3.7876265048980713</v>
      </c>
      <c r="BF101" s="142">
        <v>3.7685451507568359</v>
      </c>
      <c r="BG101" s="142">
        <v>3.9416294097900391</v>
      </c>
      <c r="BH101" s="142">
        <v>3.8817718029022217</v>
      </c>
      <c r="BI101" s="142">
        <v>3.8887972831726074</v>
      </c>
      <c r="BJ101" s="142">
        <v>3.7029476165771484</v>
      </c>
      <c r="BK101" s="142">
        <v>3.8318579196929932</v>
      </c>
      <c r="BL101" s="142">
        <v>3.9179122447967529</v>
      </c>
      <c r="BM101" s="142">
        <v>3.9221320152282715</v>
      </c>
      <c r="BN101" s="142">
        <v>3.8641588687896729</v>
      </c>
    </row>
    <row r="102" spans="1:66" x14ac:dyDescent="0.2">
      <c r="A102" s="70" t="s">
        <v>270</v>
      </c>
      <c r="B102" s="70" t="s">
        <v>271</v>
      </c>
      <c r="C102" s="89" t="s">
        <v>272</v>
      </c>
      <c r="D102" s="124">
        <v>4.1900000000000004</v>
      </c>
      <c r="E102" s="142">
        <v>4.1239914894104004</v>
      </c>
      <c r="F102" s="142">
        <v>4.0254344940185547</v>
      </c>
      <c r="G102" s="142">
        <v>4.1089563369750977</v>
      </c>
      <c r="H102" s="142">
        <v>4.1029019355773926</v>
      </c>
      <c r="I102" s="142">
        <v>3.8726263046264648</v>
      </c>
      <c r="J102" s="142">
        <v>3.9743633270263672</v>
      </c>
      <c r="K102" s="142">
        <v>4.0335955619812012</v>
      </c>
      <c r="L102" s="142">
        <v>4.030522346496582</v>
      </c>
      <c r="M102" s="142">
        <v>4.0992307662963867</v>
      </c>
      <c r="N102" s="142">
        <v>4.1247539520263672</v>
      </c>
      <c r="O102" s="142">
        <v>3.9763081073760986</v>
      </c>
      <c r="P102" s="142">
        <v>4.1422505378723145</v>
      </c>
      <c r="Q102" s="142">
        <v>4.5633649826049805</v>
      </c>
      <c r="R102" s="125">
        <v>0</v>
      </c>
      <c r="S102" s="142">
        <v>4.1100559234619141</v>
      </c>
      <c r="T102" s="142">
        <v>4.2333345413208008</v>
      </c>
      <c r="U102" s="143">
        <v>4.303919792175293</v>
      </c>
      <c r="V102" s="142">
        <v>4.1996421813964844</v>
      </c>
      <c r="W102" s="142">
        <v>4.1457138061523438</v>
      </c>
      <c r="X102" s="142">
        <v>4.3916707038879395</v>
      </c>
      <c r="Y102" s="142">
        <v>3.9796919822692871</v>
      </c>
      <c r="Z102" s="142">
        <v>4.2601394653320313</v>
      </c>
      <c r="AA102" s="142">
        <v>4.0699930191040039</v>
      </c>
      <c r="AB102" s="142">
        <v>4.084681510925293</v>
      </c>
      <c r="AC102" s="142">
        <v>4.4200491905212402</v>
      </c>
      <c r="AD102" s="142">
        <v>4.0252866744995117</v>
      </c>
      <c r="AE102" s="142">
        <v>3.9729161262512207</v>
      </c>
      <c r="AF102" s="142">
        <v>3.9224798679351807</v>
      </c>
      <c r="AG102" s="142">
        <v>4.040496826171875</v>
      </c>
      <c r="AH102" s="142">
        <v>4.3515081405639648</v>
      </c>
      <c r="AI102" s="142">
        <v>4.0835871696472168</v>
      </c>
      <c r="AJ102" s="142">
        <v>4.3071441650390625</v>
      </c>
      <c r="AK102" s="142">
        <v>4.0475234985351563</v>
      </c>
      <c r="AL102" s="142">
        <v>4.2274961471557617</v>
      </c>
      <c r="AM102" s="142">
        <v>4.0204696655273438</v>
      </c>
      <c r="AN102" s="142">
        <v>4.1810793876647949</v>
      </c>
      <c r="AO102" s="142">
        <v>4.4429740905761719</v>
      </c>
      <c r="AP102" s="142">
        <v>4.308049201965332</v>
      </c>
      <c r="AQ102" s="142">
        <v>3.9571800231933594</v>
      </c>
      <c r="AR102" s="142">
        <v>3.930497407913208</v>
      </c>
      <c r="AS102" s="142">
        <v>4.1871242523193359</v>
      </c>
      <c r="AT102" s="142">
        <v>4.1489052772521973</v>
      </c>
      <c r="AU102" s="142">
        <v>4.1653246879577637</v>
      </c>
      <c r="AV102" s="142">
        <v>4.1515583992004395</v>
      </c>
      <c r="AW102" s="142">
        <v>3.9219841957092285</v>
      </c>
      <c r="AX102" s="142">
        <v>4.3763132095336914</v>
      </c>
      <c r="AY102" s="142">
        <v>4.0234103202819824</v>
      </c>
      <c r="AZ102" s="142">
        <v>4.1454644203186035</v>
      </c>
      <c r="BA102" s="142">
        <v>4.2796673774719238</v>
      </c>
      <c r="BB102" s="142">
        <v>4.1185464859008789</v>
      </c>
      <c r="BC102" s="142">
        <v>4.2305140495300293</v>
      </c>
      <c r="BD102" s="142">
        <v>4.3103647232055664</v>
      </c>
      <c r="BE102" s="142">
        <v>4.1454429626464844</v>
      </c>
      <c r="BF102" s="142">
        <v>4.4371528625488281</v>
      </c>
      <c r="BG102" s="142">
        <v>4.3901853561401367</v>
      </c>
      <c r="BH102" s="142">
        <v>4.3396968841552734</v>
      </c>
      <c r="BI102" s="142">
        <v>4.2665119171142578</v>
      </c>
      <c r="BJ102" s="142">
        <v>4.009739875793457</v>
      </c>
      <c r="BK102" s="142">
        <v>4.4425539970397949</v>
      </c>
      <c r="BL102" s="142">
        <v>4.4677667617797852</v>
      </c>
      <c r="BM102" s="142">
        <v>4.5941014289855957</v>
      </c>
      <c r="BN102" s="142">
        <v>4.5282793045043945</v>
      </c>
    </row>
    <row r="103" spans="1:66" s="112" customFormat="1" x14ac:dyDescent="0.2">
      <c r="A103" s="77" t="s">
        <v>286</v>
      </c>
      <c r="B103" s="77" t="s">
        <v>287</v>
      </c>
      <c r="C103" s="92" t="s">
        <v>449</v>
      </c>
      <c r="D103" s="131">
        <f>VLOOKUP(A103,'2022_PAPI_Indicators'!A98:B278,2,)</f>
        <v>2.3353848457336426</v>
      </c>
      <c r="E103" s="131">
        <f>VLOOKUP(A103,'2022_PAPI_Indicators'!A98:C278,3,FALSE)</f>
        <v>2.2494912147521973</v>
      </c>
      <c r="F103" s="131">
        <f>VLOOKUP(A103,'2022_PAPI_Indicators'!A98:D278,4,FALSE)</f>
        <v>2.2790231704711914</v>
      </c>
      <c r="G103" s="131">
        <f>VLOOKUP(A103,'2022_PAPI_Indicators'!A98:E278,5,FALSE)</f>
        <v>2.3453352451324463</v>
      </c>
      <c r="H103" s="131">
        <f>VLOOKUP(A103,'2022_PAPI_Indicators'!A98:F278,6,FALSE)</f>
        <v>2.0999727249145508</v>
      </c>
      <c r="I103" s="131">
        <f>VLOOKUP(A103,'2022_PAPI_Indicators'!A98:G278,7,FALSE)</f>
        <v>2.4018657207489014</v>
      </c>
      <c r="J103" s="131">
        <f>VLOOKUP(A103,'2022_PAPI_Indicators'!A98:H278,8,FALSE)</f>
        <v>2.2172038555145264</v>
      </c>
      <c r="K103" s="131">
        <f>VLOOKUP(A103,'2022_PAPI_Indicators'!A98:I278,9,FALSE)</f>
        <v>2.3386673927307129</v>
      </c>
      <c r="L103" s="131">
        <f>VLOOKUP(A103,'2022_PAPI_Indicators'!A98:J278,10,FALSE)</f>
        <v>2.4523892402648926</v>
      </c>
      <c r="M103" s="131">
        <f>VLOOKUP(A103,'2022_PAPI_Indicators'!A98:K278,11,FALSE)</f>
        <v>2.1180682182312012</v>
      </c>
      <c r="N103" s="131">
        <f>VLOOKUP(A103,'2022_PAPI_Indicators'!A98:L278,12,FALSE)</f>
        <v>2.0142731666564941</v>
      </c>
      <c r="O103" s="131">
        <f>VLOOKUP(A103,'2022_PAPI_Indicators'!A98:M278,13,FALSE)</f>
        <v>2.3557252883911133</v>
      </c>
      <c r="P103" s="131">
        <f>VLOOKUP(A103,'2022_PAPI_Indicators'!A98:N278,14,FALSE)</f>
        <v>2.3156163692474365</v>
      </c>
      <c r="Q103" s="131">
        <f>VLOOKUP(A103,'2022_PAPI_Indicators'!A98:O278,15,FALSE)</f>
        <v>2.4906156063079834</v>
      </c>
      <c r="R103" s="132">
        <v>0</v>
      </c>
      <c r="S103" s="131">
        <f>VLOOKUP(A103,'2022_PAPI_Indicators'!A98:R278,17,FALSE)</f>
        <v>2.313584566116333</v>
      </c>
      <c r="T103" s="131">
        <f>VLOOKUP(A103,'2022_PAPI_Indicators'!A98:S278,18,FALSE)</f>
        <v>2.2333228588104248</v>
      </c>
      <c r="U103" s="132">
        <f>VLOOKUP(A103,'2022_PAPI_Indicators'!A98:T278,19,FALSE)</f>
        <v>2.4212143421173096</v>
      </c>
      <c r="V103" s="131">
        <f>VLOOKUP(A103,'2022_PAPI_Indicators'!A98:U278,20,FALSE)</f>
        <v>2.397284984588623</v>
      </c>
      <c r="W103" s="131">
        <f>VLOOKUP(A103,'2022_PAPI_Indicators'!A98:V278,21,FALSE)</f>
        <v>2.0579934120178223</v>
      </c>
      <c r="X103" s="131">
        <f>VLOOKUP(A103,'2022_PAPI_Indicators'!A98:W278,22,FALSE)</f>
        <v>2.4665939807891846</v>
      </c>
      <c r="Y103" s="131">
        <f>VLOOKUP(A103,'2022_PAPI_Indicators'!A98:X278,23,FALSE)</f>
        <v>2.2404618263244629</v>
      </c>
      <c r="Z103" s="131">
        <f>VLOOKUP(A103,'2022_PAPI_Indicators'!A98:Y278,24,FALSE)</f>
        <v>2.3223798274993896</v>
      </c>
      <c r="AA103" s="131">
        <f>VLOOKUP(A103,'2022_PAPI_Indicators'!A98:Z278,25,FALSE)</f>
        <v>2.3751635551452637</v>
      </c>
      <c r="AB103" s="131">
        <f>VLOOKUP(A103,'2022_PAPI_Indicators'!A98:AA278,26,FALSE)</f>
        <v>2.5146231651306152</v>
      </c>
      <c r="AC103" s="131">
        <f>VLOOKUP(A103,'2022_PAPI_Indicators'!A98:AB278,27,FALSE)</f>
        <v>2.3642401695251465</v>
      </c>
      <c r="AD103" s="131">
        <f>VLOOKUP(A103,'2022_PAPI_Indicators'!A98:AC278,28,FALSE)</f>
        <v>2.2424135208129883</v>
      </c>
      <c r="AE103" s="131">
        <f>VLOOKUP(A103,'2022_PAPI_Indicators'!A98:AD278,29,FALSE)</f>
        <v>2.3886466026306152</v>
      </c>
      <c r="AF103" s="131">
        <f>VLOOKUP(A103,'2022_PAPI_Indicators'!A98:AE278,30,FALSE)</f>
        <v>2.3702445030212402</v>
      </c>
      <c r="AG103" s="131">
        <f>VLOOKUP(A103,'2022_PAPI_Indicators'!A98:AF278,31,FALSE)</f>
        <v>2.292921781539917</v>
      </c>
      <c r="AH103" s="131">
        <f>VLOOKUP(A103,'2022_PAPI_Indicators'!A98:AG278,32,FALSE)</f>
        <v>2.3646664619445801</v>
      </c>
      <c r="AI103" s="131">
        <f>VLOOKUP(A103,'2022_PAPI_Indicators'!A98:AH278,33,FALSE)</f>
        <v>2.436826229095459</v>
      </c>
      <c r="AJ103" s="131">
        <f>VLOOKUP(A103,'2022_PAPI_Indicators'!A98:AI278,34,FALSE)</f>
        <v>2.2860217094421387</v>
      </c>
      <c r="AK103" s="131">
        <f>VLOOKUP(A103,'2022_PAPI_Indicators'!A98:AJ278,35,FALSE)</f>
        <v>2.3783543109893799</v>
      </c>
      <c r="AL103" s="131">
        <f>VLOOKUP(A103,'2022_PAPI_Indicators'!A98:AK278,36,FALSE)</f>
        <v>2.1849822998046875</v>
      </c>
      <c r="AM103" s="131">
        <f>VLOOKUP(A103,'2022_PAPI_Indicators'!A98:AL278,37,FALSE)</f>
        <v>2.2796132564544678</v>
      </c>
      <c r="AN103" s="131">
        <f>VLOOKUP(A103,'2022_PAPI_Indicators'!A98:AM278,38,FALSE)</f>
        <v>2.4584341049194336</v>
      </c>
      <c r="AO103" s="131">
        <f>VLOOKUP(A103,'2022_PAPI_Indicators'!A98:AN278,39,FALSE)</f>
        <v>2.5092215538024902</v>
      </c>
      <c r="AP103" s="131">
        <f>VLOOKUP(A103,'2022_PAPI_Indicators'!A98:AO278,40,FALSE)</f>
        <v>2.3823463916778564</v>
      </c>
      <c r="AQ103" s="131">
        <f>VLOOKUP(A103,'2022_PAPI_Indicators'!A98:AP278,41,FALSE)</f>
        <v>2.2058308124542236</v>
      </c>
      <c r="AR103" s="131">
        <f>VLOOKUP(A103,'2022_PAPI_Indicators'!A98:AQ278,42,FALSE)</f>
        <v>2.1442172527313232</v>
      </c>
      <c r="AS103" s="131">
        <f>VLOOKUP(A103,'2022_PAPI_Indicators'!A98:AR278,43,FALSE)</f>
        <v>2.3291902542114258</v>
      </c>
      <c r="AT103" s="131">
        <f>VLOOKUP(A103,'2022_PAPI_Indicators'!A98:AS278,44,FALSE)</f>
        <v>2.4015481472015381</v>
      </c>
      <c r="AU103" s="131">
        <f>VLOOKUP(A103,'2022_PAPI_Indicators'!A98:AT278,45,FALSE)</f>
        <v>2.3808791637420654</v>
      </c>
      <c r="AV103" s="131">
        <f>VLOOKUP(A103,'2022_PAPI_Indicators'!A98:AU278,46,FALSE)</f>
        <v>2.1240167617797852</v>
      </c>
      <c r="AW103" s="131">
        <f>VLOOKUP(A103,'2022_PAPI_Indicators'!A98:AV278,47,FALSE)</f>
        <v>1.9856302738189697</v>
      </c>
      <c r="AX103" s="131">
        <f>VLOOKUP(A103,'2022_PAPI_Indicators'!A98:AW278,48,FALSE)</f>
        <v>2.3912234306335449</v>
      </c>
      <c r="AY103" s="131">
        <f>VLOOKUP(A103,'2022_PAPI_Indicators'!A98:AX278,49,FALSE)</f>
        <v>2.3982622623443604</v>
      </c>
      <c r="AZ103" s="131">
        <f>VLOOKUP(A103,'2022_PAPI_Indicators'!A98:AY278,50,FALSE)</f>
        <v>2.2861616611480713</v>
      </c>
      <c r="BA103" s="131">
        <f>VLOOKUP(A103,'2022_PAPI_Indicators'!A98:AZ278,51,FALSE)</f>
        <v>2.3369643688201904</v>
      </c>
      <c r="BB103" s="131">
        <f>VLOOKUP(A103,'2022_PAPI_Indicators'!A98:BA278,52,FALSE)</f>
        <v>2.3745594024658203</v>
      </c>
      <c r="BC103" s="131">
        <f>VLOOKUP(A103,'2022_PAPI_Indicators'!A98:BB278,53,FALSE)</f>
        <v>2.3968930244445801</v>
      </c>
      <c r="BD103" s="131">
        <f>VLOOKUP(A103,'2022_PAPI_Indicators'!A98:BC278,54,FALSE)</f>
        <v>2.4443907737731934</v>
      </c>
      <c r="BE103" s="131">
        <f>VLOOKUP(A103,'2022_PAPI_Indicators'!A98:BD278,55,FALSE)</f>
        <v>2.405240535736084</v>
      </c>
      <c r="BF103" s="131">
        <f>VLOOKUP(A103,'2022_PAPI_Indicators'!A98:BE278,56,FALSE)</f>
        <v>2.3584191799163818</v>
      </c>
      <c r="BG103" s="131">
        <f>VLOOKUP(A103,'2022_PAPI_Indicators'!A98:BF278,57,FALSE)</f>
        <v>2.5448386669158936</v>
      </c>
      <c r="BH103" s="131">
        <f>VLOOKUP(A103,'2022_PAPI_Indicators'!A98:BG278,58,FALSE)</f>
        <v>2.2580647468566895</v>
      </c>
      <c r="BI103" s="131">
        <f>VLOOKUP(A103,'2022_PAPI_Indicators'!A98:BH278,59,FALSE)</f>
        <v>2.2031288146972656</v>
      </c>
      <c r="BJ103" s="131">
        <f>VLOOKUP(A103,'2022_PAPI_Indicators'!A98:BI278,60,FALSE)</f>
        <v>2.2722513675689697</v>
      </c>
      <c r="BK103" s="131">
        <f>VLOOKUP(A103,'2022_PAPI_Indicators'!A98:BJ278,61,FALSE)</f>
        <v>2.3977100849151611</v>
      </c>
      <c r="BL103" s="131">
        <f>VLOOKUP(A103,'2022_PAPI_Indicators'!A98:BK278,62,FALSE)</f>
        <v>2.3645215034484863</v>
      </c>
      <c r="BM103" s="131">
        <f>VLOOKUP(A103,'2022_PAPI_Indicators'!A98:BL278,63,FALSE)</f>
        <v>2.3279213905334473</v>
      </c>
      <c r="BN103" s="131">
        <f>VLOOKUP(A103,'2022_PAPI_Indicators'!A98:BM278,64,FALSE)</f>
        <v>2.423907995223999</v>
      </c>
    </row>
    <row r="104" spans="1:66" x14ac:dyDescent="0.2">
      <c r="A104" s="70" t="s">
        <v>288</v>
      </c>
      <c r="B104" s="70" t="s">
        <v>289</v>
      </c>
      <c r="C104" s="89" t="s">
        <v>90</v>
      </c>
      <c r="D104" s="133">
        <v>0.09</v>
      </c>
      <c r="E104" s="134">
        <v>9.8947241902351379E-2</v>
      </c>
      <c r="F104" s="134">
        <v>0.11733118444681168</v>
      </c>
      <c r="G104" s="134">
        <v>0.20596522092819214</v>
      </c>
      <c r="H104" s="134">
        <v>0.11111123859882355</v>
      </c>
      <c r="I104" s="134">
        <v>9.9237427115440369E-2</v>
      </c>
      <c r="J104" s="134">
        <v>7.2131656110286713E-2</v>
      </c>
      <c r="K104" s="134">
        <v>8.1228233873844147E-2</v>
      </c>
      <c r="L104" s="134">
        <v>5.6420266628265381E-2</v>
      </c>
      <c r="M104" s="134">
        <v>0.10740858316421509</v>
      </c>
      <c r="N104" s="134">
        <v>4.2577516287565231E-2</v>
      </c>
      <c r="O104" s="134">
        <v>0.22871515154838562</v>
      </c>
      <c r="P104" s="134">
        <v>0.11048033088445663</v>
      </c>
      <c r="Q104" s="134">
        <v>0.15217027068138123</v>
      </c>
      <c r="R104" s="135">
        <v>0</v>
      </c>
      <c r="S104" s="134">
        <v>0.15377576649188995</v>
      </c>
      <c r="T104" s="134">
        <v>0.12122929096221924</v>
      </c>
      <c r="U104" s="136">
        <v>0.10347582399845123</v>
      </c>
      <c r="V104" s="134">
        <v>0.15454673767089844</v>
      </c>
      <c r="W104" s="134">
        <v>7.2701491415500641E-2</v>
      </c>
      <c r="X104" s="134">
        <v>6.7826859652996063E-2</v>
      </c>
      <c r="Y104" s="134">
        <v>0.15217973291873932</v>
      </c>
      <c r="Z104" s="134">
        <v>0.10412587970495224</v>
      </c>
      <c r="AA104" s="134">
        <v>0.15402884781360626</v>
      </c>
      <c r="AB104" s="134">
        <v>0.13226594030857086</v>
      </c>
      <c r="AC104" s="134">
        <v>0.15254083275794983</v>
      </c>
      <c r="AD104" s="134">
        <v>0.12964248657226563</v>
      </c>
      <c r="AE104" s="134">
        <v>0.20666605234146118</v>
      </c>
      <c r="AF104" s="134">
        <v>0.14821097254753113</v>
      </c>
      <c r="AG104" s="134">
        <v>0.14651978015899658</v>
      </c>
      <c r="AH104" s="134">
        <v>0.1242842823266983</v>
      </c>
      <c r="AI104" s="134">
        <v>9.6892565488815308E-2</v>
      </c>
      <c r="AJ104" s="134">
        <v>0.14243356883525848</v>
      </c>
      <c r="AK104" s="134">
        <v>0.16943074762821198</v>
      </c>
      <c r="AL104" s="134">
        <v>5.1256094127893448E-2</v>
      </c>
      <c r="AM104" s="134">
        <v>0.11182467639446259</v>
      </c>
      <c r="AN104" s="134">
        <v>0.1347123384475708</v>
      </c>
      <c r="AO104" s="134">
        <v>0.15960554778575897</v>
      </c>
      <c r="AP104" s="134">
        <v>7.5860731303691864E-2</v>
      </c>
      <c r="AQ104" s="134">
        <v>0.10457441955804825</v>
      </c>
      <c r="AR104" s="134">
        <v>0.19890196621417999</v>
      </c>
      <c r="AS104" s="134">
        <v>0.24671526253223419</v>
      </c>
      <c r="AT104" s="134">
        <v>0.17471645772457123</v>
      </c>
      <c r="AU104" s="134">
        <v>0.16167736053466797</v>
      </c>
      <c r="AV104" s="134">
        <v>0.30426764488220215</v>
      </c>
      <c r="AW104" s="134">
        <v>0.18031556904315948</v>
      </c>
      <c r="AX104" s="134">
        <v>5.8010391891002655E-2</v>
      </c>
      <c r="AY104" s="134">
        <v>0.16309691965579987</v>
      </c>
      <c r="AZ104" s="134">
        <v>0.11797487735748291</v>
      </c>
      <c r="BA104" s="134">
        <v>2.7415566146373749E-2</v>
      </c>
      <c r="BB104" s="134">
        <v>9.6021436154842377E-2</v>
      </c>
      <c r="BC104" s="134">
        <v>0.17523147165775299</v>
      </c>
      <c r="BD104" s="134">
        <v>6.8958580493927002E-2</v>
      </c>
      <c r="BE104" s="134">
        <v>0.17759837210178375</v>
      </c>
      <c r="BF104" s="134">
        <v>0.15662282705307007</v>
      </c>
      <c r="BG104" s="134">
        <v>0.11022384464740753</v>
      </c>
      <c r="BH104" s="134">
        <v>9.9012255668640137E-2</v>
      </c>
      <c r="BI104" s="134">
        <v>0.13157956302165985</v>
      </c>
      <c r="BJ104" s="134">
        <v>6.5595142543315887E-2</v>
      </c>
      <c r="BK104" s="134">
        <v>0.13906800746917725</v>
      </c>
      <c r="BL104" s="134">
        <v>5.9037499129772186E-2</v>
      </c>
      <c r="BM104" s="134">
        <v>8.6537078022956848E-2</v>
      </c>
      <c r="BN104" s="134">
        <v>0.1482185423374176</v>
      </c>
    </row>
    <row r="105" spans="1:66" x14ac:dyDescent="0.2">
      <c r="A105" s="70" t="s">
        <v>290</v>
      </c>
      <c r="B105" s="70" t="s">
        <v>291</v>
      </c>
      <c r="C105" s="89" t="s">
        <v>90</v>
      </c>
      <c r="D105" s="133">
        <v>0.91</v>
      </c>
      <c r="E105" s="134">
        <v>0.92332983016967773</v>
      </c>
      <c r="F105" s="134">
        <v>0.78830820322036743</v>
      </c>
      <c r="G105" s="134">
        <v>0.95781385898590088</v>
      </c>
      <c r="H105" s="134">
        <v>0.787128746509552</v>
      </c>
      <c r="I105" s="134">
        <v>0.86047166585922241</v>
      </c>
      <c r="J105" s="134">
        <v>0.86387258768081665</v>
      </c>
      <c r="K105" s="134">
        <v>0.86700528860092163</v>
      </c>
      <c r="L105" s="134">
        <v>0.8676726222038269</v>
      </c>
      <c r="M105" s="134">
        <v>0.75037431716918945</v>
      </c>
      <c r="N105" s="134">
        <v>0.41395238041877747</v>
      </c>
      <c r="O105" s="134">
        <v>0.74502122402191162</v>
      </c>
      <c r="P105" s="134">
        <v>0.9042741060256958</v>
      </c>
      <c r="Q105" s="134">
        <v>0.94660234451293945</v>
      </c>
      <c r="R105" s="135">
        <v>0</v>
      </c>
      <c r="S105" s="134">
        <v>0.80482697486877441</v>
      </c>
      <c r="T105" s="134">
        <v>0.8599008321762085</v>
      </c>
      <c r="U105" s="136">
        <v>0.85234415531158447</v>
      </c>
      <c r="V105" s="134">
        <v>0.85730224847793579</v>
      </c>
      <c r="W105" s="134">
        <v>0.80098980665206909</v>
      </c>
      <c r="X105" s="134">
        <v>1</v>
      </c>
      <c r="Y105" s="134">
        <v>0.83932340145111084</v>
      </c>
      <c r="Z105" s="134">
        <v>0.85502529144287109</v>
      </c>
      <c r="AA105" s="134">
        <v>0.84423184394836426</v>
      </c>
      <c r="AB105" s="134">
        <v>0.89013129472732544</v>
      </c>
      <c r="AC105" s="134">
        <v>0.9525752067565918</v>
      </c>
      <c r="AD105" s="134">
        <v>0.85781395435333252</v>
      </c>
      <c r="AE105" s="134">
        <v>0.76575905084609985</v>
      </c>
      <c r="AF105" s="134">
        <v>0.87999570369720459</v>
      </c>
      <c r="AG105" s="134">
        <v>0.67437005043029785</v>
      </c>
      <c r="AH105" s="134">
        <v>0.74113768339157104</v>
      </c>
      <c r="AI105" s="134">
        <v>0.9213520884513855</v>
      </c>
      <c r="AJ105" s="134">
        <v>0.63543754816055298</v>
      </c>
      <c r="AK105" s="134">
        <v>0.82844048738479614</v>
      </c>
      <c r="AL105" s="134">
        <v>0.691581130027771</v>
      </c>
      <c r="AM105" s="134">
        <v>0.81096172332763672</v>
      </c>
      <c r="AN105" s="134">
        <v>1</v>
      </c>
      <c r="AO105" s="134">
        <v>0.9031975269317627</v>
      </c>
      <c r="AP105" s="134">
        <v>0.8484838604927063</v>
      </c>
      <c r="AQ105" s="134">
        <v>0.76337271928787231</v>
      </c>
      <c r="AR105" s="134">
        <v>0.74080443382263184</v>
      </c>
      <c r="AS105" s="134">
        <v>0.78662765026092529</v>
      </c>
      <c r="AT105" s="134">
        <v>0.82893002033233643</v>
      </c>
      <c r="AU105" s="134">
        <v>0.7695164680480957</v>
      </c>
      <c r="AV105" s="134">
        <v>0.55929869413375854</v>
      </c>
      <c r="AW105" s="134">
        <v>0.5113486647605896</v>
      </c>
      <c r="AX105" s="134">
        <v>0.96616244316101074</v>
      </c>
      <c r="AY105" s="134">
        <v>0.90326970815658569</v>
      </c>
      <c r="AZ105" s="134">
        <v>0.83969438076019287</v>
      </c>
      <c r="BA105" s="134">
        <v>0.91461092233657837</v>
      </c>
      <c r="BB105" s="134">
        <v>0.9246029257774353</v>
      </c>
      <c r="BC105" s="134">
        <v>0.82192981243133545</v>
      </c>
      <c r="BD105" s="134">
        <v>0.87982046604156494</v>
      </c>
      <c r="BE105" s="134">
        <v>0.86288213729858398</v>
      </c>
      <c r="BF105" s="134">
        <v>0.86225259304046631</v>
      </c>
      <c r="BG105" s="134">
        <v>0.79891622066497803</v>
      </c>
      <c r="BH105" s="134">
        <v>0.77127975225448608</v>
      </c>
      <c r="BI105" s="134">
        <v>0.5448993444442749</v>
      </c>
      <c r="BJ105" s="134">
        <v>0.60947465896606445</v>
      </c>
      <c r="BK105" s="134">
        <v>0.88414686918258667</v>
      </c>
      <c r="BL105" s="134">
        <v>0.86039799451828003</v>
      </c>
      <c r="BM105" s="134">
        <v>0.78521668910980225</v>
      </c>
      <c r="BN105" s="134">
        <v>0.76871073246002197</v>
      </c>
    </row>
    <row r="106" spans="1:66" x14ac:dyDescent="0.2">
      <c r="A106" s="70" t="s">
        <v>292</v>
      </c>
      <c r="B106" s="70" t="s">
        <v>293</v>
      </c>
      <c r="C106" s="89" t="s">
        <v>90</v>
      </c>
      <c r="D106" s="133">
        <v>0.83</v>
      </c>
      <c r="E106" s="134">
        <v>0.67903858423233032</v>
      </c>
      <c r="F106" s="134">
        <v>0.90068161487579346</v>
      </c>
      <c r="G106" s="134">
        <v>0.69277328252792358</v>
      </c>
      <c r="H106" s="134">
        <v>0.59406018257141113</v>
      </c>
      <c r="I106" s="134">
        <v>0.76458680629730225</v>
      </c>
      <c r="J106" s="134">
        <v>0.7722548246383667</v>
      </c>
      <c r="K106" s="134">
        <v>0.86700528860092163</v>
      </c>
      <c r="L106" s="134">
        <v>0.98771530389785767</v>
      </c>
      <c r="M106" s="134">
        <v>0.65309745073318481</v>
      </c>
      <c r="N106" s="134">
        <v>0.97727447748184204</v>
      </c>
      <c r="O106" s="134">
        <v>0.79234886169433594</v>
      </c>
      <c r="P106" s="134">
        <v>0.86857688426971436</v>
      </c>
      <c r="Q106" s="134">
        <v>0.90412646532058716</v>
      </c>
      <c r="R106" s="135">
        <v>0</v>
      </c>
      <c r="S106" s="134">
        <v>0.88230115175247192</v>
      </c>
      <c r="T106" s="134">
        <v>0.80492991209030151</v>
      </c>
      <c r="U106" s="136">
        <v>0.86846864223480225</v>
      </c>
      <c r="V106" s="134">
        <v>0.8637816309928894</v>
      </c>
      <c r="W106" s="134">
        <v>0.80098980665206909</v>
      </c>
      <c r="X106" s="134">
        <v>0.98878055810928345</v>
      </c>
      <c r="Y106" s="134">
        <v>0.76186287403106689</v>
      </c>
      <c r="Z106" s="134">
        <v>0.78994941711425781</v>
      </c>
      <c r="AA106" s="134">
        <v>0.89134782552719116</v>
      </c>
      <c r="AB106" s="134">
        <v>0.94506567716598511</v>
      </c>
      <c r="AC106" s="134">
        <v>0.72563260793685913</v>
      </c>
      <c r="AD106" s="134">
        <v>0.72340059280395508</v>
      </c>
      <c r="AE106" s="134">
        <v>0.85514938831329346</v>
      </c>
      <c r="AF106" s="134">
        <v>0.76446586847305298</v>
      </c>
      <c r="AG106" s="134">
        <v>0.89335912466049194</v>
      </c>
      <c r="AH106" s="134">
        <v>0.93921798467636108</v>
      </c>
      <c r="AI106" s="134">
        <v>0.96322226524353027</v>
      </c>
      <c r="AJ106" s="134">
        <v>0.89782100915908813</v>
      </c>
      <c r="AK106" s="134">
        <v>0.87369900941848755</v>
      </c>
      <c r="AL106" s="134">
        <v>0.73278778791427612</v>
      </c>
      <c r="AM106" s="134">
        <v>0.81096172332763672</v>
      </c>
      <c r="AN106" s="134">
        <v>0.83803433179855347</v>
      </c>
      <c r="AO106" s="134">
        <v>0.88348585367202759</v>
      </c>
      <c r="AP106" s="134">
        <v>0.89802712202072144</v>
      </c>
      <c r="AQ106" s="134">
        <v>0.82252955436706543</v>
      </c>
      <c r="AR106" s="134">
        <v>0.79854577779769897</v>
      </c>
      <c r="AS106" s="134">
        <v>0.83449381589889526</v>
      </c>
      <c r="AT106" s="134">
        <v>0.89808499813079834</v>
      </c>
      <c r="AU106" s="134">
        <v>0.9066542387008667</v>
      </c>
      <c r="AV106" s="134">
        <v>0.72896271944046021</v>
      </c>
      <c r="AW106" s="134">
        <v>0.75260812044143677</v>
      </c>
      <c r="AX106" s="134">
        <v>0.92225593328475952</v>
      </c>
      <c r="AY106" s="134">
        <v>0.8642202615737915</v>
      </c>
      <c r="AZ106" s="134">
        <v>0.77557212114334106</v>
      </c>
      <c r="BA106" s="134">
        <v>0.84924942255020142</v>
      </c>
      <c r="BB106" s="134">
        <v>0.79941445589065552</v>
      </c>
      <c r="BC106" s="134">
        <v>0.83029592037200928</v>
      </c>
      <c r="BD106" s="134">
        <v>0.89271402359008789</v>
      </c>
      <c r="BE106" s="134">
        <v>0.90622031688690186</v>
      </c>
      <c r="BF106" s="134">
        <v>0.82439965009689331</v>
      </c>
      <c r="BG106" s="134">
        <v>0.93297207355499268</v>
      </c>
      <c r="BH106" s="134">
        <v>0.80850839614868164</v>
      </c>
      <c r="BI106" s="134">
        <v>0.82528918981552124</v>
      </c>
      <c r="BJ106" s="134">
        <v>0.91284531354904175</v>
      </c>
      <c r="BK106" s="134">
        <v>0.84393370151519775</v>
      </c>
      <c r="BL106" s="134">
        <v>0.86166650056838989</v>
      </c>
      <c r="BM106" s="134">
        <v>0.9666258692741394</v>
      </c>
      <c r="BN106" s="134">
        <v>0.85940772294998169</v>
      </c>
    </row>
    <row r="107" spans="1:66" x14ac:dyDescent="0.2">
      <c r="A107" s="70" t="s">
        <v>294</v>
      </c>
      <c r="B107" s="70" t="s">
        <v>295</v>
      </c>
      <c r="C107" s="89" t="s">
        <v>269</v>
      </c>
      <c r="D107" s="124">
        <v>3.47</v>
      </c>
      <c r="E107" s="142">
        <v>3.1949453353881836</v>
      </c>
      <c r="F107" s="142">
        <v>3.1335089206695557</v>
      </c>
      <c r="G107" s="142">
        <v>3.3140368461608887</v>
      </c>
      <c r="H107" s="142">
        <v>2.9504983425140381</v>
      </c>
      <c r="I107" s="142">
        <v>3.9166667461395264</v>
      </c>
      <c r="J107" s="142">
        <v>2.6669111251831055</v>
      </c>
      <c r="K107" s="142">
        <v>3.6010158061981201</v>
      </c>
      <c r="L107" s="142">
        <v>3.6030178070068359</v>
      </c>
      <c r="M107" s="142">
        <v>3.2198436260223389</v>
      </c>
      <c r="N107" s="142">
        <v>3.1681842803955078</v>
      </c>
      <c r="O107" s="142">
        <v>3.5971012115478516</v>
      </c>
      <c r="P107" s="142">
        <v>3.3128700256347656</v>
      </c>
      <c r="Q107" s="142">
        <v>3.6601929664611816</v>
      </c>
      <c r="R107" s="125">
        <v>0</v>
      </c>
      <c r="S107" s="142">
        <v>3.6096539497375488</v>
      </c>
      <c r="T107" s="142">
        <v>3.0336449146270752</v>
      </c>
      <c r="U107" s="143">
        <v>3.2206869125366211</v>
      </c>
      <c r="V107" s="142">
        <v>3.3576755523681641</v>
      </c>
      <c r="W107" s="142">
        <v>2.7064337730407715</v>
      </c>
      <c r="X107" s="142">
        <v>3.668658971786499</v>
      </c>
      <c r="Y107" s="142">
        <v>3.2976274490356445</v>
      </c>
      <c r="Z107" s="142">
        <v>3.2899494171142578</v>
      </c>
      <c r="AA107" s="142">
        <v>3.6158623695373535</v>
      </c>
      <c r="AB107" s="142">
        <v>3.6703939437866211</v>
      </c>
      <c r="AC107" s="142">
        <v>3.553001880645752</v>
      </c>
      <c r="AD107" s="142">
        <v>3.5428352355957031</v>
      </c>
      <c r="AE107" s="142">
        <v>3.3812050819396973</v>
      </c>
      <c r="AF107" s="142">
        <v>3.6925604343414307</v>
      </c>
      <c r="AG107" s="142">
        <v>3.3460996150970459</v>
      </c>
      <c r="AH107" s="142">
        <v>3.4529616832733154</v>
      </c>
      <c r="AI107" s="142">
        <v>3.5364425182342529</v>
      </c>
      <c r="AJ107" s="142">
        <v>3.5554473400115967</v>
      </c>
      <c r="AK107" s="142">
        <v>3.5408334732055664</v>
      </c>
      <c r="AL107" s="142">
        <v>3.1983633041381836</v>
      </c>
      <c r="AM107" s="142">
        <v>3.1808340549468994</v>
      </c>
      <c r="AN107" s="142">
        <v>3.4921574592590332</v>
      </c>
      <c r="AO107" s="142">
        <v>3.6512999534606934</v>
      </c>
      <c r="AP107" s="142">
        <v>3.4238839149475098</v>
      </c>
      <c r="AQ107" s="142">
        <v>3.5267455577850342</v>
      </c>
      <c r="AR107" s="142">
        <v>2.9575364589691162</v>
      </c>
      <c r="AS107" s="142">
        <v>3.4438745975494385</v>
      </c>
      <c r="AT107" s="142">
        <v>3.547785758972168</v>
      </c>
      <c r="AU107" s="142">
        <v>3.5178689956665039</v>
      </c>
      <c r="AV107" s="142">
        <v>2.7941808700561523</v>
      </c>
      <c r="AW107" s="142">
        <v>2.8893446922302246</v>
      </c>
      <c r="AX107" s="142">
        <v>3.6415109634399414</v>
      </c>
      <c r="AY107" s="142">
        <v>3.2403371334075928</v>
      </c>
      <c r="AZ107" s="142">
        <v>3.2946553230285645</v>
      </c>
      <c r="BA107" s="142">
        <v>3.51564621925354</v>
      </c>
      <c r="BB107" s="142">
        <v>3.2211806774139404</v>
      </c>
      <c r="BC107" s="142">
        <v>3.6075348854064941</v>
      </c>
      <c r="BD107" s="142">
        <v>3.34480881690979</v>
      </c>
      <c r="BE107" s="142">
        <v>3.0625832080841064</v>
      </c>
      <c r="BF107" s="142">
        <v>3.2097983360290527</v>
      </c>
      <c r="BG107" s="142">
        <v>3.791215181350708</v>
      </c>
      <c r="BH107" s="142">
        <v>3.2449972629547119</v>
      </c>
      <c r="BI107" s="142">
        <v>3.5080440044403076</v>
      </c>
      <c r="BJ107" s="142">
        <v>3.4735352993011475</v>
      </c>
      <c r="BK107" s="142">
        <v>3.2312164306640625</v>
      </c>
      <c r="BL107" s="142">
        <v>3.0474984645843506</v>
      </c>
      <c r="BM107" s="142">
        <v>3.4348244667053223</v>
      </c>
      <c r="BN107" s="142">
        <v>3.7656795978546143</v>
      </c>
    </row>
    <row r="108" spans="1:66" x14ac:dyDescent="0.2">
      <c r="A108" s="70" t="s">
        <v>296</v>
      </c>
      <c r="B108" s="70" t="s">
        <v>271</v>
      </c>
      <c r="C108" s="89" t="s">
        <v>272</v>
      </c>
      <c r="D108" s="124">
        <v>3.78</v>
      </c>
      <c r="E108" s="142">
        <v>3.2712090015411377</v>
      </c>
      <c r="F108" s="142">
        <v>3.6782069206237793</v>
      </c>
      <c r="G108" s="142">
        <v>3.8429815769195557</v>
      </c>
      <c r="H108" s="142">
        <v>3.2910072803497314</v>
      </c>
      <c r="I108" s="142">
        <v>3.6312813758850098</v>
      </c>
      <c r="J108" s="142">
        <v>3.4985337257385254</v>
      </c>
      <c r="K108" s="142">
        <v>3.6337344646453857</v>
      </c>
      <c r="L108" s="142">
        <v>3.8676726818084717</v>
      </c>
      <c r="M108" s="142">
        <v>3.103710412979126</v>
      </c>
      <c r="N108" s="142">
        <v>3.8863725662231445</v>
      </c>
      <c r="O108" s="142">
        <v>3.7880966663360596</v>
      </c>
      <c r="P108" s="142">
        <v>3.6871299743652344</v>
      </c>
      <c r="Q108" s="142">
        <v>3.9466023445129395</v>
      </c>
      <c r="R108" s="125">
        <v>0</v>
      </c>
      <c r="S108" s="142">
        <v>3.5387370586395264</v>
      </c>
      <c r="T108" s="142">
        <v>3.8497662544250488</v>
      </c>
      <c r="U108" s="143">
        <v>3.7839689254760742</v>
      </c>
      <c r="V108" s="142">
        <v>3.6500284671783447</v>
      </c>
      <c r="W108" s="142">
        <v>3</v>
      </c>
      <c r="X108" s="142">
        <v>4.370976448059082</v>
      </c>
      <c r="Y108" s="142">
        <v>3.5893235206604004</v>
      </c>
      <c r="Z108" s="142">
        <v>4.0854601860046387</v>
      </c>
      <c r="AA108" s="142">
        <v>3.6701884269714355</v>
      </c>
      <c r="AB108" s="142">
        <v>3.793724536895752</v>
      </c>
      <c r="AC108" s="142">
        <v>3.8810145854949951</v>
      </c>
      <c r="AD108" s="142">
        <v>3.681605339050293</v>
      </c>
      <c r="AE108" s="142">
        <v>3.7890834808349609</v>
      </c>
      <c r="AF108" s="142">
        <v>4.0305743217468262</v>
      </c>
      <c r="AG108" s="142">
        <v>3.6213052272796631</v>
      </c>
      <c r="AH108" s="142">
        <v>3.676422119140625</v>
      </c>
      <c r="AI108" s="142">
        <v>3.9278361797332764</v>
      </c>
      <c r="AJ108" s="142">
        <v>3.75980544090271</v>
      </c>
      <c r="AK108" s="142">
        <v>3.8068451881408691</v>
      </c>
      <c r="AL108" s="142">
        <v>3.7289528846740723</v>
      </c>
      <c r="AM108" s="142">
        <v>3.5726127624511719</v>
      </c>
      <c r="AN108" s="142">
        <v>3.85323166847229</v>
      </c>
      <c r="AO108" s="142">
        <v>4.1707191467285156</v>
      </c>
      <c r="AP108" s="142">
        <v>3.8567192554473877</v>
      </c>
      <c r="AQ108" s="142">
        <v>3.2690386772155762</v>
      </c>
      <c r="AR108" s="142">
        <v>3.3557901382446289</v>
      </c>
      <c r="AS108" s="142">
        <v>3.4372177124023438</v>
      </c>
      <c r="AT108" s="142">
        <v>3.9359586238861084</v>
      </c>
      <c r="AU108" s="142">
        <v>3.6380183696746826</v>
      </c>
      <c r="AV108" s="142">
        <v>3.4984986782073975</v>
      </c>
      <c r="AW108" s="142">
        <v>3.1736767292022705</v>
      </c>
      <c r="AX108" s="142">
        <v>3.99519944190979</v>
      </c>
      <c r="AY108" s="142">
        <v>3.9768400192260742</v>
      </c>
      <c r="AZ108" s="142">
        <v>3.6778748035430908</v>
      </c>
      <c r="BA108" s="142">
        <v>4.0387253761291504</v>
      </c>
      <c r="BB108" s="142">
        <v>3.8870046138763428</v>
      </c>
      <c r="BC108" s="142">
        <v>4.1478676795959473</v>
      </c>
      <c r="BD108" s="142">
        <v>4.417668342590332</v>
      </c>
      <c r="BE108" s="142">
        <v>4.0114130973815918</v>
      </c>
      <c r="BF108" s="142">
        <v>3.7434389591217041</v>
      </c>
      <c r="BG108" s="142">
        <v>4.5439248085021973</v>
      </c>
      <c r="BH108" s="142">
        <v>4.0051488876342773</v>
      </c>
      <c r="BI108" s="142">
        <v>3.9919559955596924</v>
      </c>
      <c r="BJ108" s="142">
        <v>3.7087705135345459</v>
      </c>
      <c r="BK108" s="142">
        <v>3.8150396347045898</v>
      </c>
      <c r="BL108" s="142">
        <v>4.1244711875915527</v>
      </c>
      <c r="BM108" s="142">
        <v>4.1633052825927734</v>
      </c>
      <c r="BN108" s="142">
        <v>4.1734671592712402</v>
      </c>
    </row>
    <row r="109" spans="1:66" s="112" customFormat="1" x14ac:dyDescent="0.2">
      <c r="A109" s="77" t="s">
        <v>297</v>
      </c>
      <c r="B109" s="77" t="s">
        <v>298</v>
      </c>
      <c r="C109" s="92" t="s">
        <v>449</v>
      </c>
      <c r="D109" s="131">
        <f>VLOOKUP(A109,'2022_PAPI_Indicators'!A104:B284,2,)</f>
        <v>2.4745140075683594</v>
      </c>
      <c r="E109" s="131">
        <f>VLOOKUP(A109,'2022_PAPI_Indicators'!A104:C284,3,FALSE)</f>
        <v>2.4600114822387695</v>
      </c>
      <c r="F109" s="131">
        <f>VLOOKUP(A109,'2022_PAPI_Indicators'!A104:D284,4,FALSE)</f>
        <v>2.3706743717193604</v>
      </c>
      <c r="G109" s="131">
        <f>VLOOKUP(A109,'2022_PAPI_Indicators'!A104:E284,5,FALSE)</f>
        <v>2.4585464000701904</v>
      </c>
      <c r="H109" s="131">
        <f>VLOOKUP(A109,'2022_PAPI_Indicators'!A104:F284,6,FALSE)</f>
        <v>2.5195016860961914</v>
      </c>
      <c r="I109" s="131">
        <f>VLOOKUP(A109,'2022_PAPI_Indicators'!A104:G284,7,FALSE)</f>
        <v>2.3737971782684326</v>
      </c>
      <c r="J109" s="131">
        <f>VLOOKUP(A109,'2022_PAPI_Indicators'!A104:H284,8,FALSE)</f>
        <v>2.2998862266540527</v>
      </c>
      <c r="K109" s="131">
        <f>VLOOKUP(A109,'2022_PAPI_Indicators'!A104:I284,9,FALSE)</f>
        <v>2.4076125621795654</v>
      </c>
      <c r="L109" s="131">
        <f>VLOOKUP(A109,'2022_PAPI_Indicators'!A104:J284,10,FALSE)</f>
        <v>2.477726936340332</v>
      </c>
      <c r="M109" s="131">
        <f>VLOOKUP(A109,'2022_PAPI_Indicators'!A104:K284,11,FALSE)</f>
        <v>2.501666784286499</v>
      </c>
      <c r="N109" s="131">
        <f>VLOOKUP(A109,'2022_PAPI_Indicators'!A104:L284,12,FALSE)</f>
        <v>2.2412309646606445</v>
      </c>
      <c r="O109" s="131">
        <f>VLOOKUP(A109,'2022_PAPI_Indicators'!A104:M284,13,FALSE)</f>
        <v>2.3521485328674316</v>
      </c>
      <c r="P109" s="131">
        <f>VLOOKUP(A109,'2022_PAPI_Indicators'!A104:N284,14,FALSE)</f>
        <v>2.4469680786132813</v>
      </c>
      <c r="Q109" s="131">
        <f>VLOOKUP(A109,'2022_PAPI_Indicators'!A104:O284,15,FALSE)</f>
        <v>2.5282680988311768</v>
      </c>
      <c r="R109" s="132">
        <f>VLOOKUP(A109,'2022_PAPI_Indicators'!A104:P284,16,FALSE)</f>
        <v>0</v>
      </c>
      <c r="S109" s="131">
        <f>VLOOKUP(A109,'2022_PAPI_Indicators'!A104:R284,17,FALSE)</f>
        <v>2.4669432640075684</v>
      </c>
      <c r="T109" s="131">
        <f>VLOOKUP(A109,'2022_PAPI_Indicators'!A104:S284,18,FALSE)</f>
        <v>2.4793384075164795</v>
      </c>
      <c r="U109" s="132">
        <f>VLOOKUP(A109,'2022_PAPI_Indicators'!A104:T284,19,FALSE)</f>
        <v>2.6075866222381592</v>
      </c>
      <c r="V109" s="131">
        <f>VLOOKUP(A109,'2022_PAPI_Indicators'!A104:U284,20,FALSE)</f>
        <v>2.4744045734405518</v>
      </c>
      <c r="W109" s="131">
        <f>VLOOKUP(A109,'2022_PAPI_Indicators'!A104:V284,21,FALSE)</f>
        <v>2.5386655330657959</v>
      </c>
      <c r="X109" s="131">
        <f>VLOOKUP(A109,'2022_PAPI_Indicators'!A104:W284,22,FALSE)</f>
        <v>2.5531680583953857</v>
      </c>
      <c r="Y109" s="131">
        <f>VLOOKUP(A109,'2022_PAPI_Indicators'!A104:X284,23,FALSE)</f>
        <v>2.4330167770385742</v>
      </c>
      <c r="Z109" s="131">
        <f>VLOOKUP(A109,'2022_PAPI_Indicators'!A104:Y284,24,FALSE)</f>
        <v>2.4506919384002686</v>
      </c>
      <c r="AA109" s="131">
        <f>VLOOKUP(A109,'2022_PAPI_Indicators'!A104:Z284,25,FALSE)</f>
        <v>2.5113072395324707</v>
      </c>
      <c r="AB109" s="131">
        <f>VLOOKUP(A109,'2022_PAPI_Indicators'!A104:AA284,26,FALSE)</f>
        <v>2.4075188636779785</v>
      </c>
      <c r="AC109" s="131">
        <f>VLOOKUP(A109,'2022_PAPI_Indicators'!A104:AB284,27,FALSE)</f>
        <v>2.507763147354126</v>
      </c>
      <c r="AD109" s="131">
        <f>VLOOKUP(A109,'2022_PAPI_Indicators'!A104:AC284,28,FALSE)</f>
        <v>2.4419393539428711</v>
      </c>
      <c r="AE109" s="131">
        <f>VLOOKUP(A109,'2022_PAPI_Indicators'!A104:AD284,29,FALSE)</f>
        <v>2.4621345996856689</v>
      </c>
      <c r="AF109" s="131">
        <f>VLOOKUP(A109,'2022_PAPI_Indicators'!A104:AE284,30,FALSE)</f>
        <v>2.3893876075744629</v>
      </c>
      <c r="AG109" s="131">
        <f>VLOOKUP(A109,'2022_PAPI_Indicators'!A104:AF284,31,FALSE)</f>
        <v>2.3646941184997559</v>
      </c>
      <c r="AH109" s="131">
        <f>VLOOKUP(A109,'2022_PAPI_Indicators'!A104:AG284,32,FALSE)</f>
        <v>2.3996772766113281</v>
      </c>
      <c r="AI109" s="131">
        <f>VLOOKUP(A109,'2022_PAPI_Indicators'!A104:AH284,33,FALSE)</f>
        <v>2.4421594142913818</v>
      </c>
      <c r="AJ109" s="131">
        <f>VLOOKUP(A109,'2022_PAPI_Indicators'!A104:AI284,34,FALSE)</f>
        <v>2.498920202255249</v>
      </c>
      <c r="AK109" s="131">
        <f>VLOOKUP(A109,'2022_PAPI_Indicators'!A104:AJ284,35,FALSE)</f>
        <v>2.3636722564697266</v>
      </c>
      <c r="AL109" s="131">
        <f>VLOOKUP(A109,'2022_PAPI_Indicators'!A104:AK284,36,FALSE)</f>
        <v>2.4642319679260254</v>
      </c>
      <c r="AM109" s="131">
        <f>VLOOKUP(A109,'2022_PAPI_Indicators'!A104:AL284,37,FALSE)</f>
        <v>2.3677666187286377</v>
      </c>
      <c r="AN109" s="131">
        <f>VLOOKUP(A109,'2022_PAPI_Indicators'!A104:AM284,38,FALSE)</f>
        <v>2.4613902568817139</v>
      </c>
      <c r="AO109" s="131">
        <f>VLOOKUP(A109,'2022_PAPI_Indicators'!A104:AN284,39,FALSE)</f>
        <v>2.517437219619751</v>
      </c>
      <c r="AP109" s="131">
        <f>VLOOKUP(A109,'2022_PAPI_Indicators'!A104:AO284,40,FALSE)</f>
        <v>2.5114462375640869</v>
      </c>
      <c r="AQ109" s="131">
        <f>VLOOKUP(A109,'2022_PAPI_Indicators'!A104:AP284,41,FALSE)</f>
        <v>2.3740320205688477</v>
      </c>
      <c r="AR109" s="131">
        <f>VLOOKUP(A109,'2022_PAPI_Indicators'!A104:AQ284,42,FALSE)</f>
        <v>2.2332336902618408</v>
      </c>
      <c r="AS109" s="131">
        <f>VLOOKUP(A109,'2022_PAPI_Indicators'!A104:AR284,43,FALSE)</f>
        <v>2.505455493927002</v>
      </c>
      <c r="AT109" s="131">
        <f>VLOOKUP(A109,'2022_PAPI_Indicators'!A104:AS284,44,FALSE)</f>
        <v>2.4241223335266113</v>
      </c>
      <c r="AU109" s="131">
        <f>VLOOKUP(A109,'2022_PAPI_Indicators'!A104:AT284,45,FALSE)</f>
        <v>2.4741654396057129</v>
      </c>
      <c r="AV109" s="131">
        <f>VLOOKUP(A109,'2022_PAPI_Indicators'!A104:AU284,46,FALSE)</f>
        <v>2.5270926952362061</v>
      </c>
      <c r="AW109" s="131">
        <f>VLOOKUP(A109,'2022_PAPI_Indicators'!A104:AV284,47,FALSE)</f>
        <v>2.3812706470489502</v>
      </c>
      <c r="AX109" s="131">
        <f>VLOOKUP(A109,'2022_PAPI_Indicators'!A104:AW284,48,FALSE)</f>
        <v>2.4996938705444336</v>
      </c>
      <c r="AY109" s="131">
        <f>VLOOKUP(A109,'2022_PAPI_Indicators'!A104:AX284,49,FALSE)</f>
        <v>2.4366309642791748</v>
      </c>
      <c r="AZ109" s="131">
        <f>VLOOKUP(A109,'2022_PAPI_Indicators'!A104:AY284,50,FALSE)</f>
        <v>2.3875916004180908</v>
      </c>
      <c r="BA109" s="131">
        <f>VLOOKUP(A109,'2022_PAPI_Indicators'!A104:AZ284,51,FALSE)</f>
        <v>2.3967361450195313</v>
      </c>
      <c r="BB109" s="131">
        <f>VLOOKUP(A109,'2022_PAPI_Indicators'!A104:BA284,52,FALSE)</f>
        <v>2.4494137763977051</v>
      </c>
      <c r="BC109" s="131">
        <f>VLOOKUP(A109,'2022_PAPI_Indicators'!A104:BB284,53,FALSE)</f>
        <v>2.4969210624694824</v>
      </c>
      <c r="BD109" s="131">
        <f>VLOOKUP(A109,'2022_PAPI_Indicators'!A104:BC284,54,FALSE)</f>
        <v>2.4976189136505127</v>
      </c>
      <c r="BE109" s="131">
        <f>VLOOKUP(A109,'2022_PAPI_Indicators'!A104:BD284,55,FALSE)</f>
        <v>2.5061793327331543</v>
      </c>
      <c r="BF109" s="131">
        <f>VLOOKUP(A109,'2022_PAPI_Indicators'!A104:BE284,56,FALSE)</f>
        <v>2.4435176849365234</v>
      </c>
      <c r="BG109" s="131">
        <f>VLOOKUP(A109,'2022_PAPI_Indicators'!A104:BF284,57,FALSE)</f>
        <v>2.5454180240631104</v>
      </c>
      <c r="BH109" s="131">
        <f>VLOOKUP(A109,'2022_PAPI_Indicators'!A104:BG284,58,FALSE)</f>
        <v>2.4879813194274902</v>
      </c>
      <c r="BI109" s="131">
        <f>VLOOKUP(A109,'2022_PAPI_Indicators'!A104:BH284,59,FALSE)</f>
        <v>2.615161657333374</v>
      </c>
      <c r="BJ109" s="131">
        <f>VLOOKUP(A109,'2022_PAPI_Indicators'!A104:BI284,60,FALSE)</f>
        <v>2.482593297958374</v>
      </c>
      <c r="BK109" s="131">
        <f>VLOOKUP(A109,'2022_PAPI_Indicators'!A104:BJ284,61,FALSE)</f>
        <v>2.4736404418945313</v>
      </c>
      <c r="BL109" s="131">
        <f>VLOOKUP(A109,'2022_PAPI_Indicators'!A104:BK284,62,FALSE)</f>
        <v>2.6434214115142822</v>
      </c>
      <c r="BM109" s="131">
        <f>VLOOKUP(A109,'2022_PAPI_Indicators'!A104:BL284,63,FALSE)</f>
        <v>2.579606294631958</v>
      </c>
      <c r="BN109" s="131">
        <f>VLOOKUP(A109,'2022_PAPI_Indicators'!A104:BM284,64,FALSE)</f>
        <v>2.4938066005706787</v>
      </c>
    </row>
    <row r="110" spans="1:66" x14ac:dyDescent="0.2">
      <c r="A110" s="70" t="s">
        <v>299</v>
      </c>
      <c r="B110" s="70" t="s">
        <v>300</v>
      </c>
      <c r="C110" s="89" t="s">
        <v>90</v>
      </c>
      <c r="D110" s="133">
        <f>VLOOKUP(A110,'2022_PAPI_Indicators'!A105:B285,2,)</f>
        <v>0.15148293972015381</v>
      </c>
      <c r="E110" s="133">
        <f>VLOOKUP(A110,'2022_PAPI_Indicators'!A105:C285,3,FALSE)</f>
        <v>0.30321604013442993</v>
      </c>
      <c r="F110" s="133">
        <f>VLOOKUP(A110,'2022_PAPI_Indicators'!A105:D285,4,FALSE)</f>
        <v>0.27909880876541138</v>
      </c>
      <c r="G110" s="133">
        <f>VLOOKUP(A110,'2022_PAPI_Indicators'!A105:E285,5,FALSE)</f>
        <v>0.23112280666828156</v>
      </c>
      <c r="H110" s="133">
        <f>VLOOKUP(A110,'2022_PAPI_Indicators'!A105:F285,6,FALSE)</f>
        <v>0.20352047681808472</v>
      </c>
      <c r="I110" s="133">
        <f>VLOOKUP(A110,'2022_PAPI_Indicators'!A105:G285,7,FALSE)</f>
        <v>0.30328783392906189</v>
      </c>
      <c r="J110" s="133">
        <f>VLOOKUP(A110,'2022_PAPI_Indicators'!A105:H285,8,FALSE)</f>
        <v>0.33992424607276917</v>
      </c>
      <c r="K110" s="133">
        <f>VLOOKUP(A110,'2022_PAPI_Indicators'!A105:I285,9,FALSE)</f>
        <v>0.23187358677387238</v>
      </c>
      <c r="L110" s="133">
        <f>VLOOKUP(A110,'2022_PAPI_Indicators'!A105:J285,10,FALSE)</f>
        <v>0.2791706919670105</v>
      </c>
      <c r="M110" s="133">
        <f>VLOOKUP(A110,'2022_PAPI_Indicators'!A105:K285,11,FALSE)</f>
        <v>0.3291059136390686</v>
      </c>
      <c r="N110" s="133">
        <f>VLOOKUP(A110,'2022_PAPI_Indicators'!A105:L285,12,FALSE)</f>
        <v>0.16527989506721497</v>
      </c>
      <c r="O110" s="133">
        <f>VLOOKUP(A110,'2022_PAPI_Indicators'!A105:M285,13,FALSE)</f>
        <v>0.15521402657032013</v>
      </c>
      <c r="P110" s="133">
        <f>VLOOKUP(A110,'2022_PAPI_Indicators'!A105:N285,14,FALSE)</f>
        <v>0.28346067667007446</v>
      </c>
      <c r="Q110" s="133">
        <f>VLOOKUP(A110,'2022_PAPI_Indicators'!A105:O285,15,FALSE)</f>
        <v>0.16694365441799164</v>
      </c>
      <c r="R110" s="135">
        <f>VLOOKUP(A110,'2022_PAPI_Indicators'!A105:P285,16,FALSE)</f>
        <v>0</v>
      </c>
      <c r="S110" s="133">
        <f>VLOOKUP(A110,'2022_PAPI_Indicators'!A105:R285,17,FALSE)</f>
        <v>0.17558634281158447</v>
      </c>
      <c r="T110" s="133">
        <f>VLOOKUP(A110,'2022_PAPI_Indicators'!A105:S285,18,FALSE)</f>
        <v>0.15276023745536804</v>
      </c>
      <c r="U110" s="135">
        <f>VLOOKUP(A110,'2022_PAPI_Indicators'!A105:T285,19,FALSE)</f>
        <v>0.29155996441841125</v>
      </c>
      <c r="V110" s="133">
        <f>VLOOKUP(A110,'2022_PAPI_Indicators'!A105:U285,20,FALSE)</f>
        <v>0.22078105807304382</v>
      </c>
      <c r="W110" s="133">
        <f>VLOOKUP(A110,'2022_PAPI_Indicators'!A105:V285,21,FALSE)</f>
        <v>0.2137487381696701</v>
      </c>
      <c r="X110" s="133">
        <f>VLOOKUP(A110,'2022_PAPI_Indicators'!A105:W285,22,FALSE)</f>
        <v>0.25058320164680481</v>
      </c>
      <c r="Y110" s="133">
        <f>VLOOKUP(A110,'2022_PAPI_Indicators'!A105:X285,23,FALSE)</f>
        <v>0.20020730793476105</v>
      </c>
      <c r="Z110" s="133">
        <f>VLOOKUP(A110,'2022_PAPI_Indicators'!A105:Y285,24,FALSE)</f>
        <v>0.23226922750473022</v>
      </c>
      <c r="AA110" s="133">
        <f>VLOOKUP(A110,'2022_PAPI_Indicators'!A105:Z285,25,FALSE)</f>
        <v>0.25896155834197998</v>
      </c>
      <c r="AB110" s="133">
        <f>VLOOKUP(A110,'2022_PAPI_Indicators'!A105:AA285,26,FALSE)</f>
        <v>0.20749746263027191</v>
      </c>
      <c r="AC110" s="133">
        <f>VLOOKUP(A110,'2022_PAPI_Indicators'!A105:AB285,27,FALSE)</f>
        <v>0.2243804931640625</v>
      </c>
      <c r="AD110" s="133">
        <f>VLOOKUP(A110,'2022_PAPI_Indicators'!A105:AC285,28,FALSE)</f>
        <v>0.25269266963005066</v>
      </c>
      <c r="AE110" s="133">
        <f>VLOOKUP(A110,'2022_PAPI_Indicators'!A105:AD285,29,FALSE)</f>
        <v>0.24539998173713684</v>
      </c>
      <c r="AF110" s="133">
        <f>VLOOKUP(A110,'2022_PAPI_Indicators'!A105:AE285,30,FALSE)</f>
        <v>0.29066532850265503</v>
      </c>
      <c r="AG110" s="133">
        <f>VLOOKUP(A110,'2022_PAPI_Indicators'!A105:AF285,31,FALSE)</f>
        <v>0.35092326998710632</v>
      </c>
      <c r="AH110" s="133">
        <f>VLOOKUP(A110,'2022_PAPI_Indicators'!A105:AG285,32,FALSE)</f>
        <v>0.23884905874729156</v>
      </c>
      <c r="AI110" s="133">
        <f>VLOOKUP(A110,'2022_PAPI_Indicators'!A105:AH285,33,FALSE)</f>
        <v>0.20130138099193573</v>
      </c>
      <c r="AJ110" s="133">
        <f>VLOOKUP(A110,'2022_PAPI_Indicators'!A105:AI285,34,FALSE)</f>
        <v>0.23037658631801605</v>
      </c>
      <c r="AK110" s="133">
        <f>VLOOKUP(A110,'2022_PAPI_Indicators'!A105:AJ285,35,FALSE)</f>
        <v>0.20795603096485138</v>
      </c>
      <c r="AL110" s="133">
        <f>VLOOKUP(A110,'2022_PAPI_Indicators'!A105:AK285,36,FALSE)</f>
        <v>0.18613959848880768</v>
      </c>
      <c r="AM110" s="133">
        <f>VLOOKUP(A110,'2022_PAPI_Indicators'!A105:AL285,37,FALSE)</f>
        <v>0.24203617870807648</v>
      </c>
      <c r="AN110" s="133">
        <f>VLOOKUP(A110,'2022_PAPI_Indicators'!A105:AM285,38,FALSE)</f>
        <v>0.22142520546913147</v>
      </c>
      <c r="AO110" s="133">
        <f>VLOOKUP(A110,'2022_PAPI_Indicators'!A105:AN285,39,FALSE)</f>
        <v>0.2860335111618042</v>
      </c>
      <c r="AP110" s="133">
        <f>VLOOKUP(A110,'2022_PAPI_Indicators'!A105:AO285,40,FALSE)</f>
        <v>0.21422146260738373</v>
      </c>
      <c r="AQ110" s="133">
        <f>VLOOKUP(A110,'2022_PAPI_Indicators'!A105:AP285,41,FALSE)</f>
        <v>0.28584989905357361</v>
      </c>
      <c r="AR110" s="133">
        <f>VLOOKUP(A110,'2022_PAPI_Indicators'!A105:AQ285,42,FALSE)</f>
        <v>0.188935786485672</v>
      </c>
      <c r="AS110" s="133">
        <f>VLOOKUP(A110,'2022_PAPI_Indicators'!A105:AR285,43,FALSE)</f>
        <v>0.24831989407539368</v>
      </c>
      <c r="AT110" s="133">
        <f>VLOOKUP(A110,'2022_PAPI_Indicators'!A105:AS285,44,FALSE)</f>
        <v>0.21078701317310333</v>
      </c>
      <c r="AU110" s="133">
        <f>VLOOKUP(A110,'2022_PAPI_Indicators'!A105:AT285,45,FALSE)</f>
        <v>0.2267773300409317</v>
      </c>
      <c r="AV110" s="133">
        <f>VLOOKUP(A110,'2022_PAPI_Indicators'!A105:AU285,46,FALSE)</f>
        <v>0.39857745170593262</v>
      </c>
      <c r="AW110" s="133">
        <f>VLOOKUP(A110,'2022_PAPI_Indicators'!A105:AV285,47,FALSE)</f>
        <v>0.23527050018310547</v>
      </c>
      <c r="AX110" s="133">
        <f>VLOOKUP(A110,'2022_PAPI_Indicators'!A105:AW285,48,FALSE)</f>
        <v>0.18332211673259735</v>
      </c>
      <c r="AY110" s="133">
        <f>VLOOKUP(A110,'2022_PAPI_Indicators'!A105:AX285,49,FALSE)</f>
        <v>0.23956029117107391</v>
      </c>
      <c r="AZ110" s="133">
        <f>VLOOKUP(A110,'2022_PAPI_Indicators'!A105:AY285,50,FALSE)</f>
        <v>0.22717852890491486</v>
      </c>
      <c r="BA110" s="133">
        <f>VLOOKUP(A110,'2022_PAPI_Indicators'!A105:AZ285,51,FALSE)</f>
        <v>0.14056606590747833</v>
      </c>
      <c r="BB110" s="133">
        <f>VLOOKUP(A110,'2022_PAPI_Indicators'!A105:BA285,52,FALSE)</f>
        <v>0.28407219052314758</v>
      </c>
      <c r="BC110" s="133">
        <f>VLOOKUP(A110,'2022_PAPI_Indicators'!A105:BB285,53,FALSE)</f>
        <v>0.34279659390449524</v>
      </c>
      <c r="BD110" s="133">
        <f>VLOOKUP(A110,'2022_PAPI_Indicators'!A105:BC285,54,FALSE)</f>
        <v>0.22879429161548615</v>
      </c>
      <c r="BE110" s="133">
        <f>VLOOKUP(A110,'2022_PAPI_Indicators'!A105:BD285,55,FALSE)</f>
        <v>0.31083932518959045</v>
      </c>
      <c r="BF110" s="133">
        <f>VLOOKUP(A110,'2022_PAPI_Indicators'!A105:BE285,56,FALSE)</f>
        <v>0.24448809027671814</v>
      </c>
      <c r="BG110" s="133">
        <f>VLOOKUP(A110,'2022_PAPI_Indicators'!A105:BF285,57,FALSE)</f>
        <v>0.35767731070518494</v>
      </c>
      <c r="BH110" s="133">
        <f>VLOOKUP(A110,'2022_PAPI_Indicators'!A105:BG285,58,FALSE)</f>
        <v>0.31980440020561218</v>
      </c>
      <c r="BI110" s="133">
        <f>VLOOKUP(A110,'2022_PAPI_Indicators'!A105:BH285,59,FALSE)</f>
        <v>0.32138523459434509</v>
      </c>
      <c r="BJ110" s="133">
        <f>VLOOKUP(A110,'2022_PAPI_Indicators'!A105:BI285,60,FALSE)</f>
        <v>0.28025084733963013</v>
      </c>
      <c r="BK110" s="133">
        <f>VLOOKUP(A110,'2022_PAPI_Indicators'!A105:BJ285,61,FALSE)</f>
        <v>0.29581937193870544</v>
      </c>
      <c r="BL110" s="133">
        <f>VLOOKUP(A110,'2022_PAPI_Indicators'!A105:BK285,62,FALSE)</f>
        <v>0.38148167729377747</v>
      </c>
      <c r="BM110" s="133">
        <f>VLOOKUP(A110,'2022_PAPI_Indicators'!A105:BL285,63,FALSE)</f>
        <v>0.30418774485588074</v>
      </c>
      <c r="BN110" s="133">
        <f>VLOOKUP(A110,'2022_PAPI_Indicators'!A105:BM285,64,FALSE)</f>
        <v>0.2899402379989624</v>
      </c>
    </row>
    <row r="111" spans="1:66" x14ac:dyDescent="0.2">
      <c r="A111" s="70" t="s">
        <v>301</v>
      </c>
      <c r="B111" s="70" t="s">
        <v>302</v>
      </c>
      <c r="C111" s="89" t="s">
        <v>90</v>
      </c>
      <c r="D111" s="133">
        <f>VLOOKUP(A111,'2022_PAPI_Indicators'!A106:B286,2,)</f>
        <v>0.99418604373931885</v>
      </c>
      <c r="E111" s="133">
        <f>VLOOKUP(A111,'2022_PAPI_Indicators'!A106:C286,3,FALSE)</f>
        <v>0.92857140302658081</v>
      </c>
      <c r="F111" s="133">
        <f>VLOOKUP(A111,'2022_PAPI_Indicators'!A106:D286,4,FALSE)</f>
        <v>0.9375</v>
      </c>
      <c r="G111" s="133">
        <f>VLOOKUP(A111,'2022_PAPI_Indicators'!A106:E286,5,FALSE)</f>
        <v>1</v>
      </c>
      <c r="H111" s="133">
        <f>VLOOKUP(A111,'2022_PAPI_Indicators'!A106:F286,6,FALSE)</f>
        <v>0.97560977935791016</v>
      </c>
      <c r="I111" s="133">
        <f>VLOOKUP(A111,'2022_PAPI_Indicators'!A106:G286,7,FALSE)</f>
        <v>0.90163934230804443</v>
      </c>
      <c r="J111" s="133">
        <f>VLOOKUP(A111,'2022_PAPI_Indicators'!A106:H286,8,FALSE)</f>
        <v>0.875</v>
      </c>
      <c r="K111" s="133">
        <f>VLOOKUP(A111,'2022_PAPI_Indicators'!A106:I286,9,FALSE)</f>
        <v>0.95161288976669312</v>
      </c>
      <c r="L111" s="133">
        <f>VLOOKUP(A111,'2022_PAPI_Indicators'!A106:J286,10,FALSE)</f>
        <v>0.98113209009170532</v>
      </c>
      <c r="M111" s="133">
        <f>VLOOKUP(A111,'2022_PAPI_Indicators'!A106:K286,11,FALSE)</f>
        <v>1</v>
      </c>
      <c r="N111" s="133">
        <f>VLOOKUP(A111,'2022_PAPI_Indicators'!A106:L286,12,FALSE)</f>
        <v>0.96666663885116577</v>
      </c>
      <c r="O111" s="133">
        <f>VLOOKUP(A111,'2022_PAPI_Indicators'!A106:M286,13,FALSE)</f>
        <v>0.94545453786849976</v>
      </c>
      <c r="P111" s="133">
        <f>VLOOKUP(A111,'2022_PAPI_Indicators'!A106:N286,14,FALSE)</f>
        <v>0.94642859697341919</v>
      </c>
      <c r="Q111" s="133">
        <f>VLOOKUP(A111,'2022_PAPI_Indicators'!A106:O286,15,FALSE)</f>
        <v>1</v>
      </c>
      <c r="R111" s="135">
        <f>VLOOKUP(A111,'2022_PAPI_Indicators'!A106:P286,16,FALSE)</f>
        <v>0</v>
      </c>
      <c r="S111" s="133">
        <f>VLOOKUP(A111,'2022_PAPI_Indicators'!A106:R286,17,FALSE)</f>
        <v>0.97619044780731201</v>
      </c>
      <c r="T111" s="133">
        <f>VLOOKUP(A111,'2022_PAPI_Indicators'!A106:S286,18,FALSE)</f>
        <v>0.94444441795349121</v>
      </c>
      <c r="U111" s="135">
        <f>VLOOKUP(A111,'2022_PAPI_Indicators'!A106:T286,19,FALSE)</f>
        <v>0.97647058963775635</v>
      </c>
      <c r="V111" s="133">
        <f>VLOOKUP(A111,'2022_PAPI_Indicators'!A106:U286,20,FALSE)</f>
        <v>0.97674417495727539</v>
      </c>
      <c r="W111" s="133">
        <f>VLOOKUP(A111,'2022_PAPI_Indicators'!A106:V286,21,FALSE)</f>
        <v>0.97435897588729858</v>
      </c>
      <c r="X111" s="133">
        <f>VLOOKUP(A111,'2022_PAPI_Indicators'!A106:W286,22,FALSE)</f>
        <v>1</v>
      </c>
      <c r="Y111" s="133">
        <f>VLOOKUP(A111,'2022_PAPI_Indicators'!A106:X286,23,FALSE)</f>
        <v>1</v>
      </c>
      <c r="Z111" s="133">
        <f>VLOOKUP(A111,'2022_PAPI_Indicators'!A106:Y286,24,FALSE)</f>
        <v>0.9047619104385376</v>
      </c>
      <c r="AA111" s="133">
        <f>VLOOKUP(A111,'2022_PAPI_Indicators'!A106:Z286,25,FALSE)</f>
        <v>0.97777777910232544</v>
      </c>
      <c r="AB111" s="133">
        <f>VLOOKUP(A111,'2022_PAPI_Indicators'!A106:AA286,26,FALSE)</f>
        <v>0.93181818723678589</v>
      </c>
      <c r="AC111" s="133">
        <f>VLOOKUP(A111,'2022_PAPI_Indicators'!A106:AB286,27,FALSE)</f>
        <v>0.95652174949645996</v>
      </c>
      <c r="AD111" s="133">
        <f>VLOOKUP(A111,'2022_PAPI_Indicators'!A106:AC286,28,FALSE)</f>
        <v>0.94999998807907104</v>
      </c>
      <c r="AE111" s="133">
        <f>VLOOKUP(A111,'2022_PAPI_Indicators'!A106:AD286,29,FALSE)</f>
        <v>0.90909093618392944</v>
      </c>
      <c r="AF111" s="133">
        <f>VLOOKUP(A111,'2022_PAPI_Indicators'!A106:AE286,30,FALSE)</f>
        <v>0.94642859697341919</v>
      </c>
      <c r="AG111" s="133">
        <f>VLOOKUP(A111,'2022_PAPI_Indicators'!A106:AF286,31,FALSE)</f>
        <v>0.89705884456634521</v>
      </c>
      <c r="AH111" s="133">
        <f>VLOOKUP(A111,'2022_PAPI_Indicators'!A106:AG286,32,FALSE)</f>
        <v>0.95555555820465088</v>
      </c>
      <c r="AI111" s="133">
        <f>VLOOKUP(A111,'2022_PAPI_Indicators'!A106:AH286,33,FALSE)</f>
        <v>0.98148149251937866</v>
      </c>
      <c r="AJ111" s="133">
        <f>VLOOKUP(A111,'2022_PAPI_Indicators'!A106:AI286,34,FALSE)</f>
        <v>0.97916668653488159</v>
      </c>
      <c r="AK111" s="133">
        <f>VLOOKUP(A111,'2022_PAPI_Indicators'!A106:AJ286,35,FALSE)</f>
        <v>0.90697675943374634</v>
      </c>
      <c r="AL111" s="133">
        <f>VLOOKUP(A111,'2022_PAPI_Indicators'!A106:AK286,36,FALSE)</f>
        <v>1</v>
      </c>
      <c r="AM111" s="133">
        <f>VLOOKUP(A111,'2022_PAPI_Indicators'!A106:AL286,37,FALSE)</f>
        <v>0.94230771064758301</v>
      </c>
      <c r="AN111" s="133">
        <f>VLOOKUP(A111,'2022_PAPI_Indicators'!A106:AM286,38,FALSE)</f>
        <v>0.9523809552192688</v>
      </c>
      <c r="AO111" s="133">
        <f>VLOOKUP(A111,'2022_PAPI_Indicators'!A106:AN286,39,FALSE)</f>
        <v>0.94444441795349121</v>
      </c>
      <c r="AP111" s="133">
        <f>VLOOKUP(A111,'2022_PAPI_Indicators'!A106:AO286,40,FALSE)</f>
        <v>0.95918369293212891</v>
      </c>
      <c r="AQ111" s="133">
        <f>VLOOKUP(A111,'2022_PAPI_Indicators'!A106:AP286,41,FALSE)</f>
        <v>0.96774190664291382</v>
      </c>
      <c r="AR111" s="133">
        <f>VLOOKUP(A111,'2022_PAPI_Indicators'!A106:AQ286,42,FALSE)</f>
        <v>0.837837815284729</v>
      </c>
      <c r="AS111" s="133">
        <f>VLOOKUP(A111,'2022_PAPI_Indicators'!A106:AR286,43,FALSE)</f>
        <v>0.97872340679168701</v>
      </c>
      <c r="AT111" s="133">
        <f>VLOOKUP(A111,'2022_PAPI_Indicators'!A106:AS286,44,FALSE)</f>
        <v>0.953125</v>
      </c>
      <c r="AU111" s="133">
        <f>VLOOKUP(A111,'2022_PAPI_Indicators'!A106:AT286,45,FALSE)</f>
        <v>0.98181819915771484</v>
      </c>
      <c r="AV111" s="133">
        <f>VLOOKUP(A111,'2022_PAPI_Indicators'!A106:AU286,46,FALSE)</f>
        <v>0.95945948362350464</v>
      </c>
      <c r="AW111" s="133">
        <f>VLOOKUP(A111,'2022_PAPI_Indicators'!A106:AV286,47,FALSE)</f>
        <v>0.95999997854232788</v>
      </c>
      <c r="AX111" s="133">
        <f>VLOOKUP(A111,'2022_PAPI_Indicators'!A106:AW286,48,FALSE)</f>
        <v>0.95081967115402222</v>
      </c>
      <c r="AY111" s="133">
        <f>VLOOKUP(A111,'2022_PAPI_Indicators'!A106:AX286,49,FALSE)</f>
        <v>0.94573640823364258</v>
      </c>
      <c r="AZ111" s="133">
        <f>VLOOKUP(A111,'2022_PAPI_Indicators'!A106:AY286,50,FALSE)</f>
        <v>0.96153843402862549</v>
      </c>
      <c r="BA111" s="133">
        <f>VLOOKUP(A111,'2022_PAPI_Indicators'!A106:AZ286,51,FALSE)</f>
        <v>0.96428573131561279</v>
      </c>
      <c r="BB111" s="133">
        <f>VLOOKUP(A111,'2022_PAPI_Indicators'!A106:BA286,52,FALSE)</f>
        <v>1</v>
      </c>
      <c r="BC111" s="133">
        <f>VLOOKUP(A111,'2022_PAPI_Indicators'!A106:BB286,53,FALSE)</f>
        <v>0.93548387289047241</v>
      </c>
      <c r="BD111" s="133">
        <f>VLOOKUP(A111,'2022_PAPI_Indicators'!A106:BC286,54,FALSE)</f>
        <v>1</v>
      </c>
      <c r="BE111" s="133">
        <f>VLOOKUP(A111,'2022_PAPI_Indicators'!A106:BD286,55,FALSE)</f>
        <v>0.953125</v>
      </c>
      <c r="BF111" s="133">
        <f>VLOOKUP(A111,'2022_PAPI_Indicators'!A106:BE286,56,FALSE)</f>
        <v>0.93617022037506104</v>
      </c>
      <c r="BG111" s="133">
        <f>VLOOKUP(A111,'2022_PAPI_Indicators'!A106:BF286,57,FALSE)</f>
        <v>0.97014927864074707</v>
      </c>
      <c r="BH111" s="133">
        <f>VLOOKUP(A111,'2022_PAPI_Indicators'!A106:BG286,58,FALSE)</f>
        <v>0.91735535860061646</v>
      </c>
      <c r="BI111" s="133">
        <f>VLOOKUP(A111,'2022_PAPI_Indicators'!A106:BH286,59,FALSE)</f>
        <v>0.953125</v>
      </c>
      <c r="BJ111" s="133">
        <f>VLOOKUP(A111,'2022_PAPI_Indicators'!A106:BI286,60,FALSE)</f>
        <v>0.95348834991455078</v>
      </c>
      <c r="BK111" s="133">
        <f>VLOOKUP(A111,'2022_PAPI_Indicators'!A106:BJ286,61,FALSE)</f>
        <v>0.9298245906829834</v>
      </c>
      <c r="BL111" s="133">
        <f>VLOOKUP(A111,'2022_PAPI_Indicators'!A106:BK286,62,FALSE)</f>
        <v>0.93589740991592407</v>
      </c>
      <c r="BM111" s="133">
        <f>VLOOKUP(A111,'2022_PAPI_Indicators'!A106:BL286,63,FALSE)</f>
        <v>0.953125</v>
      </c>
      <c r="BN111" s="133">
        <f>VLOOKUP(A111,'2022_PAPI_Indicators'!A106:BM286,64,FALSE)</f>
        <v>0.89090907573699951</v>
      </c>
    </row>
    <row r="112" spans="1:66" x14ac:dyDescent="0.2">
      <c r="A112" s="70" t="s">
        <v>303</v>
      </c>
      <c r="B112" s="70" t="s">
        <v>304</v>
      </c>
      <c r="C112" s="89" t="s">
        <v>269</v>
      </c>
      <c r="D112" s="124">
        <f>VLOOKUP(A112,'2022_PAPI_Indicators'!A107:B287,2,)</f>
        <v>3.8163995742797852</v>
      </c>
      <c r="E112" s="124">
        <f>VLOOKUP(A112,'2022_PAPI_Indicators'!A107:C287,3,FALSE)</f>
        <v>3.3975257873535156</v>
      </c>
      <c r="F112" s="124">
        <f>VLOOKUP(A112,'2022_PAPI_Indicators'!A107:D287,4,FALSE)</f>
        <v>3.1131477355957031</v>
      </c>
      <c r="G112" s="124">
        <f>VLOOKUP(A112,'2022_PAPI_Indicators'!A107:E287,5,FALSE)</f>
        <v>3.409369945526123</v>
      </c>
      <c r="H112" s="124">
        <f>VLOOKUP(A112,'2022_PAPI_Indicators'!A107:F287,6,FALSE)</f>
        <v>3.6783792972564697</v>
      </c>
      <c r="I112" s="124">
        <f>VLOOKUP(A112,'2022_PAPI_Indicators'!A107:G287,7,FALSE)</f>
        <v>3.3449268341064453</v>
      </c>
      <c r="J112" s="124">
        <f>VLOOKUP(A112,'2022_PAPI_Indicators'!A107:H287,8,FALSE)</f>
        <v>2.7454543113708496</v>
      </c>
      <c r="K112" s="124">
        <f>VLOOKUP(A112,'2022_PAPI_Indicators'!A107:I287,9,FALSE)</f>
        <v>3.3356533050537109</v>
      </c>
      <c r="L112" s="124">
        <f>VLOOKUP(A112,'2022_PAPI_Indicators'!A107:J287,10,FALSE)</f>
        <v>3.2244441509246826</v>
      </c>
      <c r="M112" s="124">
        <f>VLOOKUP(A112,'2022_PAPI_Indicators'!A107:K287,11,FALSE)</f>
        <v>3.3867831230163574</v>
      </c>
      <c r="N112" s="124">
        <f>VLOOKUP(A112,'2022_PAPI_Indicators'!A107:L287,12,FALSE)</f>
        <v>2.8817315101623535</v>
      </c>
      <c r="O112" s="124">
        <f>VLOOKUP(A112,'2022_PAPI_Indicators'!A107:M287,13,FALSE)</f>
        <v>3.3772659301757813</v>
      </c>
      <c r="P112" s="124">
        <f>VLOOKUP(A112,'2022_PAPI_Indicators'!A107:N287,14,FALSE)</f>
        <v>3.3741576671600342</v>
      </c>
      <c r="Q112" s="124">
        <f>VLOOKUP(A112,'2022_PAPI_Indicators'!A107:O287,15,FALSE)</f>
        <v>3.7378318309783936</v>
      </c>
      <c r="R112" s="125">
        <f>VLOOKUP(A112,'2022_PAPI_Indicators'!A107:P287,16,FALSE)</f>
        <v>0</v>
      </c>
      <c r="S112" s="124">
        <f>VLOOKUP(A112,'2022_PAPI_Indicators'!A107:R287,17,FALSE)</f>
        <v>3.7458257675170898</v>
      </c>
      <c r="T112" s="124">
        <f>VLOOKUP(A112,'2022_PAPI_Indicators'!A107:S287,18,FALSE)</f>
        <v>3.8967959880828857</v>
      </c>
      <c r="U112" s="125">
        <f>VLOOKUP(A112,'2022_PAPI_Indicators'!A107:T287,19,FALSE)</f>
        <v>3.785269021987915</v>
      </c>
      <c r="V112" s="124">
        <f>VLOOKUP(A112,'2022_PAPI_Indicators'!A107:U287,20,FALSE)</f>
        <v>3.6635684967041016</v>
      </c>
      <c r="W112" s="124">
        <f>VLOOKUP(A112,'2022_PAPI_Indicators'!A107:V287,21,FALSE)</f>
        <v>3.695401668548584</v>
      </c>
      <c r="X112" s="124">
        <f>VLOOKUP(A112,'2022_PAPI_Indicators'!A107:W287,22,FALSE)</f>
        <v>3.5520803928375244</v>
      </c>
      <c r="Y112" s="124">
        <f>VLOOKUP(A112,'2022_PAPI_Indicators'!A107:X287,23,FALSE)</f>
        <v>3.6516382694244385</v>
      </c>
      <c r="Z112" s="124">
        <f>VLOOKUP(A112,'2022_PAPI_Indicators'!A107:Y287,24,FALSE)</f>
        <v>3.6484601497650146</v>
      </c>
      <c r="AA112" s="124">
        <f>VLOOKUP(A112,'2022_PAPI_Indicators'!A107:Z287,25,FALSE)</f>
        <v>3.5235872268676758</v>
      </c>
      <c r="AB112" s="124">
        <f>VLOOKUP(A112,'2022_PAPI_Indicators'!A107:AA287,26,FALSE)</f>
        <v>3.5044937133789063</v>
      </c>
      <c r="AC112" s="124">
        <f>VLOOKUP(A112,'2022_PAPI_Indicators'!A107:AB287,27,FALSE)</f>
        <v>3.6916000843048096</v>
      </c>
      <c r="AD112" s="124">
        <f>VLOOKUP(A112,'2022_PAPI_Indicators'!A107:AC287,28,FALSE)</f>
        <v>3.6067631244659424</v>
      </c>
      <c r="AE112" s="124">
        <f>VLOOKUP(A112,'2022_PAPI_Indicators'!A107:AD287,29,FALSE)</f>
        <v>3.8673012256622314</v>
      </c>
      <c r="AF112" s="124">
        <f>VLOOKUP(A112,'2022_PAPI_Indicators'!A107:AE287,30,FALSE)</f>
        <v>3.2216639518737793</v>
      </c>
      <c r="AG112" s="124">
        <f>VLOOKUP(A112,'2022_PAPI_Indicators'!A107:AF287,31,FALSE)</f>
        <v>3.10504150390625</v>
      </c>
      <c r="AH112" s="124">
        <f>VLOOKUP(A112,'2022_PAPI_Indicators'!A107:AG287,32,FALSE)</f>
        <v>3.4427881240844727</v>
      </c>
      <c r="AI112" s="124">
        <f>VLOOKUP(A112,'2022_PAPI_Indicators'!A107:AH287,33,FALSE)</f>
        <v>3.6292984485626221</v>
      </c>
      <c r="AJ112" s="124">
        <f>VLOOKUP(A112,'2022_PAPI_Indicators'!A107:AI287,34,FALSE)</f>
        <v>3.6290414333343506</v>
      </c>
      <c r="AK112" s="124">
        <f>VLOOKUP(A112,'2022_PAPI_Indicators'!A107:AJ287,35,FALSE)</f>
        <v>3.2022168636322021</v>
      </c>
      <c r="AL112" s="124">
        <f>VLOOKUP(A112,'2022_PAPI_Indicators'!A107:AK287,36,FALSE)</f>
        <v>3.6967618465423584</v>
      </c>
      <c r="AM112" s="124">
        <f>VLOOKUP(A112,'2022_PAPI_Indicators'!A107:AL287,37,FALSE)</f>
        <v>3.1531848907470703</v>
      </c>
      <c r="AN112" s="124">
        <f>VLOOKUP(A112,'2022_PAPI_Indicators'!A107:AM287,38,FALSE)</f>
        <v>3.5511734485626221</v>
      </c>
      <c r="AO112" s="124">
        <f>VLOOKUP(A112,'2022_PAPI_Indicators'!A107:AN287,39,FALSE)</f>
        <v>3.4324893951416016</v>
      </c>
      <c r="AP112" s="124">
        <f>VLOOKUP(A112,'2022_PAPI_Indicators'!A107:AO287,40,FALSE)</f>
        <v>3.5591988563537598</v>
      </c>
      <c r="AQ112" s="124">
        <f>VLOOKUP(A112,'2022_PAPI_Indicators'!A107:AP287,41,FALSE)</f>
        <v>3.0999174118041992</v>
      </c>
      <c r="AR112" s="124">
        <f>VLOOKUP(A112,'2022_PAPI_Indicators'!A107:AQ287,42,FALSE)</f>
        <v>3.2485466003417969</v>
      </c>
      <c r="AS112" s="124">
        <f>VLOOKUP(A112,'2022_PAPI_Indicators'!A107:AR287,43,FALSE)</f>
        <v>3.6382088661193848</v>
      </c>
      <c r="AT112" s="124">
        <f>VLOOKUP(A112,'2022_PAPI_Indicators'!A107:AS287,44,FALSE)</f>
        <v>3.4567062854766846</v>
      </c>
      <c r="AU112" s="124">
        <f>VLOOKUP(A112,'2022_PAPI_Indicators'!A107:AT287,45,FALSE)</f>
        <v>3.5214147567749023</v>
      </c>
      <c r="AV112" s="124">
        <f>VLOOKUP(A112,'2022_PAPI_Indicators'!A107:AU287,46,FALSE)</f>
        <v>3.2002134323120117</v>
      </c>
      <c r="AW112" s="124">
        <f>VLOOKUP(A112,'2022_PAPI_Indicators'!A107:AV287,47,FALSE)</f>
        <v>3.1786601543426514</v>
      </c>
      <c r="AX112" s="124">
        <f>VLOOKUP(A112,'2022_PAPI_Indicators'!A107:AW287,48,FALSE)</f>
        <v>3.8397717475891113</v>
      </c>
      <c r="AY112" s="124">
        <f>VLOOKUP(A112,'2022_PAPI_Indicators'!A107:AX287,49,FALSE)</f>
        <v>3.5103232860565186</v>
      </c>
      <c r="AZ112" s="124">
        <f>VLOOKUP(A112,'2022_PAPI_Indicators'!A107:AY287,50,FALSE)</f>
        <v>3.2092223167419434</v>
      </c>
      <c r="BA112" s="124">
        <f>VLOOKUP(A112,'2022_PAPI_Indicators'!A107:AZ287,51,FALSE)</f>
        <v>3.5047657489776611</v>
      </c>
      <c r="BB112" s="124">
        <f>VLOOKUP(A112,'2022_PAPI_Indicators'!A107:BA287,52,FALSE)</f>
        <v>3.1104068756103516</v>
      </c>
      <c r="BC112" s="124">
        <f>VLOOKUP(A112,'2022_PAPI_Indicators'!A107:BB287,53,FALSE)</f>
        <v>3.2718441486358643</v>
      </c>
      <c r="BD112" s="124">
        <f>VLOOKUP(A112,'2022_PAPI_Indicators'!A107:BC287,54,FALSE)</f>
        <v>3.3221521377563477</v>
      </c>
      <c r="BE112" s="124">
        <f>VLOOKUP(A112,'2022_PAPI_Indicators'!A107:BD287,55,FALSE)</f>
        <v>3.2322571277618408</v>
      </c>
      <c r="BF112" s="124">
        <f>VLOOKUP(A112,'2022_PAPI_Indicators'!A107:BE287,56,FALSE)</f>
        <v>3.4200122356414795</v>
      </c>
      <c r="BG112" s="124">
        <f>VLOOKUP(A112,'2022_PAPI_Indicators'!A107:BF287,57,FALSE)</f>
        <v>3.2604377269744873</v>
      </c>
      <c r="BH112" s="124">
        <f>VLOOKUP(A112,'2022_PAPI_Indicators'!A107:BG287,58,FALSE)</f>
        <v>3.5588369369506836</v>
      </c>
      <c r="BI112" s="124">
        <f>VLOOKUP(A112,'2022_PAPI_Indicators'!A107:BH287,59,FALSE)</f>
        <v>3.7552917003631592</v>
      </c>
      <c r="BJ112" s="124">
        <f>VLOOKUP(A112,'2022_PAPI_Indicators'!A107:BI287,60,FALSE)</f>
        <v>3.2857069969177246</v>
      </c>
      <c r="BK112" s="124">
        <f>VLOOKUP(A112,'2022_PAPI_Indicators'!A107:BJ287,61,FALSE)</f>
        <v>3.3586955070495605</v>
      </c>
      <c r="BL112" s="124">
        <f>VLOOKUP(A112,'2022_PAPI_Indicators'!A107:BK287,62,FALSE)</f>
        <v>3.7314934730529785</v>
      </c>
      <c r="BM112" s="124">
        <f>VLOOKUP(A112,'2022_PAPI_Indicators'!A107:BL287,63,FALSE)</f>
        <v>3.7650494575500488</v>
      </c>
      <c r="BN112" s="124">
        <f>VLOOKUP(A112,'2022_PAPI_Indicators'!A107:BM287,64,FALSE)</f>
        <v>3.5168056488037109</v>
      </c>
    </row>
    <row r="113" spans="1:66" x14ac:dyDescent="0.2">
      <c r="A113" s="70" t="s">
        <v>305</v>
      </c>
      <c r="B113" s="70" t="s">
        <v>271</v>
      </c>
      <c r="C113" s="89" t="s">
        <v>272</v>
      </c>
      <c r="D113" s="124">
        <f>VLOOKUP(A113,'2022_PAPI_Indicators'!A108:B288,2,)</f>
        <v>4.2226719856262207</v>
      </c>
      <c r="E113" s="124">
        <f>VLOOKUP(A113,'2022_PAPI_Indicators'!A108:C288,3,FALSE)</f>
        <v>4.0334129333496094</v>
      </c>
      <c r="F113" s="124">
        <f>VLOOKUP(A113,'2022_PAPI_Indicators'!A108:D288,4,FALSE)</f>
        <v>3.9069321155548096</v>
      </c>
      <c r="G113" s="124">
        <f>VLOOKUP(A113,'2022_PAPI_Indicators'!A108:E288,5,FALSE)</f>
        <v>4.0798373222351074</v>
      </c>
      <c r="H113" s="124">
        <f>VLOOKUP(A113,'2022_PAPI_Indicators'!A108:F288,6,FALSE)</f>
        <v>4.2891898155212402</v>
      </c>
      <c r="I113" s="124">
        <f>VLOOKUP(A113,'2022_PAPI_Indicators'!A108:G288,7,FALSE)</f>
        <v>3.805727481842041</v>
      </c>
      <c r="J113" s="124">
        <f>VLOOKUP(A113,'2022_PAPI_Indicators'!A108:H288,8,FALSE)</f>
        <v>3.9380118846893311</v>
      </c>
      <c r="K113" s="124">
        <f>VLOOKUP(A113,'2022_PAPI_Indicators'!A108:I288,9,FALSE)</f>
        <v>4.1567840576171875</v>
      </c>
      <c r="L113" s="124">
        <f>VLOOKUP(A113,'2022_PAPI_Indicators'!A108:J288,10,FALSE)</f>
        <v>4.0273098945617676</v>
      </c>
      <c r="M113" s="124">
        <f>VLOOKUP(A113,'2022_PAPI_Indicators'!A108:K288,11,FALSE)</f>
        <v>3.9453568458557129</v>
      </c>
      <c r="N113" s="124">
        <f>VLOOKUP(A113,'2022_PAPI_Indicators'!A108:L288,12,FALSE)</f>
        <v>3.8362698554992676</v>
      </c>
      <c r="O113" s="124">
        <f>VLOOKUP(A113,'2022_PAPI_Indicators'!A108:M288,13,FALSE)</f>
        <v>4.1088361740112305</v>
      </c>
      <c r="P113" s="124">
        <f>VLOOKUP(A113,'2022_PAPI_Indicators'!A108:N288,14,FALSE)</f>
        <v>4.2142786979675293</v>
      </c>
      <c r="Q113" s="124">
        <f>VLOOKUP(A113,'2022_PAPI_Indicators'!A108:O288,15,FALSE)</f>
        <v>4.4006199836730957</v>
      </c>
      <c r="R113" s="125">
        <f>VLOOKUP(A113,'2022_PAPI_Indicators'!A108:P288,16,FALSE)</f>
        <v>0</v>
      </c>
      <c r="S113" s="124">
        <f>VLOOKUP(A113,'2022_PAPI_Indicators'!A108:R288,17,FALSE)</f>
        <v>4.2230839729309082</v>
      </c>
      <c r="T113" s="124">
        <f>VLOOKUP(A113,'2022_PAPI_Indicators'!A108:S288,18,FALSE)</f>
        <v>4.2833914756774902</v>
      </c>
      <c r="U113" s="125">
        <f>VLOOKUP(A113,'2022_PAPI_Indicators'!A108:T288,19,FALSE)</f>
        <v>4.4272079467773438</v>
      </c>
      <c r="V113" s="124">
        <f>VLOOKUP(A113,'2022_PAPI_Indicators'!A108:U288,20,FALSE)</f>
        <v>4.1260218620300293</v>
      </c>
      <c r="W113" s="124">
        <f>VLOOKUP(A113,'2022_PAPI_Indicators'!A108:V288,21,FALSE)</f>
        <v>4.3807034492492676</v>
      </c>
      <c r="X113" s="124">
        <f>VLOOKUP(A113,'2022_PAPI_Indicators'!A108:W288,22,FALSE)</f>
        <v>4.3335623741149902</v>
      </c>
      <c r="Y113" s="124">
        <f>VLOOKUP(A113,'2022_PAPI_Indicators'!A108:X288,23,FALSE)</f>
        <v>3.9909830093383789</v>
      </c>
      <c r="Z113" s="124">
        <f>VLOOKUP(A113,'2022_PAPI_Indicators'!A108:Y288,24,FALSE)</f>
        <v>4.3028345108032227</v>
      </c>
      <c r="AA113" s="124">
        <f>VLOOKUP(A113,'2022_PAPI_Indicators'!A108:Z288,25,FALSE)</f>
        <v>4.1572756767272949</v>
      </c>
      <c r="AB113" s="124">
        <f>VLOOKUP(A113,'2022_PAPI_Indicators'!A108:AA288,26,FALSE)</f>
        <v>3.9217019081115723</v>
      </c>
      <c r="AC113" s="124">
        <f>VLOOKUP(A113,'2022_PAPI_Indicators'!A108:AB288,27,FALSE)</f>
        <v>4.3333864212036133</v>
      </c>
      <c r="AD113" s="124">
        <f>VLOOKUP(A113,'2022_PAPI_Indicators'!A108:AC288,28,FALSE)</f>
        <v>3.9661355018615723</v>
      </c>
      <c r="AE113" s="124">
        <f>VLOOKUP(A113,'2022_PAPI_Indicators'!A108:AD288,29,FALSE)</f>
        <v>4.0382232666015625</v>
      </c>
      <c r="AF113" s="124">
        <f>VLOOKUP(A113,'2022_PAPI_Indicators'!A108:AE288,30,FALSE)</f>
        <v>3.8854057788848877</v>
      </c>
      <c r="AG113" s="124">
        <f>VLOOKUP(A113,'2022_PAPI_Indicators'!A108:AF288,31,FALSE)</f>
        <v>3.78839111328125</v>
      </c>
      <c r="AH113" s="124">
        <f>VLOOKUP(A113,'2022_PAPI_Indicators'!A108:AG288,32,FALSE)</f>
        <v>4.0653214454650879</v>
      </c>
      <c r="AI113" s="124">
        <f>VLOOKUP(A113,'2022_PAPI_Indicators'!A108:AH288,33,FALSE)</f>
        <v>4.0500226020812988</v>
      </c>
      <c r="AJ113" s="124">
        <f>VLOOKUP(A113,'2022_PAPI_Indicators'!A108:AI288,34,FALSE)</f>
        <v>4.1787276268005371</v>
      </c>
      <c r="AK113" s="124">
        <f>VLOOKUP(A113,'2022_PAPI_Indicators'!A108:AJ288,35,FALSE)</f>
        <v>4.1490898132324219</v>
      </c>
      <c r="AL113" s="124">
        <f>VLOOKUP(A113,'2022_PAPI_Indicators'!A108:AK288,36,FALSE)</f>
        <v>4.0088372230529785</v>
      </c>
      <c r="AM113" s="124">
        <f>VLOOKUP(A113,'2022_PAPI_Indicators'!A108:AL288,37,FALSE)</f>
        <v>3.8868050575256348</v>
      </c>
      <c r="AN113" s="124">
        <f>VLOOKUP(A113,'2022_PAPI_Indicators'!A108:AM288,38,FALSE)</f>
        <v>4.2218050956726074</v>
      </c>
      <c r="AO113" s="124">
        <f>VLOOKUP(A113,'2022_PAPI_Indicators'!A108:AN288,39,FALSE)</f>
        <v>4.4072685241699219</v>
      </c>
      <c r="AP113" s="124">
        <f>VLOOKUP(A113,'2022_PAPI_Indicators'!A108:AO288,40,FALSE)</f>
        <v>4.3980298042297363</v>
      </c>
      <c r="AQ113" s="124">
        <f>VLOOKUP(A113,'2022_PAPI_Indicators'!A108:AP288,41,FALSE)</f>
        <v>3.850283145904541</v>
      </c>
      <c r="AR113" s="124">
        <f>VLOOKUP(A113,'2022_PAPI_Indicators'!A108:AQ288,42,FALSE)</f>
        <v>3.7446997165679932</v>
      </c>
      <c r="AS113" s="124">
        <f>VLOOKUP(A113,'2022_PAPI_Indicators'!A108:AR288,43,FALSE)</f>
        <v>4.1503663063049316</v>
      </c>
      <c r="AT113" s="124">
        <f>VLOOKUP(A113,'2022_PAPI_Indicators'!A108:AS288,44,FALSE)</f>
        <v>4.1003389358520508</v>
      </c>
      <c r="AU113" s="124">
        <f>VLOOKUP(A113,'2022_PAPI_Indicators'!A108:AT288,45,FALSE)</f>
        <v>4.2025079727172852</v>
      </c>
      <c r="AV113" s="124">
        <f>VLOOKUP(A113,'2022_PAPI_Indicators'!A108:AU288,46,FALSE)</f>
        <v>4.2410736083984375</v>
      </c>
      <c r="AW113" s="124">
        <f>VLOOKUP(A113,'2022_PAPI_Indicators'!A108:AV288,47,FALSE)</f>
        <v>4.0985045433044434</v>
      </c>
      <c r="AX113" s="124">
        <f>VLOOKUP(A113,'2022_PAPI_Indicators'!A108:AW288,48,FALSE)</f>
        <v>4.3180837631225586</v>
      </c>
      <c r="AY113" s="124">
        <f>VLOOKUP(A113,'2022_PAPI_Indicators'!A108:AX288,49,FALSE)</f>
        <v>4.1556968688964844</v>
      </c>
      <c r="AZ113" s="124">
        <f>VLOOKUP(A113,'2022_PAPI_Indicators'!A108:AY288,50,FALSE)</f>
        <v>4.1227750778198242</v>
      </c>
      <c r="BA113" s="124">
        <f>VLOOKUP(A113,'2022_PAPI_Indicators'!A108:AZ288,51,FALSE)</f>
        <v>4.1733908653259277</v>
      </c>
      <c r="BB113" s="124">
        <f>VLOOKUP(A113,'2022_PAPI_Indicators'!A108:BA288,52,FALSE)</f>
        <v>4.0549502372741699</v>
      </c>
      <c r="BC113" s="124">
        <f>VLOOKUP(A113,'2022_PAPI_Indicators'!A108:BB288,53,FALSE)</f>
        <v>4.3292865753173828</v>
      </c>
      <c r="BD113" s="124">
        <f>VLOOKUP(A113,'2022_PAPI_Indicators'!A108:BC288,54,FALSE)</f>
        <v>4.4519252777099609</v>
      </c>
      <c r="BE113" s="124">
        <f>VLOOKUP(A113,'2022_PAPI_Indicators'!A108:BD288,55,FALSE)</f>
        <v>4.2866730690002441</v>
      </c>
      <c r="BF113" s="124">
        <f>VLOOKUP(A113,'2022_PAPI_Indicators'!A108:BE288,56,FALSE)</f>
        <v>4.2458858489990234</v>
      </c>
      <c r="BG113" s="124">
        <f>VLOOKUP(A113,'2022_PAPI_Indicators'!A108:BF288,57,FALSE)</f>
        <v>4.2586607933044434</v>
      </c>
      <c r="BH113" s="124">
        <f>VLOOKUP(A113,'2022_PAPI_Indicators'!A108:BG288,58,FALSE)</f>
        <v>4.1406188011169434</v>
      </c>
      <c r="BI113" s="124">
        <f>VLOOKUP(A113,'2022_PAPI_Indicators'!A108:BH288,59,FALSE)</f>
        <v>4.3944172859191895</v>
      </c>
      <c r="BJ113" s="124">
        <f>VLOOKUP(A113,'2022_PAPI_Indicators'!A108:BI288,60,FALSE)</f>
        <v>4.2765021324157715</v>
      </c>
      <c r="BK113" s="124">
        <f>VLOOKUP(A113,'2022_PAPI_Indicators'!A108:BJ288,61,FALSE)</f>
        <v>4.3439135551452637</v>
      </c>
      <c r="BL113" s="124">
        <f>VLOOKUP(A113,'2022_PAPI_Indicators'!A108:BK288,62,FALSE)</f>
        <v>4.5212182998657227</v>
      </c>
      <c r="BM113" s="124">
        <f>VLOOKUP(A113,'2022_PAPI_Indicators'!A108:BL288,63,FALSE)</f>
        <v>4.4003963470458984</v>
      </c>
      <c r="BN113" s="124">
        <f>VLOOKUP(A113,'2022_PAPI_Indicators'!A108:BM288,64,FALSE)</f>
        <v>4.4328937530517578</v>
      </c>
    </row>
    <row r="114" spans="1:66" s="83" customFormat="1" x14ac:dyDescent="0.2">
      <c r="A114" s="75" t="s">
        <v>306</v>
      </c>
      <c r="B114" s="76" t="s">
        <v>307</v>
      </c>
      <c r="C114" s="91" t="s">
        <v>447</v>
      </c>
      <c r="D114" s="144">
        <f>VLOOKUP(A114,'2022_PAPI_Indicators'!A109:B289,2,)</f>
        <v>7.2294011116027832</v>
      </c>
      <c r="E114" s="144">
        <f>VLOOKUP(A114,'2022_PAPI_Indicators'!A109:C289,3,FALSE)</f>
        <v>7.0711503028869629</v>
      </c>
      <c r="F114" s="144">
        <f>VLOOKUP(A114,'2022_PAPI_Indicators'!A109:D289,4,FALSE)</f>
        <v>6.6897745132446289</v>
      </c>
      <c r="G114" s="144">
        <f>VLOOKUP(A114,'2022_PAPI_Indicators'!A109:E289,5,FALSE)</f>
        <v>7.1490535736083984</v>
      </c>
      <c r="H114" s="144">
        <f>VLOOKUP(A114,'2022_PAPI_Indicators'!A109:F289,6,FALSE)</f>
        <v>7.3078618049621582</v>
      </c>
      <c r="I114" s="144">
        <f>VLOOKUP(A114,'2022_PAPI_Indicators'!A109:G289,7,FALSE)</f>
        <v>7.1087312698364258</v>
      </c>
      <c r="J114" s="144">
        <f>VLOOKUP(A114,'2022_PAPI_Indicators'!A109:H289,8,FALSE)</f>
        <v>6.8792991638183594</v>
      </c>
      <c r="K114" s="144">
        <f>VLOOKUP(A114,'2022_PAPI_Indicators'!A109:I289,9,FALSE)</f>
        <v>7.5264163017272949</v>
      </c>
      <c r="L114" s="144">
        <f>VLOOKUP(A114,'2022_PAPI_Indicators'!A109:J289,10,FALSE)</f>
        <v>7.0744414329528809</v>
      </c>
      <c r="M114" s="144">
        <f>VLOOKUP(A114,'2022_PAPI_Indicators'!A109:K289,11,FALSE)</f>
        <v>7.0694618225097656</v>
      </c>
      <c r="N114" s="144">
        <f>VLOOKUP(A114,'2022_PAPI_Indicators'!A109:L289,12,FALSE)</f>
        <v>7.3873591423034668</v>
      </c>
      <c r="O114" s="144">
        <f>VLOOKUP(A114,'2022_PAPI_Indicators'!A109:M289,13,FALSE)</f>
        <v>7.6107926368713379</v>
      </c>
      <c r="P114" s="144">
        <f>VLOOKUP(A114,'2022_PAPI_Indicators'!A109:N289,14,FALSE)</f>
        <v>7.7902917861938477</v>
      </c>
      <c r="Q114" s="144">
        <f>VLOOKUP(A114,'2022_PAPI_Indicators'!A109:O289,15,FALSE)</f>
        <v>8.2584390640258789</v>
      </c>
      <c r="R114" s="132">
        <f>VLOOKUP(A114,'2022_PAPI_Indicators'!A109:P289,16,FALSE)</f>
        <v>8.0849838256835938</v>
      </c>
      <c r="S114" s="144">
        <f>VLOOKUP(A114,'2022_PAPI_Indicators'!A109:R289,17,FALSE)</f>
        <v>7.537661075592041</v>
      </c>
      <c r="T114" s="144">
        <f>VLOOKUP(A114,'2022_PAPI_Indicators'!A109:S289,18,FALSE)</f>
        <v>8.3147811889648438</v>
      </c>
      <c r="U114" s="132">
        <f>VLOOKUP(A114,'2022_PAPI_Indicators'!A109:T289,19,FALSE)</f>
        <v>8.0850286483764648</v>
      </c>
      <c r="V114" s="144">
        <f>VLOOKUP(A114,'2022_PAPI_Indicators'!A109:U289,20,FALSE)</f>
        <v>7.8048596382141113</v>
      </c>
      <c r="W114" s="144">
        <f>VLOOKUP(A114,'2022_PAPI_Indicators'!A109:V289,21,FALSE)</f>
        <v>7.5640640258789063</v>
      </c>
      <c r="X114" s="144">
        <f>VLOOKUP(A114,'2022_PAPI_Indicators'!A109:W289,22,FALSE)</f>
        <v>7.5081648826599121</v>
      </c>
      <c r="Y114" s="144">
        <f>VLOOKUP(A114,'2022_PAPI_Indicators'!A109:X289,23,FALSE)</f>
        <v>8.2383460998535156</v>
      </c>
      <c r="Z114" s="144">
        <f>VLOOKUP(A114,'2022_PAPI_Indicators'!A109:Y289,24,FALSE)</f>
        <v>7.3287496566772461</v>
      </c>
      <c r="AA114" s="144">
        <f>VLOOKUP(A114,'2022_PAPI_Indicators'!A109:Z289,25,FALSE)</f>
        <v>7.4107065200805664</v>
      </c>
      <c r="AB114" s="144">
        <f>VLOOKUP(A114,'2022_PAPI_Indicators'!A109:AA289,26,FALSE)</f>
        <v>7.3283786773681641</v>
      </c>
      <c r="AC114" s="144">
        <f>VLOOKUP(A114,'2022_PAPI_Indicators'!A109:AB289,27,FALSE)</f>
        <v>7.9436860084533691</v>
      </c>
      <c r="AD114" s="144">
        <f>VLOOKUP(A114,'2022_PAPI_Indicators'!A109:AC289,28,FALSE)</f>
        <v>7.5846266746520996</v>
      </c>
      <c r="AE114" s="144">
        <f>VLOOKUP(A114,'2022_PAPI_Indicators'!A109:AD289,29,FALSE)</f>
        <v>8.0633621215820313</v>
      </c>
      <c r="AF114" s="144">
        <f>VLOOKUP(A114,'2022_PAPI_Indicators'!A109:AE289,30,FALSE)</f>
        <v>7.2321500778198242</v>
      </c>
      <c r="AG114" s="144">
        <f>VLOOKUP(A114,'2022_PAPI_Indicators'!A109:AF289,31,FALSE)</f>
        <v>7.2275285720825195</v>
      </c>
      <c r="AH114" s="144">
        <f>VLOOKUP(A114,'2022_PAPI_Indicators'!A109:AG289,32,FALSE)</f>
        <v>7.9557685852050781</v>
      </c>
      <c r="AI114" s="144">
        <f>VLOOKUP(A114,'2022_PAPI_Indicators'!A109:AH289,33,FALSE)</f>
        <v>8.2000370025634766</v>
      </c>
      <c r="AJ114" s="144">
        <f>VLOOKUP(A114,'2022_PAPI_Indicators'!A109:AI289,34,FALSE)</f>
        <v>8.0581121444702148</v>
      </c>
      <c r="AK114" s="144">
        <f>VLOOKUP(A114,'2022_PAPI_Indicators'!A109:AJ289,35,FALSE)</f>
        <v>7.5196456909179688</v>
      </c>
      <c r="AL114" s="144">
        <f>VLOOKUP(A114,'2022_PAPI_Indicators'!A109:AK289,36,FALSE)</f>
        <v>7.8058738708496094</v>
      </c>
      <c r="AM114" s="144">
        <f>VLOOKUP(A114,'2022_PAPI_Indicators'!A109:AL289,37,FALSE)</f>
        <v>7.6972818374633789</v>
      </c>
      <c r="AN114" s="144">
        <f>VLOOKUP(A114,'2022_PAPI_Indicators'!A109:AM289,38,FALSE)</f>
        <v>7.8071823120117188</v>
      </c>
      <c r="AO114" s="144">
        <f>VLOOKUP(A114,'2022_PAPI_Indicators'!A109:AN289,39,FALSE)</f>
        <v>8.0621366500854492</v>
      </c>
      <c r="AP114" s="144">
        <f>VLOOKUP(A114,'2022_PAPI_Indicators'!A109:AO289,40,FALSE)</f>
        <v>7.6982717514038086</v>
      </c>
      <c r="AQ114" s="144">
        <f>VLOOKUP(A114,'2022_PAPI_Indicators'!A109:AP289,41,FALSE)</f>
        <v>7.4359235763549805</v>
      </c>
      <c r="AR114" s="144">
        <f>VLOOKUP(A114,'2022_PAPI_Indicators'!A109:AQ289,42,FALSE)</f>
        <v>6.8515644073486328</v>
      </c>
      <c r="AS114" s="144">
        <f>VLOOKUP(A114,'2022_PAPI_Indicators'!A109:AR289,43,FALSE)</f>
        <v>7.4911584854125977</v>
      </c>
      <c r="AT114" s="144">
        <f>VLOOKUP(A114,'2022_PAPI_Indicators'!A109:AS289,44,FALSE)</f>
        <v>6.6208195686340332</v>
      </c>
      <c r="AU114" s="144">
        <f>VLOOKUP(A114,'2022_PAPI_Indicators'!A109:AT289,45,FALSE)</f>
        <v>6.6599292755126953</v>
      </c>
      <c r="AV114" s="144">
        <f>VLOOKUP(A114,'2022_PAPI_Indicators'!A109:AU289,46,FALSE)</f>
        <v>6.4132356643676758</v>
      </c>
      <c r="AW114" s="144">
        <f>VLOOKUP(A114,'2022_PAPI_Indicators'!A109:AV289,47,FALSE)</f>
        <v>7.5188827514648438</v>
      </c>
      <c r="AX114" s="144">
        <f>VLOOKUP(A114,'2022_PAPI_Indicators'!A109:AW289,48,FALSE)</f>
        <v>8.2064723968505859</v>
      </c>
      <c r="AY114" s="144">
        <f>VLOOKUP(A114,'2022_PAPI_Indicators'!A109:AX289,49,FALSE)</f>
        <v>7.661888599395752</v>
      </c>
      <c r="AZ114" s="144">
        <f>VLOOKUP(A114,'2022_PAPI_Indicators'!A109:AY289,50,FALSE)</f>
        <v>7.8578519821166992</v>
      </c>
      <c r="BA114" s="144">
        <f>VLOOKUP(A114,'2022_PAPI_Indicators'!A109:AZ289,51,FALSE)</f>
        <v>7.5172891616821289</v>
      </c>
      <c r="BB114" s="144">
        <f>VLOOKUP(A114,'2022_PAPI_Indicators'!A109:BA289,52,FALSE)</f>
        <v>6.8348021507263184</v>
      </c>
      <c r="BC114" s="144">
        <f>VLOOKUP(A114,'2022_PAPI_Indicators'!A109:BB289,53,FALSE)</f>
        <v>7.2705001831054688</v>
      </c>
      <c r="BD114" s="144">
        <f>VLOOKUP(A114,'2022_PAPI_Indicators'!A109:BC289,54,FALSE)</f>
        <v>7.7081160545349121</v>
      </c>
      <c r="BE114" s="144">
        <f>VLOOKUP(A114,'2022_PAPI_Indicators'!A109:BD289,55,FALSE)</f>
        <v>8.0594654083251953</v>
      </c>
      <c r="BF114" s="144">
        <f>VLOOKUP(A114,'2022_PAPI_Indicators'!A109:BE289,56,FALSE)</f>
        <v>8.2717876434326172</v>
      </c>
      <c r="BG114" s="144">
        <f>VLOOKUP(A114,'2022_PAPI_Indicators'!A109:BF289,57,FALSE)</f>
        <v>7.3747692108154297</v>
      </c>
      <c r="BH114" s="144">
        <f>VLOOKUP(A114,'2022_PAPI_Indicators'!A109:BG289,58,FALSE)</f>
        <v>7.6138014793395996</v>
      </c>
      <c r="BI114" s="144">
        <f>VLOOKUP(A114,'2022_PAPI_Indicators'!A109:BH289,59,FALSE)</f>
        <v>7.1472673416137695</v>
      </c>
      <c r="BJ114" s="144">
        <f>VLOOKUP(A114,'2022_PAPI_Indicators'!A109:BI289,60,FALSE)</f>
        <v>7.1980834007263184</v>
      </c>
      <c r="BK114" s="144">
        <f>VLOOKUP(A114,'2022_PAPI_Indicators'!A109:BJ289,61,FALSE)</f>
        <v>7.2057046890258789</v>
      </c>
      <c r="BL114" s="144">
        <f>VLOOKUP(A114,'2022_PAPI_Indicators'!A109:BK289,62,FALSE)</f>
        <v>7.2743773460388184</v>
      </c>
      <c r="BM114" s="144">
        <f>VLOOKUP(A114,'2022_PAPI_Indicators'!A109:BL289,63,FALSE)</f>
        <v>7.86895751953125</v>
      </c>
      <c r="BN114" s="144">
        <f>VLOOKUP(A114,'2022_PAPI_Indicators'!A109:BM289,64,FALSE)</f>
        <v>7.2511734962463379</v>
      </c>
    </row>
    <row r="115" spans="1:66" s="112" customFormat="1" x14ac:dyDescent="0.2">
      <c r="A115" s="77" t="s">
        <v>308</v>
      </c>
      <c r="B115" s="77" t="s">
        <v>309</v>
      </c>
      <c r="C115" s="92" t="s">
        <v>448</v>
      </c>
      <c r="D115" s="131">
        <f>VLOOKUP(A115,'2022_PAPI_Indicators'!A110:B290,2,)</f>
        <v>1.7344385385513306</v>
      </c>
      <c r="E115" s="131">
        <f>VLOOKUP(A115,'2022_PAPI_Indicators'!A110:C290,3,FALSE)</f>
        <v>2.0005133152008057</v>
      </c>
      <c r="F115" s="131">
        <f>VLOOKUP(A115,'2022_PAPI_Indicators'!A110:D290,4,FALSE)</f>
        <v>1.8266651630401611</v>
      </c>
      <c r="G115" s="131">
        <f>VLOOKUP(A115,'2022_PAPI_Indicators'!A110:E290,5,FALSE)</f>
        <v>2.077965259552002</v>
      </c>
      <c r="H115" s="131">
        <f>VLOOKUP(A115,'2022_PAPI_Indicators'!A110:F290,6,FALSE)</f>
        <v>2.020263671875</v>
      </c>
      <c r="I115" s="131">
        <f>VLOOKUP(A115,'2022_PAPI_Indicators'!A110:G290,7,FALSE)</f>
        <v>1.8228981494903564</v>
      </c>
      <c r="J115" s="131">
        <f>VLOOKUP(A115,'2022_PAPI_Indicators'!A110:H290,8,FALSE)</f>
        <v>1.976102352142334</v>
      </c>
      <c r="K115" s="131">
        <f>VLOOKUP(A115,'2022_PAPI_Indicators'!A110:I290,9,FALSE)</f>
        <v>1.8812037706375122</v>
      </c>
      <c r="L115" s="131">
        <f>VLOOKUP(A115,'2022_PAPI_Indicators'!A110:J290,10,FALSE)</f>
        <v>1.8815690279006958</v>
      </c>
      <c r="M115" s="131">
        <f>VLOOKUP(A115,'2022_PAPI_Indicators'!A110:K290,11,FALSE)</f>
        <v>1.9315230846405029</v>
      </c>
      <c r="N115" s="131">
        <f>VLOOKUP(A115,'2022_PAPI_Indicators'!A110:L290,12,FALSE)</f>
        <v>2.0445866584777832</v>
      </c>
      <c r="O115" s="131">
        <f>VLOOKUP(A115,'2022_PAPI_Indicators'!A110:M290,13,FALSE)</f>
        <v>1.8976337909698486</v>
      </c>
      <c r="P115" s="131">
        <f>VLOOKUP(A115,'2022_PAPI_Indicators'!A110:N290,14,FALSE)</f>
        <v>1.900079607963562</v>
      </c>
      <c r="Q115" s="131">
        <f>VLOOKUP(A115,'2022_PAPI_Indicators'!A110:O290,15,FALSE)</f>
        <v>2.0752325057983398</v>
      </c>
      <c r="R115" s="132">
        <f>VLOOKUP(A115,'2022_PAPI_Indicators'!A110:P290,16,FALSE)</f>
        <v>2.1459083557128906</v>
      </c>
      <c r="S115" s="131">
        <f>VLOOKUP(A115,'2022_PAPI_Indicators'!A110:R290,17,FALSE)</f>
        <v>1.9888483285903931</v>
      </c>
      <c r="T115" s="131">
        <f>VLOOKUP(A115,'2022_PAPI_Indicators'!A110:S290,18,FALSE)</f>
        <v>2.0846941471099854</v>
      </c>
      <c r="U115" s="132">
        <f>VLOOKUP(A115,'2022_PAPI_Indicators'!A110:T290,19,FALSE)</f>
        <v>2.1088063716888428</v>
      </c>
      <c r="V115" s="131">
        <f>VLOOKUP(A115,'2022_PAPI_Indicators'!A110:U290,20,FALSE)</f>
        <v>1.9172227382659912</v>
      </c>
      <c r="W115" s="131">
        <f>VLOOKUP(A115,'2022_PAPI_Indicators'!A110:V290,21,FALSE)</f>
        <v>1.9685796499252319</v>
      </c>
      <c r="X115" s="131">
        <f>VLOOKUP(A115,'2022_PAPI_Indicators'!A110:W290,22,FALSE)</f>
        <v>1.9800204038619995</v>
      </c>
      <c r="Y115" s="131">
        <f>VLOOKUP(A115,'2022_PAPI_Indicators'!A110:X290,23,FALSE)</f>
        <v>2.0173978805541992</v>
      </c>
      <c r="Z115" s="131">
        <f>VLOOKUP(A115,'2022_PAPI_Indicators'!A110:Y290,24,FALSE)</f>
        <v>1.9012398719787598</v>
      </c>
      <c r="AA115" s="131">
        <f>VLOOKUP(A115,'2022_PAPI_Indicators'!A110:Z290,25,FALSE)</f>
        <v>2.0351624488830566</v>
      </c>
      <c r="AB115" s="131">
        <f>VLOOKUP(A115,'2022_PAPI_Indicators'!A110:AA290,26,FALSE)</f>
        <v>1.9793684482574463</v>
      </c>
      <c r="AC115" s="131">
        <f>VLOOKUP(A115,'2022_PAPI_Indicators'!A110:AB290,27,FALSE)</f>
        <v>2.0697262287139893</v>
      </c>
      <c r="AD115" s="131">
        <f>VLOOKUP(A115,'2022_PAPI_Indicators'!A110:AC290,28,FALSE)</f>
        <v>1.9809277057647705</v>
      </c>
      <c r="AE115" s="131">
        <f>VLOOKUP(A115,'2022_PAPI_Indicators'!A110:AD290,29,FALSE)</f>
        <v>1.987227201461792</v>
      </c>
      <c r="AF115" s="131">
        <f>VLOOKUP(A115,'2022_PAPI_Indicators'!A110:AE290,30,FALSE)</f>
        <v>2.0263359546661377</v>
      </c>
      <c r="AG115" s="131">
        <f>VLOOKUP(A115,'2022_PAPI_Indicators'!A110:AF290,31,FALSE)</f>
        <v>1.9780130386352539</v>
      </c>
      <c r="AH115" s="131">
        <f>VLOOKUP(A115,'2022_PAPI_Indicators'!A110:AG290,32,FALSE)</f>
        <v>2.1084036827087402</v>
      </c>
      <c r="AI115" s="131">
        <f>VLOOKUP(A115,'2022_PAPI_Indicators'!A110:AH290,33,FALSE)</f>
        <v>1.989223837852478</v>
      </c>
      <c r="AJ115" s="131">
        <f>VLOOKUP(A115,'2022_PAPI_Indicators'!A110:AI290,34,FALSE)</f>
        <v>1.9720717668533325</v>
      </c>
      <c r="AK115" s="131">
        <f>VLOOKUP(A115,'2022_PAPI_Indicators'!A110:AJ290,35,FALSE)</f>
        <v>1.8975759744644165</v>
      </c>
      <c r="AL115" s="131">
        <f>VLOOKUP(A115,'2022_PAPI_Indicators'!A110:AK290,36,FALSE)</f>
        <v>1.9961612224578857</v>
      </c>
      <c r="AM115" s="131">
        <f>VLOOKUP(A115,'2022_PAPI_Indicators'!A110:AL290,37,FALSE)</f>
        <v>1.9355987310409546</v>
      </c>
      <c r="AN115" s="131">
        <f>VLOOKUP(A115,'2022_PAPI_Indicators'!A110:AM290,38,FALSE)</f>
        <v>1.8538877964019775</v>
      </c>
      <c r="AO115" s="131">
        <f>VLOOKUP(A115,'2022_PAPI_Indicators'!A110:AN290,39,FALSE)</f>
        <v>1.9930185079574585</v>
      </c>
      <c r="AP115" s="131">
        <f>VLOOKUP(A115,'2022_PAPI_Indicators'!A110:AO290,40,FALSE)</f>
        <v>2.0089788436889648</v>
      </c>
      <c r="AQ115" s="131">
        <f>VLOOKUP(A115,'2022_PAPI_Indicators'!A110:AP290,41,FALSE)</f>
        <v>1.8528509140014648</v>
      </c>
      <c r="AR115" s="131">
        <f>VLOOKUP(A115,'2022_PAPI_Indicators'!A110:AQ290,42,FALSE)</f>
        <v>1.8769270181655884</v>
      </c>
      <c r="AS115" s="131">
        <f>VLOOKUP(A115,'2022_PAPI_Indicators'!A110:AR290,43,FALSE)</f>
        <v>1.8938504457473755</v>
      </c>
      <c r="AT115" s="131">
        <f>VLOOKUP(A115,'2022_PAPI_Indicators'!A110:AS290,44,FALSE)</f>
        <v>1.8794499635696411</v>
      </c>
      <c r="AU115" s="131">
        <f>VLOOKUP(A115,'2022_PAPI_Indicators'!A110:AT290,45,FALSE)</f>
        <v>1.8769916296005249</v>
      </c>
      <c r="AV115" s="131">
        <f>VLOOKUP(A115,'2022_PAPI_Indicators'!A110:AU290,46,FALSE)</f>
        <v>1.7696183919906616</v>
      </c>
      <c r="AW115" s="131">
        <f>VLOOKUP(A115,'2022_PAPI_Indicators'!A110:AV290,47,FALSE)</f>
        <v>1.7817748785018921</v>
      </c>
      <c r="AX115" s="131">
        <f>VLOOKUP(A115,'2022_PAPI_Indicators'!A110:AW290,48,FALSE)</f>
        <v>1.9765661954879761</v>
      </c>
      <c r="AY115" s="131">
        <f>VLOOKUP(A115,'2022_PAPI_Indicators'!A110:AX290,49,FALSE)</f>
        <v>1.7566142082214355</v>
      </c>
      <c r="AZ115" s="131">
        <f>VLOOKUP(A115,'2022_PAPI_Indicators'!A110:AY290,50,FALSE)</f>
        <v>1.793134331703186</v>
      </c>
      <c r="BA115" s="131">
        <f>VLOOKUP(A115,'2022_PAPI_Indicators'!A110:AZ290,51,FALSE)</f>
        <v>1.8233405351638794</v>
      </c>
      <c r="BB115" s="131">
        <f>VLOOKUP(A115,'2022_PAPI_Indicators'!A110:BA290,52,FALSE)</f>
        <v>1.7664878368377686</v>
      </c>
      <c r="BC115" s="131">
        <f>VLOOKUP(A115,'2022_PAPI_Indicators'!A110:BB290,53,FALSE)</f>
        <v>1.8679795265197754</v>
      </c>
      <c r="BD115" s="131">
        <f>VLOOKUP(A115,'2022_PAPI_Indicators'!A110:BC290,54,FALSE)</f>
        <v>1.9493021965026855</v>
      </c>
      <c r="BE115" s="131">
        <f>VLOOKUP(A115,'2022_PAPI_Indicators'!A110:BD290,55,FALSE)</f>
        <v>1.9364694356918335</v>
      </c>
      <c r="BF115" s="131">
        <f>VLOOKUP(A115,'2022_PAPI_Indicators'!A110:BE290,56,FALSE)</f>
        <v>1.9988871812820435</v>
      </c>
      <c r="BG115" s="131">
        <f>VLOOKUP(A115,'2022_PAPI_Indicators'!A110:BF290,57,FALSE)</f>
        <v>2.022435188293457</v>
      </c>
      <c r="BH115" s="131">
        <f>VLOOKUP(A115,'2022_PAPI_Indicators'!A110:BG290,58,FALSE)</f>
        <v>1.9392154216766357</v>
      </c>
      <c r="BI115" s="131">
        <f>VLOOKUP(A115,'2022_PAPI_Indicators'!A110:BH290,59,FALSE)</f>
        <v>1.9228136539459229</v>
      </c>
      <c r="BJ115" s="131">
        <f>VLOOKUP(A115,'2022_PAPI_Indicators'!A110:BI290,60,FALSE)</f>
        <v>1.8861147165298462</v>
      </c>
      <c r="BK115" s="131">
        <f>VLOOKUP(A115,'2022_PAPI_Indicators'!A110:BJ290,61,FALSE)</f>
        <v>2.0232555866241455</v>
      </c>
      <c r="BL115" s="131">
        <f>VLOOKUP(A115,'2022_PAPI_Indicators'!A110:BK290,62,FALSE)</f>
        <v>1.906895637512207</v>
      </c>
      <c r="BM115" s="131">
        <f>VLOOKUP(A115,'2022_PAPI_Indicators'!A110:BL290,63,FALSE)</f>
        <v>2.0083825588226318</v>
      </c>
      <c r="BN115" s="131">
        <f>VLOOKUP(A115,'2022_PAPI_Indicators'!A110:BM290,64,FALSE)</f>
        <v>1.8723834753036499</v>
      </c>
    </row>
    <row r="116" spans="1:66" x14ac:dyDescent="0.2">
      <c r="A116" s="70" t="s">
        <v>310</v>
      </c>
      <c r="B116" s="70" t="s">
        <v>311</v>
      </c>
      <c r="C116" s="89" t="s">
        <v>90</v>
      </c>
      <c r="D116" s="133">
        <f>VLOOKUP(A116,'2022_PAPI_Indicators'!A111:B291,2,)</f>
        <v>0.91934078931808472</v>
      </c>
      <c r="E116" s="133">
        <f>VLOOKUP(A116,'2022_PAPI_Indicators'!A111:C291,3,FALSE)</f>
        <v>0.98294788599014282</v>
      </c>
      <c r="F116" s="133">
        <f>VLOOKUP(A116,'2022_PAPI_Indicators'!A111:D291,4,FALSE)</f>
        <v>0.93083924055099487</v>
      </c>
      <c r="G116" s="133">
        <f>VLOOKUP(A116,'2022_PAPI_Indicators'!A111:E291,5,FALSE)</f>
        <v>0.96886277198791504</v>
      </c>
      <c r="H116" s="133">
        <f>VLOOKUP(A116,'2022_PAPI_Indicators'!A111:F291,6,FALSE)</f>
        <v>0.92629271745681763</v>
      </c>
      <c r="I116" s="133">
        <f>VLOOKUP(A116,'2022_PAPI_Indicators'!A111:G291,7,FALSE)</f>
        <v>0.91627013683319092</v>
      </c>
      <c r="J116" s="133">
        <f>VLOOKUP(A116,'2022_PAPI_Indicators'!A111:H291,8,FALSE)</f>
        <v>0.95473027229309082</v>
      </c>
      <c r="K116" s="133">
        <f>VLOOKUP(A116,'2022_PAPI_Indicators'!A111:I291,9,FALSE)</f>
        <v>0.91336369514465332</v>
      </c>
      <c r="L116" s="133">
        <f>VLOOKUP(A116,'2022_PAPI_Indicators'!A111:J291,10,FALSE)</f>
        <v>0.84113579988479614</v>
      </c>
      <c r="M116" s="133">
        <f>VLOOKUP(A116,'2022_PAPI_Indicators'!A111:K291,11,FALSE)</f>
        <v>0.8364596962928772</v>
      </c>
      <c r="N116" s="133">
        <f>VLOOKUP(A116,'2022_PAPI_Indicators'!A111:L291,12,FALSE)</f>
        <v>0.85387980937957764</v>
      </c>
      <c r="O116" s="133">
        <f>VLOOKUP(A116,'2022_PAPI_Indicators'!A111:M291,13,FALSE)</f>
        <v>0.94764918088912964</v>
      </c>
      <c r="P116" s="133">
        <f>VLOOKUP(A116,'2022_PAPI_Indicators'!A111:N291,14,FALSE)</f>
        <v>0.90222418308258057</v>
      </c>
      <c r="Q116" s="133">
        <f>VLOOKUP(A116,'2022_PAPI_Indicators'!A111:O291,15,FALSE)</f>
        <v>0.94330555200576782</v>
      </c>
      <c r="R116" s="135">
        <f>VLOOKUP(A116,'2022_PAPI_Indicators'!A111:P291,16,FALSE)</f>
        <v>0.94650173187255859</v>
      </c>
      <c r="S116" s="133">
        <f>VLOOKUP(A116,'2022_PAPI_Indicators'!A111:R291,17,FALSE)</f>
        <v>0.84892719984054565</v>
      </c>
      <c r="T116" s="133">
        <f>VLOOKUP(A116,'2022_PAPI_Indicators'!A111:S291,18,FALSE)</f>
        <v>0.97716754674911499</v>
      </c>
      <c r="U116" s="135">
        <f>VLOOKUP(A116,'2022_PAPI_Indicators'!A111:T291,19,FALSE)</f>
        <v>0.91284048557281494</v>
      </c>
      <c r="V116" s="133">
        <f>VLOOKUP(A116,'2022_PAPI_Indicators'!A111:U291,20,FALSE)</f>
        <v>0.87865275144577026</v>
      </c>
      <c r="W116" s="133">
        <f>VLOOKUP(A116,'2022_PAPI_Indicators'!A111:V291,21,FALSE)</f>
        <v>0.92657887935638428</v>
      </c>
      <c r="X116" s="133">
        <f>VLOOKUP(A116,'2022_PAPI_Indicators'!A111:W291,22,FALSE)</f>
        <v>0.94641321897506714</v>
      </c>
      <c r="Y116" s="133">
        <f>VLOOKUP(A116,'2022_PAPI_Indicators'!A111:X291,23,FALSE)</f>
        <v>0.93930864334106445</v>
      </c>
      <c r="Z116" s="133">
        <f>VLOOKUP(A116,'2022_PAPI_Indicators'!A111:Y291,24,FALSE)</f>
        <v>0.91392379999160767</v>
      </c>
      <c r="AA116" s="133">
        <f>VLOOKUP(A116,'2022_PAPI_Indicators'!A111:Z291,25,FALSE)</f>
        <v>0.95416408777236938</v>
      </c>
      <c r="AB116" s="133">
        <f>VLOOKUP(A116,'2022_PAPI_Indicators'!A111:AA291,26,FALSE)</f>
        <v>0.92406123876571655</v>
      </c>
      <c r="AC116" s="133">
        <f>VLOOKUP(A116,'2022_PAPI_Indicators'!A111:AB291,27,FALSE)</f>
        <v>0.95188993215560913</v>
      </c>
      <c r="AD116" s="133">
        <f>VLOOKUP(A116,'2022_PAPI_Indicators'!A111:AC291,28,FALSE)</f>
        <v>0.94436407089233398</v>
      </c>
      <c r="AE116" s="133">
        <f>VLOOKUP(A116,'2022_PAPI_Indicators'!A111:AD291,29,FALSE)</f>
        <v>0.93133038282394409</v>
      </c>
      <c r="AF116" s="133">
        <f>VLOOKUP(A116,'2022_PAPI_Indicators'!A111:AE291,30,FALSE)</f>
        <v>0.93593913316726685</v>
      </c>
      <c r="AG116" s="133">
        <f>VLOOKUP(A116,'2022_PAPI_Indicators'!A111:AF291,31,FALSE)</f>
        <v>0.95278632640838623</v>
      </c>
      <c r="AH116" s="133">
        <f>VLOOKUP(A116,'2022_PAPI_Indicators'!A111:AG291,32,FALSE)</f>
        <v>0.91642254590988159</v>
      </c>
      <c r="AI116" s="133">
        <f>VLOOKUP(A116,'2022_PAPI_Indicators'!A111:AH291,33,FALSE)</f>
        <v>0.9441414475440979</v>
      </c>
      <c r="AJ116" s="133">
        <f>VLOOKUP(A116,'2022_PAPI_Indicators'!A111:AI291,34,FALSE)</f>
        <v>0.95758026838302612</v>
      </c>
      <c r="AK116" s="133">
        <f>VLOOKUP(A116,'2022_PAPI_Indicators'!A111:AJ291,35,FALSE)</f>
        <v>0.96852850914001465</v>
      </c>
      <c r="AL116" s="133">
        <f>VLOOKUP(A116,'2022_PAPI_Indicators'!A111:AK291,36,FALSE)</f>
        <v>0.96928828954696655</v>
      </c>
      <c r="AM116" s="133">
        <f>VLOOKUP(A116,'2022_PAPI_Indicators'!A111:AL291,37,FALSE)</f>
        <v>0.94209671020507813</v>
      </c>
      <c r="AN116" s="133">
        <f>VLOOKUP(A116,'2022_PAPI_Indicators'!A111:AM291,38,FALSE)</f>
        <v>0.91272491216659546</v>
      </c>
      <c r="AO116" s="133">
        <f>VLOOKUP(A116,'2022_PAPI_Indicators'!A111:AN291,39,FALSE)</f>
        <v>0.89720803499221802</v>
      </c>
      <c r="AP116" s="133">
        <f>VLOOKUP(A116,'2022_PAPI_Indicators'!A111:AO291,40,FALSE)</f>
        <v>0.81557244062423706</v>
      </c>
      <c r="AQ116" s="133">
        <f>VLOOKUP(A116,'2022_PAPI_Indicators'!A111:AP291,41,FALSE)</f>
        <v>0.90872788429260254</v>
      </c>
      <c r="AR116" s="133">
        <f>VLOOKUP(A116,'2022_PAPI_Indicators'!A111:AQ291,42,FALSE)</f>
        <v>0.81824314594268799</v>
      </c>
      <c r="AS116" s="133">
        <f>VLOOKUP(A116,'2022_PAPI_Indicators'!A111:AR291,43,FALSE)</f>
        <v>0.90523296594619751</v>
      </c>
      <c r="AT116" s="133">
        <f>VLOOKUP(A116,'2022_PAPI_Indicators'!A111:AS291,44,FALSE)</f>
        <v>0.8640824556350708</v>
      </c>
      <c r="AU116" s="133">
        <f>VLOOKUP(A116,'2022_PAPI_Indicators'!A111:AT291,45,FALSE)</f>
        <v>0.86890530586242676</v>
      </c>
      <c r="AV116" s="133">
        <f>VLOOKUP(A116,'2022_PAPI_Indicators'!A111:AU291,46,FALSE)</f>
        <v>0.91486483812332153</v>
      </c>
      <c r="AW116" s="133">
        <f>VLOOKUP(A116,'2022_PAPI_Indicators'!A111:AV291,47,FALSE)</f>
        <v>0.86874932050704956</v>
      </c>
      <c r="AX116" s="133">
        <f>VLOOKUP(A116,'2022_PAPI_Indicators'!A111:AW291,48,FALSE)</f>
        <v>0.90188330411911011</v>
      </c>
      <c r="AY116" s="133">
        <f>VLOOKUP(A116,'2022_PAPI_Indicators'!A111:AX291,49,FALSE)</f>
        <v>0.88125574588775635</v>
      </c>
      <c r="AZ116" s="133">
        <f>VLOOKUP(A116,'2022_PAPI_Indicators'!A111:AY291,50,FALSE)</f>
        <v>0.91017431020736694</v>
      </c>
      <c r="BA116" s="133">
        <f>VLOOKUP(A116,'2022_PAPI_Indicators'!A111:AZ291,51,FALSE)</f>
        <v>0.88762813806533813</v>
      </c>
      <c r="BB116" s="133">
        <f>VLOOKUP(A116,'2022_PAPI_Indicators'!A111:BA291,52,FALSE)</f>
        <v>0.90733349323272705</v>
      </c>
      <c r="BC116" s="133">
        <f>VLOOKUP(A116,'2022_PAPI_Indicators'!A111:BB291,53,FALSE)</f>
        <v>0.78175902366638184</v>
      </c>
      <c r="BD116" s="133">
        <f>VLOOKUP(A116,'2022_PAPI_Indicators'!A111:BC291,54,FALSE)</f>
        <v>0.90488988161087036</v>
      </c>
      <c r="BE116" s="133">
        <f>VLOOKUP(A116,'2022_PAPI_Indicators'!A111:BD291,55,FALSE)</f>
        <v>0.8575361967086792</v>
      </c>
      <c r="BF116" s="133">
        <f>VLOOKUP(A116,'2022_PAPI_Indicators'!A111:BE291,56,FALSE)</f>
        <v>0.90633022785186768</v>
      </c>
      <c r="BG116" s="133">
        <f>VLOOKUP(A116,'2022_PAPI_Indicators'!A111:BF291,57,FALSE)</f>
        <v>0.91299527883529663</v>
      </c>
      <c r="BH116" s="133">
        <f>VLOOKUP(A116,'2022_PAPI_Indicators'!A111:BG291,58,FALSE)</f>
        <v>0.84905678033828735</v>
      </c>
      <c r="BI116" s="133">
        <f>VLOOKUP(A116,'2022_PAPI_Indicators'!A111:BH291,59,FALSE)</f>
        <v>0.84860736131668091</v>
      </c>
      <c r="BJ116" s="133">
        <f>VLOOKUP(A116,'2022_PAPI_Indicators'!A111:BI291,60,FALSE)</f>
        <v>0.87535685300827026</v>
      </c>
      <c r="BK116" s="133">
        <f>VLOOKUP(A116,'2022_PAPI_Indicators'!A111:BJ291,61,FALSE)</f>
        <v>0.87861758470535278</v>
      </c>
      <c r="BL116" s="133">
        <f>VLOOKUP(A116,'2022_PAPI_Indicators'!A111:BK291,62,FALSE)</f>
        <v>0.78977674245834351</v>
      </c>
      <c r="BM116" s="133">
        <f>VLOOKUP(A116,'2022_PAPI_Indicators'!A111:BL291,63,FALSE)</f>
        <v>0.93024712800979614</v>
      </c>
      <c r="BN116" s="133">
        <f>VLOOKUP(A116,'2022_PAPI_Indicators'!A111:BM291,64,FALSE)</f>
        <v>0.92404186725616455</v>
      </c>
    </row>
    <row r="117" spans="1:66" x14ac:dyDescent="0.2">
      <c r="A117" s="70" t="s">
        <v>312</v>
      </c>
      <c r="B117" s="70" t="s">
        <v>313</v>
      </c>
      <c r="C117" s="89" t="s">
        <v>269</v>
      </c>
      <c r="D117" s="124">
        <f>VLOOKUP(A117,'2022_PAPI_Indicators'!A112:B292,2,)</f>
        <v>3.4290027618408203</v>
      </c>
      <c r="E117" s="124">
        <f>VLOOKUP(A117,'2022_PAPI_Indicators'!A112:C292,3,FALSE)</f>
        <v>3.6821701526641846</v>
      </c>
      <c r="F117" s="124">
        <f>VLOOKUP(A117,'2022_PAPI_Indicators'!A112:D292,4,FALSE)</f>
        <v>3.6271123886108398</v>
      </c>
      <c r="G117" s="124">
        <f>VLOOKUP(A117,'2022_PAPI_Indicators'!A112:E292,5,FALSE)</f>
        <v>3.7374999523162842</v>
      </c>
      <c r="H117" s="124">
        <f>VLOOKUP(A117,'2022_PAPI_Indicators'!A112:F292,6,FALSE)</f>
        <v>3.6361966133117676</v>
      </c>
      <c r="I117" s="124">
        <f>VLOOKUP(A117,'2022_PAPI_Indicators'!A112:G292,7,FALSE)</f>
        <v>3.3396811485290527</v>
      </c>
      <c r="J117" s="124">
        <f>VLOOKUP(A117,'2022_PAPI_Indicators'!A112:H292,8,FALSE)</f>
        <v>3.7664103507995605</v>
      </c>
      <c r="K117" s="124">
        <f>VLOOKUP(A117,'2022_PAPI_Indicators'!A112:I292,9,FALSE)</f>
        <v>3.633650541305542</v>
      </c>
      <c r="L117" s="124">
        <f>VLOOKUP(A117,'2022_PAPI_Indicators'!A112:J292,10,FALSE)</f>
        <v>3.6796402931213379</v>
      </c>
      <c r="M117" s="124">
        <f>VLOOKUP(A117,'2022_PAPI_Indicators'!A112:K292,11,FALSE)</f>
        <v>3.6814470291137695</v>
      </c>
      <c r="N117" s="124">
        <f>VLOOKUP(A117,'2022_PAPI_Indicators'!A112:L292,12,FALSE)</f>
        <v>3.6610379219055176</v>
      </c>
      <c r="O117" s="124">
        <f>VLOOKUP(A117,'2022_PAPI_Indicators'!A112:M292,13,FALSE)</f>
        <v>3.5175650119781494</v>
      </c>
      <c r="P117" s="124">
        <f>VLOOKUP(A117,'2022_PAPI_Indicators'!A112:N292,14,FALSE)</f>
        <v>3.5814659595489502</v>
      </c>
      <c r="Q117" s="124">
        <f>VLOOKUP(A117,'2022_PAPI_Indicators'!A112:O292,15,FALSE)</f>
        <v>3.7690751552581787</v>
      </c>
      <c r="R117" s="125">
        <f>VLOOKUP(A117,'2022_PAPI_Indicators'!A112:P292,16,FALSE)</f>
        <v>3.765601634979248</v>
      </c>
      <c r="S117" s="124">
        <f>VLOOKUP(A117,'2022_PAPI_Indicators'!A112:R292,17,FALSE)</f>
        <v>3.423187255859375</v>
      </c>
      <c r="T117" s="124">
        <f>VLOOKUP(A117,'2022_PAPI_Indicators'!A112:S292,18,FALSE)</f>
        <v>3.5509240627288818</v>
      </c>
      <c r="U117" s="125">
        <f>VLOOKUP(A117,'2022_PAPI_Indicators'!A112:T292,19,FALSE)</f>
        <v>3.7352659702301025</v>
      </c>
      <c r="V117" s="124">
        <f>VLOOKUP(A117,'2022_PAPI_Indicators'!A112:U292,20,FALSE)</f>
        <v>3.5483419895172119</v>
      </c>
      <c r="W117" s="124">
        <f>VLOOKUP(A117,'2022_PAPI_Indicators'!A112:V292,21,FALSE)</f>
        <v>3.4385578632354736</v>
      </c>
      <c r="X117" s="124">
        <f>VLOOKUP(A117,'2022_PAPI_Indicators'!A112:W292,22,FALSE)</f>
        <v>3.5253221988677979</v>
      </c>
      <c r="Y117" s="124">
        <f>VLOOKUP(A117,'2022_PAPI_Indicators'!A112:X292,23,FALSE)</f>
        <v>3.468815803527832</v>
      </c>
      <c r="Z117" s="124">
        <f>VLOOKUP(A117,'2022_PAPI_Indicators'!A112:Y292,24,FALSE)</f>
        <v>3.5336284637451172</v>
      </c>
      <c r="AA117" s="124">
        <f>VLOOKUP(A117,'2022_PAPI_Indicators'!A112:Z292,25,FALSE)</f>
        <v>3.5199248790740967</v>
      </c>
      <c r="AB117" s="124">
        <f>VLOOKUP(A117,'2022_PAPI_Indicators'!A112:AA292,26,FALSE)</f>
        <v>3.6066815853118896</v>
      </c>
      <c r="AC117" s="124">
        <f>VLOOKUP(A117,'2022_PAPI_Indicators'!A112:AB292,27,FALSE)</f>
        <v>3.6600415706634521</v>
      </c>
      <c r="AD117" s="124">
        <f>VLOOKUP(A117,'2022_PAPI_Indicators'!A112:AC292,28,FALSE)</f>
        <v>3.5973215103149414</v>
      </c>
      <c r="AE117" s="124">
        <f>VLOOKUP(A117,'2022_PAPI_Indicators'!A112:AD292,29,FALSE)</f>
        <v>3.5652570724487305</v>
      </c>
      <c r="AF117" s="124">
        <f>VLOOKUP(A117,'2022_PAPI_Indicators'!A112:AE292,30,FALSE)</f>
        <v>3.6446328163146973</v>
      </c>
      <c r="AG117" s="124">
        <f>VLOOKUP(A117,'2022_PAPI_Indicators'!A112:AF292,31,FALSE)</f>
        <v>3.5634655952453613</v>
      </c>
      <c r="AH117" s="124">
        <f>VLOOKUP(A117,'2022_PAPI_Indicators'!A112:AG292,32,FALSE)</f>
        <v>3.7198746204376221</v>
      </c>
      <c r="AI117" s="124">
        <f>VLOOKUP(A117,'2022_PAPI_Indicators'!A112:AH292,33,FALSE)</f>
        <v>3.4624924659729004</v>
      </c>
      <c r="AJ117" s="124">
        <f>VLOOKUP(A117,'2022_PAPI_Indicators'!A112:AI292,34,FALSE)</f>
        <v>3.6678242683410645</v>
      </c>
      <c r="AK117" s="124">
        <f>VLOOKUP(A117,'2022_PAPI_Indicators'!A112:AJ292,35,FALSE)</f>
        <v>3.4176030158996582</v>
      </c>
      <c r="AL117" s="124">
        <f>VLOOKUP(A117,'2022_PAPI_Indicators'!A112:AK292,36,FALSE)</f>
        <v>3.6475238800048828</v>
      </c>
      <c r="AM117" s="124">
        <f>VLOOKUP(A117,'2022_PAPI_Indicators'!A112:AL292,37,FALSE)</f>
        <v>3.5017256736755371</v>
      </c>
      <c r="AN117" s="124">
        <f>VLOOKUP(A117,'2022_PAPI_Indicators'!A112:AM292,38,FALSE)</f>
        <v>3.5887851715087891</v>
      </c>
      <c r="AO117" s="124">
        <f>VLOOKUP(A117,'2022_PAPI_Indicators'!A112:AN292,39,FALSE)</f>
        <v>3.7765951156616211</v>
      </c>
      <c r="AP117" s="124">
        <f>VLOOKUP(A117,'2022_PAPI_Indicators'!A112:AO292,40,FALSE)</f>
        <v>3.5727581977844238</v>
      </c>
      <c r="AQ117" s="124">
        <f>VLOOKUP(A117,'2022_PAPI_Indicators'!A112:AP292,41,FALSE)</f>
        <v>3.6287126541137695</v>
      </c>
      <c r="AR117" s="124">
        <f>VLOOKUP(A117,'2022_PAPI_Indicators'!A112:AQ292,42,FALSE)</f>
        <v>3.4606053829193115</v>
      </c>
      <c r="AS117" s="124">
        <f>VLOOKUP(A117,'2022_PAPI_Indicators'!A112:AR292,43,FALSE)</f>
        <v>3.6205043792724609</v>
      </c>
      <c r="AT117" s="124">
        <f>VLOOKUP(A117,'2022_PAPI_Indicators'!A112:AS292,44,FALSE)</f>
        <v>3.566342830657959</v>
      </c>
      <c r="AU117" s="124">
        <f>VLOOKUP(A117,'2022_PAPI_Indicators'!A112:AT292,45,FALSE)</f>
        <v>3.5893583297729492</v>
      </c>
      <c r="AV117" s="124">
        <f>VLOOKUP(A117,'2022_PAPI_Indicators'!A112:AU292,46,FALSE)</f>
        <v>3.5376112461090088</v>
      </c>
      <c r="AW117" s="124">
        <f>VLOOKUP(A117,'2022_PAPI_Indicators'!A112:AV292,47,FALSE)</f>
        <v>3.465503454208374</v>
      </c>
      <c r="AX117" s="124">
        <f>VLOOKUP(A117,'2022_PAPI_Indicators'!A112:AW292,48,FALSE)</f>
        <v>3.6901619434356689</v>
      </c>
      <c r="AY117" s="124">
        <f>VLOOKUP(A117,'2022_PAPI_Indicators'!A112:AX292,49,FALSE)</f>
        <v>3.4846160411834717</v>
      </c>
      <c r="AZ117" s="124">
        <f>VLOOKUP(A117,'2022_PAPI_Indicators'!A112:AY292,50,FALSE)</f>
        <v>3.5084958076477051</v>
      </c>
      <c r="BA117" s="124">
        <f>VLOOKUP(A117,'2022_PAPI_Indicators'!A112:AZ292,51,FALSE)</f>
        <v>3.5419015884399414</v>
      </c>
      <c r="BB117" s="124">
        <f>VLOOKUP(A117,'2022_PAPI_Indicators'!A112:BA292,52,FALSE)</f>
        <v>3.4313271045684814</v>
      </c>
      <c r="BC117" s="124">
        <f>VLOOKUP(A117,'2022_PAPI_Indicators'!A112:BB292,53,FALSE)</f>
        <v>3.6171700954437256</v>
      </c>
      <c r="BD117" s="124">
        <f>VLOOKUP(A117,'2022_PAPI_Indicators'!A112:BC292,54,FALSE)</f>
        <v>3.7436282634735107</v>
      </c>
      <c r="BE117" s="124">
        <f>VLOOKUP(A117,'2022_PAPI_Indicators'!A112:BD292,55,FALSE)</f>
        <v>3.5050387382507324</v>
      </c>
      <c r="BF117" s="124">
        <f>VLOOKUP(A117,'2022_PAPI_Indicators'!A112:BE292,56,FALSE)</f>
        <v>3.7124249935150146</v>
      </c>
      <c r="BG117" s="124">
        <f>VLOOKUP(A117,'2022_PAPI_Indicators'!A112:BF292,57,FALSE)</f>
        <v>3.5587570667266846</v>
      </c>
      <c r="BH117" s="124">
        <f>VLOOKUP(A117,'2022_PAPI_Indicators'!A112:BG292,58,FALSE)</f>
        <v>3.6558837890625</v>
      </c>
      <c r="BI117" s="124">
        <f>VLOOKUP(A117,'2022_PAPI_Indicators'!A112:BH292,59,FALSE)</f>
        <v>3.6941587924957275</v>
      </c>
      <c r="BJ117" s="124">
        <f>VLOOKUP(A117,'2022_PAPI_Indicators'!A112:BI292,60,FALSE)</f>
        <v>3.5374023914337158</v>
      </c>
      <c r="BK117" s="124">
        <f>VLOOKUP(A117,'2022_PAPI_Indicators'!A112:BJ292,61,FALSE)</f>
        <v>3.6347701549530029</v>
      </c>
      <c r="BL117" s="124">
        <f>VLOOKUP(A117,'2022_PAPI_Indicators'!A112:BK292,62,FALSE)</f>
        <v>3.7232842445373535</v>
      </c>
      <c r="BM117" s="124">
        <f>VLOOKUP(A117,'2022_PAPI_Indicators'!A112:BL292,63,FALSE)</f>
        <v>3.730999231338501</v>
      </c>
      <c r="BN117" s="124">
        <f>VLOOKUP(A117,'2022_PAPI_Indicators'!A112:BM292,64,FALSE)</f>
        <v>3.7131705284118652</v>
      </c>
    </row>
    <row r="118" spans="1:66" x14ac:dyDescent="0.2">
      <c r="A118" s="70" t="s">
        <v>314</v>
      </c>
      <c r="B118" s="70" t="s">
        <v>315</v>
      </c>
      <c r="C118" s="89" t="s">
        <v>245</v>
      </c>
      <c r="D118" s="124">
        <f>VLOOKUP(A118,'2022_PAPI_Indicators'!A113:B293,2,)</f>
        <v>4.0432529449462891</v>
      </c>
      <c r="E118" s="124">
        <f>VLOOKUP(A118,'2022_PAPI_Indicators'!A113:C293,3,FALSE)</f>
        <v>4.5163407325744629</v>
      </c>
      <c r="F118" s="124">
        <f>VLOOKUP(A118,'2022_PAPI_Indicators'!A113:D293,4,FALSE)</f>
        <v>3.836397647857666</v>
      </c>
      <c r="G118" s="124">
        <f>VLOOKUP(A118,'2022_PAPI_Indicators'!A113:E293,5,FALSE)</f>
        <v>4.3980836868286133</v>
      </c>
      <c r="H118" s="124">
        <f>VLOOKUP(A118,'2022_PAPI_Indicators'!A113:F293,6,FALSE)</f>
        <v>4.3107695579528809</v>
      </c>
      <c r="I118" s="124">
        <f>VLOOKUP(A118,'2022_PAPI_Indicators'!A113:G293,7,FALSE)</f>
        <v>3.9197919368743896</v>
      </c>
      <c r="J118" s="124">
        <f>VLOOKUP(A118,'2022_PAPI_Indicators'!A113:H293,8,FALSE)</f>
        <v>4.253117561340332</v>
      </c>
      <c r="K118" s="124">
        <f>VLOOKUP(A118,'2022_PAPI_Indicators'!A113:I293,9,FALSE)</f>
        <v>4.1278681755065918</v>
      </c>
      <c r="L118" s="124">
        <f>VLOOKUP(A118,'2022_PAPI_Indicators'!A113:J293,10,FALSE)</f>
        <v>4.1540579795837402</v>
      </c>
      <c r="M118" s="124">
        <f>VLOOKUP(A118,'2022_PAPI_Indicators'!A113:K293,11,FALSE)</f>
        <v>4.5371513366699219</v>
      </c>
      <c r="N118" s="124">
        <f>VLOOKUP(A118,'2022_PAPI_Indicators'!A113:L293,12,FALSE)</f>
        <v>4.4781250953674316</v>
      </c>
      <c r="O118" s="124">
        <f>VLOOKUP(A118,'2022_PAPI_Indicators'!A113:M293,13,FALSE)</f>
        <v>4.0971846580505371</v>
      </c>
      <c r="P118" s="124">
        <f>VLOOKUP(A118,'2022_PAPI_Indicators'!A113:N293,14,FALSE)</f>
        <v>4.2256546020507813</v>
      </c>
      <c r="Q118" s="124">
        <f>VLOOKUP(A118,'2022_PAPI_Indicators'!A113:O293,15,FALSE)</f>
        <v>4.3968758583068848</v>
      </c>
      <c r="R118" s="125">
        <f>VLOOKUP(A118,'2022_PAPI_Indicators'!A113:P293,16,FALSE)</f>
        <v>4.5748763084411621</v>
      </c>
      <c r="S118" s="124">
        <f>VLOOKUP(A118,'2022_PAPI_Indicators'!A113:R293,17,FALSE)</f>
        <v>4.317448616027832</v>
      </c>
      <c r="T118" s="124">
        <f>VLOOKUP(A118,'2022_PAPI_Indicators'!A113:S293,18,FALSE)</f>
        <v>4.3370800018310547</v>
      </c>
      <c r="U118" s="125">
        <f>VLOOKUP(A118,'2022_PAPI_Indicators'!A113:T293,19,FALSE)</f>
        <v>4.3152284622192383</v>
      </c>
      <c r="V118" s="124">
        <f>VLOOKUP(A118,'2022_PAPI_Indicators'!A113:U293,20,FALSE)</f>
        <v>3.9826738834381104</v>
      </c>
      <c r="W118" s="124">
        <f>VLOOKUP(A118,'2022_PAPI_Indicators'!A113:V293,21,FALSE)</f>
        <v>4.0070304870605469</v>
      </c>
      <c r="X118" s="124">
        <f>VLOOKUP(A118,'2022_PAPI_Indicators'!A113:W293,22,FALSE)</f>
        <v>3.9265480041503906</v>
      </c>
      <c r="Y118" s="124">
        <f>VLOOKUP(A118,'2022_PAPI_Indicators'!A113:X293,23,FALSE)</f>
        <v>4.0197973251342773</v>
      </c>
      <c r="Z118" s="124">
        <f>VLOOKUP(A118,'2022_PAPI_Indicators'!A113:Y293,24,FALSE)</f>
        <v>3.9785001277923584</v>
      </c>
      <c r="AA118" s="124">
        <f>VLOOKUP(A118,'2022_PAPI_Indicators'!A113:Z293,25,FALSE)</f>
        <v>3.8939521312713623</v>
      </c>
      <c r="AB118" s="124">
        <f>VLOOKUP(A118,'2022_PAPI_Indicators'!A113:AA293,26,FALSE)</f>
        <v>4.0090618133544922</v>
      </c>
      <c r="AC118" s="124">
        <f>VLOOKUP(A118,'2022_PAPI_Indicators'!A113:AB293,27,FALSE)</f>
        <v>4.3555712699890137</v>
      </c>
      <c r="AD118" s="124">
        <f>VLOOKUP(A118,'2022_PAPI_Indicators'!A113:AC293,28,FALSE)</f>
        <v>3.997685432434082</v>
      </c>
      <c r="AE118" s="124">
        <f>VLOOKUP(A118,'2022_PAPI_Indicators'!A113:AD293,29,FALSE)</f>
        <v>4.2065143585205078</v>
      </c>
      <c r="AF118" s="124">
        <f>VLOOKUP(A118,'2022_PAPI_Indicators'!A113:AE293,30,FALSE)</f>
        <v>3.9526240825653076</v>
      </c>
      <c r="AG118" s="124">
        <f>VLOOKUP(A118,'2022_PAPI_Indicators'!A113:AF293,31,FALSE)</f>
        <v>4.0567512512207031</v>
      </c>
      <c r="AH118" s="124">
        <f>VLOOKUP(A118,'2022_PAPI_Indicators'!A113:AG293,32,FALSE)</f>
        <v>4.3698444366455078</v>
      </c>
      <c r="AI118" s="124">
        <f>VLOOKUP(A118,'2022_PAPI_Indicators'!A113:AH293,33,FALSE)</f>
        <v>4.2440309524536133</v>
      </c>
      <c r="AJ118" s="124">
        <f>VLOOKUP(A118,'2022_PAPI_Indicators'!A113:AI293,34,FALSE)</f>
        <v>4.3047256469726563</v>
      </c>
      <c r="AK118" s="124">
        <f>VLOOKUP(A118,'2022_PAPI_Indicators'!A113:AJ293,35,FALSE)</f>
        <v>3.5586502552032471</v>
      </c>
      <c r="AL118" s="124">
        <f>VLOOKUP(A118,'2022_PAPI_Indicators'!A113:AK293,36,FALSE)</f>
        <v>4.2270712852478027</v>
      </c>
      <c r="AM118" s="124">
        <f>VLOOKUP(A118,'2022_PAPI_Indicators'!A113:AL293,37,FALSE)</f>
        <v>4.1127419471740723</v>
      </c>
      <c r="AN118" s="124">
        <f>VLOOKUP(A118,'2022_PAPI_Indicators'!A113:AM293,38,FALSE)</f>
        <v>4.3751096725463867</v>
      </c>
      <c r="AO118" s="124">
        <f>VLOOKUP(A118,'2022_PAPI_Indicators'!A113:AN293,39,FALSE)</f>
        <v>4.3752422332763672</v>
      </c>
      <c r="AP118" s="124">
        <f>VLOOKUP(A118,'2022_PAPI_Indicators'!A113:AO293,40,FALSE)</f>
        <v>4.152857780456543</v>
      </c>
      <c r="AQ118" s="124">
        <f>VLOOKUP(A118,'2022_PAPI_Indicators'!A113:AP293,41,FALSE)</f>
        <v>4.1305866241455078</v>
      </c>
      <c r="AR118" s="124">
        <f>VLOOKUP(A118,'2022_PAPI_Indicators'!A113:AQ293,42,FALSE)</f>
        <v>3.8148369789123535</v>
      </c>
      <c r="AS118" s="124">
        <f>VLOOKUP(A118,'2022_PAPI_Indicators'!A113:AR293,43,FALSE)</f>
        <v>4.169827938079834</v>
      </c>
      <c r="AT118" s="124">
        <f>VLOOKUP(A118,'2022_PAPI_Indicators'!A113:AS293,44,FALSE)</f>
        <v>4.1863727569580078</v>
      </c>
      <c r="AU118" s="124">
        <f>VLOOKUP(A118,'2022_PAPI_Indicators'!A113:AT293,45,FALSE)</f>
        <v>3.8876945972442627</v>
      </c>
      <c r="AV118" s="124">
        <f>VLOOKUP(A118,'2022_PAPI_Indicators'!A113:AU293,46,FALSE)</f>
        <v>4.0197534561157227</v>
      </c>
      <c r="AW118" s="124">
        <f>VLOOKUP(A118,'2022_PAPI_Indicators'!A113:AV293,47,FALSE)</f>
        <v>4</v>
      </c>
      <c r="AX118" s="124">
        <f>VLOOKUP(A118,'2022_PAPI_Indicators'!A113:AW293,48,FALSE)</f>
        <v>4.2049193382263184</v>
      </c>
      <c r="AY118" s="124">
        <f>VLOOKUP(A118,'2022_PAPI_Indicators'!A113:AX293,49,FALSE)</f>
        <v>4.1011795997619629</v>
      </c>
      <c r="AZ118" s="124">
        <f>VLOOKUP(A118,'2022_PAPI_Indicators'!A113:AY293,50,FALSE)</f>
        <v>3.9007627964019775</v>
      </c>
      <c r="BA118" s="124">
        <f>VLOOKUP(A118,'2022_PAPI_Indicators'!A113:AZ293,51,FALSE)</f>
        <v>4.2357258796691895</v>
      </c>
      <c r="BB118" s="124">
        <f>VLOOKUP(A118,'2022_PAPI_Indicators'!A113:BA293,52,FALSE)</f>
        <v>4.1910405158996582</v>
      </c>
      <c r="BC118" s="124">
        <f>VLOOKUP(A118,'2022_PAPI_Indicators'!A113:BB293,53,FALSE)</f>
        <v>4.3475484848022461</v>
      </c>
      <c r="BD118" s="124">
        <f>VLOOKUP(A118,'2022_PAPI_Indicators'!A113:BC293,54,FALSE)</f>
        <v>4.3447108268737793</v>
      </c>
      <c r="BE118" s="124">
        <f>VLOOKUP(A118,'2022_PAPI_Indicators'!A113:BD293,55,FALSE)</f>
        <v>4.7162718772888184</v>
      </c>
      <c r="BF118" s="124">
        <f>VLOOKUP(A118,'2022_PAPI_Indicators'!A113:BE293,56,FALSE)</f>
        <v>4.2101116180419922</v>
      </c>
      <c r="BG118" s="124">
        <f>VLOOKUP(A118,'2022_PAPI_Indicators'!A113:BF293,57,FALSE)</f>
        <v>4.2476944923400879</v>
      </c>
      <c r="BH118" s="124">
        <f>VLOOKUP(A118,'2022_PAPI_Indicators'!A113:BG293,58,FALSE)</f>
        <v>4.1023545265197754</v>
      </c>
      <c r="BI118" s="124">
        <f>VLOOKUP(A118,'2022_PAPI_Indicators'!A113:BH293,59,FALSE)</f>
        <v>4.478792667388916</v>
      </c>
      <c r="BJ118" s="124">
        <f>VLOOKUP(A118,'2022_PAPI_Indicators'!A113:BI293,60,FALSE)</f>
        <v>4.2413210868835449</v>
      </c>
      <c r="BK118" s="124">
        <f>VLOOKUP(A118,'2022_PAPI_Indicators'!A113:BJ293,61,FALSE)</f>
        <v>4.4499964714050293</v>
      </c>
      <c r="BL118" s="124">
        <f>VLOOKUP(A118,'2022_PAPI_Indicators'!A113:BK293,62,FALSE)</f>
        <v>4.4016251564025879</v>
      </c>
      <c r="BM118" s="124">
        <f>VLOOKUP(A118,'2022_PAPI_Indicators'!A113:BL293,63,FALSE)</f>
        <v>4.5857434272766113</v>
      </c>
      <c r="BN118" s="124">
        <f>VLOOKUP(A118,'2022_PAPI_Indicators'!A113:BM293,64,FALSE)</f>
        <v>4.4141731262207031</v>
      </c>
    </row>
    <row r="119" spans="1:66" x14ac:dyDescent="0.2">
      <c r="A119" s="70" t="s">
        <v>316</v>
      </c>
      <c r="B119" s="70" t="s">
        <v>317</v>
      </c>
      <c r="C119" s="89" t="s">
        <v>90</v>
      </c>
      <c r="D119" s="133">
        <f>VLOOKUP(A119,'2022_PAPI_Indicators'!A114:B294,2,)</f>
        <v>0.63251322507858276</v>
      </c>
      <c r="E119" s="133">
        <f>VLOOKUP(A119,'2022_PAPI_Indicators'!A114:C294,3,FALSE)</f>
        <v>0.73136651515960693</v>
      </c>
      <c r="F119" s="133">
        <f>VLOOKUP(A119,'2022_PAPI_Indicators'!A114:D294,4,FALSE)</f>
        <v>0.68695026636123657</v>
      </c>
      <c r="G119" s="133">
        <f>VLOOKUP(A119,'2022_PAPI_Indicators'!A114:E294,5,FALSE)</f>
        <v>0.7508663535118103</v>
      </c>
      <c r="H119" s="133">
        <f>VLOOKUP(A119,'2022_PAPI_Indicators'!A114:F294,6,FALSE)</f>
        <v>0.79207891225814819</v>
      </c>
      <c r="I119" s="133">
        <f>VLOOKUP(A119,'2022_PAPI_Indicators'!A114:G294,7,FALSE)</f>
        <v>0.65825837850570679</v>
      </c>
      <c r="J119" s="133">
        <f>VLOOKUP(A119,'2022_PAPI_Indicators'!A114:H294,8,FALSE)</f>
        <v>0.73215454816818237</v>
      </c>
      <c r="K119" s="133">
        <f>VLOOKUP(A119,'2022_PAPI_Indicators'!A114:I294,9,FALSE)</f>
        <v>0.67745703458786011</v>
      </c>
      <c r="L119" s="133">
        <f>VLOOKUP(A119,'2022_PAPI_Indicators'!A114:J294,10,FALSE)</f>
        <v>0.7010456919670105</v>
      </c>
      <c r="M119" s="133">
        <f>VLOOKUP(A119,'2022_PAPI_Indicators'!A114:K294,11,FALSE)</f>
        <v>0.62553238868713379</v>
      </c>
      <c r="N119" s="133">
        <f>VLOOKUP(A119,'2022_PAPI_Indicators'!A114:L294,12,FALSE)</f>
        <v>0.8182709813117981</v>
      </c>
      <c r="O119" s="133">
        <f>VLOOKUP(A119,'2022_PAPI_Indicators'!A114:M294,13,FALSE)</f>
        <v>0.74724364280700684</v>
      </c>
      <c r="P119" s="133">
        <f>VLOOKUP(A119,'2022_PAPI_Indicators'!A114:N294,14,FALSE)</f>
        <v>0.70438069105148315</v>
      </c>
      <c r="Q119" s="133">
        <f>VLOOKUP(A119,'2022_PAPI_Indicators'!A114:O294,15,FALSE)</f>
        <v>0.85355609655380249</v>
      </c>
      <c r="R119" s="135">
        <f>VLOOKUP(A119,'2022_PAPI_Indicators'!A114:P294,16,FALSE)</f>
        <v>0.8649248480796814</v>
      </c>
      <c r="S119" s="133">
        <f>VLOOKUP(A119,'2022_PAPI_Indicators'!A114:R294,17,FALSE)</f>
        <v>0.82890462875366211</v>
      </c>
      <c r="T119" s="133">
        <f>VLOOKUP(A119,'2022_PAPI_Indicators'!A114:S294,18,FALSE)</f>
        <v>0.78988814353942871</v>
      </c>
      <c r="U119" s="135">
        <f>VLOOKUP(A119,'2022_PAPI_Indicators'!A114:T294,19,FALSE)</f>
        <v>0.83202415704727173</v>
      </c>
      <c r="V119" s="133">
        <f>VLOOKUP(A119,'2022_PAPI_Indicators'!A114:U294,20,FALSE)</f>
        <v>0.76501959562301636</v>
      </c>
      <c r="W119" s="133">
        <f>VLOOKUP(A119,'2022_PAPI_Indicators'!A114:V294,21,FALSE)</f>
        <v>0.79240602254867554</v>
      </c>
      <c r="X119" s="133">
        <f>VLOOKUP(A119,'2022_PAPI_Indicators'!A114:W294,22,FALSE)</f>
        <v>0.87768834829330444</v>
      </c>
      <c r="Y119" s="133">
        <f>VLOOKUP(A119,'2022_PAPI_Indicators'!A114:X294,23,FALSE)</f>
        <v>0.81163418292999268</v>
      </c>
      <c r="Z119" s="133">
        <f>VLOOKUP(A119,'2022_PAPI_Indicators'!A114:Y294,24,FALSE)</f>
        <v>0.75752896070480347</v>
      </c>
      <c r="AA119" s="133">
        <f>VLOOKUP(A119,'2022_PAPI_Indicators'!A114:Z294,25,FALSE)</f>
        <v>0.86056256294250488</v>
      </c>
      <c r="AB119" s="133">
        <f>VLOOKUP(A119,'2022_PAPI_Indicators'!A114:AA294,26,FALSE)</f>
        <v>0.84915107488632202</v>
      </c>
      <c r="AC119" s="133">
        <f>VLOOKUP(A119,'2022_PAPI_Indicators'!A114:AB294,27,FALSE)</f>
        <v>0.81092554330825806</v>
      </c>
      <c r="AD119" s="133">
        <f>VLOOKUP(A119,'2022_PAPI_Indicators'!A114:AC294,28,FALSE)</f>
        <v>0.86632686853408813</v>
      </c>
      <c r="AE119" s="133">
        <f>VLOOKUP(A119,'2022_PAPI_Indicators'!A114:AD294,29,FALSE)</f>
        <v>0.84991961717605591</v>
      </c>
      <c r="AF119" s="133">
        <f>VLOOKUP(A119,'2022_PAPI_Indicators'!A114:AE294,30,FALSE)</f>
        <v>0.87530231475830078</v>
      </c>
      <c r="AG119" s="133">
        <f>VLOOKUP(A119,'2022_PAPI_Indicators'!A114:AF294,31,FALSE)</f>
        <v>0.79559653997421265</v>
      </c>
      <c r="AH119" s="133">
        <f>VLOOKUP(A119,'2022_PAPI_Indicators'!A114:AG294,32,FALSE)</f>
        <v>0.87932449579238892</v>
      </c>
      <c r="AI119" s="133">
        <f>VLOOKUP(A119,'2022_PAPI_Indicators'!A114:AH294,33,FALSE)</f>
        <v>0.82563942670822144</v>
      </c>
      <c r="AJ119" s="133">
        <f>VLOOKUP(A119,'2022_PAPI_Indicators'!A114:AI294,34,FALSE)</f>
        <v>0.71327072381973267</v>
      </c>
      <c r="AK119" s="133">
        <f>VLOOKUP(A119,'2022_PAPI_Indicators'!A114:AJ294,35,FALSE)</f>
        <v>0.81042486429214478</v>
      </c>
      <c r="AL119" s="133">
        <f>VLOOKUP(A119,'2022_PAPI_Indicators'!A114:AK294,36,FALSE)</f>
        <v>0.83877259492874146</v>
      </c>
      <c r="AM119" s="133">
        <f>VLOOKUP(A119,'2022_PAPI_Indicators'!A114:AL294,37,FALSE)</f>
        <v>0.75919342041015625</v>
      </c>
      <c r="AN119" s="133">
        <f>VLOOKUP(A119,'2022_PAPI_Indicators'!A114:AM294,38,FALSE)</f>
        <v>0.6845436692237854</v>
      </c>
      <c r="AO119" s="133">
        <f>VLOOKUP(A119,'2022_PAPI_Indicators'!A114:AN294,39,FALSE)</f>
        <v>0.81934553384780884</v>
      </c>
      <c r="AP119" s="133">
        <f>VLOOKUP(A119,'2022_PAPI_Indicators'!A114:AO294,40,FALSE)</f>
        <v>0.83288061618804932</v>
      </c>
      <c r="AQ119" s="133">
        <f>VLOOKUP(A119,'2022_PAPI_Indicators'!A114:AP294,41,FALSE)</f>
        <v>0.67601299285888672</v>
      </c>
      <c r="AR119" s="133">
        <f>VLOOKUP(A119,'2022_PAPI_Indicators'!A114:AQ294,42,FALSE)</f>
        <v>0.80810832977294922</v>
      </c>
      <c r="AS119" s="133">
        <f>VLOOKUP(A119,'2022_PAPI_Indicators'!A114:AR294,43,FALSE)</f>
        <v>0.69599038362503052</v>
      </c>
      <c r="AT119" s="133">
        <f>VLOOKUP(A119,'2022_PAPI_Indicators'!A114:AS294,44,FALSE)</f>
        <v>0.6526648998260498</v>
      </c>
      <c r="AU119" s="133">
        <f>VLOOKUP(A119,'2022_PAPI_Indicators'!A114:AT294,45,FALSE)</f>
        <v>0.65537649393081665</v>
      </c>
      <c r="AV119" s="133">
        <f>VLOOKUP(A119,'2022_PAPI_Indicators'!A114:AU294,46,FALSE)</f>
        <v>0.53435295820236206</v>
      </c>
      <c r="AW119" s="133">
        <f>VLOOKUP(A119,'2022_PAPI_Indicators'!A114:AV294,47,FALSE)</f>
        <v>0.63065707683563232</v>
      </c>
      <c r="AX119" s="133">
        <f>VLOOKUP(A119,'2022_PAPI_Indicators'!A114:AW294,48,FALSE)</f>
        <v>0.76129907369613647</v>
      </c>
      <c r="AY119" s="133">
        <f>VLOOKUP(A119,'2022_PAPI_Indicators'!A114:AX294,49,FALSE)</f>
        <v>0.61358541250228882</v>
      </c>
      <c r="AZ119" s="133">
        <f>VLOOKUP(A119,'2022_PAPI_Indicators'!A114:AY294,50,FALSE)</f>
        <v>0.67569833993911743</v>
      </c>
      <c r="BA119" s="133">
        <f>VLOOKUP(A119,'2022_PAPI_Indicators'!A114:AZ294,51,FALSE)</f>
        <v>0.65153753757476807</v>
      </c>
      <c r="BB119" s="133">
        <f>VLOOKUP(A119,'2022_PAPI_Indicators'!A114:BA294,52,FALSE)</f>
        <v>0.57244026660919189</v>
      </c>
      <c r="BC119" s="133">
        <f>VLOOKUP(A119,'2022_PAPI_Indicators'!A114:BB294,53,FALSE)</f>
        <v>0.60170316696166992</v>
      </c>
      <c r="BD119" s="133">
        <f>VLOOKUP(A119,'2022_PAPI_Indicators'!A114:BC294,54,FALSE)</f>
        <v>0.69749915599822998</v>
      </c>
      <c r="BE119" s="133">
        <f>VLOOKUP(A119,'2022_PAPI_Indicators'!A114:BD294,55,FALSE)</f>
        <v>0.68362021446228027</v>
      </c>
      <c r="BF119" s="133">
        <f>VLOOKUP(A119,'2022_PAPI_Indicators'!A114:BE294,56,FALSE)</f>
        <v>0.72569185495376587</v>
      </c>
      <c r="BG119" s="133">
        <f>VLOOKUP(A119,'2022_PAPI_Indicators'!A114:BF294,57,FALSE)</f>
        <v>0.796875</v>
      </c>
      <c r="BH119" s="133">
        <f>VLOOKUP(A119,'2022_PAPI_Indicators'!A114:BG294,58,FALSE)</f>
        <v>0.76386785507202148</v>
      </c>
      <c r="BI119" s="133">
        <f>VLOOKUP(A119,'2022_PAPI_Indicators'!A114:BH294,59,FALSE)</f>
        <v>0.74606949090957642</v>
      </c>
      <c r="BJ119" s="133">
        <f>VLOOKUP(A119,'2022_PAPI_Indicators'!A114:BI294,60,FALSE)</f>
        <v>0.66184598207473755</v>
      </c>
      <c r="BK119" s="133">
        <f>VLOOKUP(A119,'2022_PAPI_Indicators'!A114:BJ294,61,FALSE)</f>
        <v>0.71623754501342773</v>
      </c>
      <c r="BL119" s="133">
        <f>VLOOKUP(A119,'2022_PAPI_Indicators'!A114:BK294,62,FALSE)</f>
        <v>0.77063882350921631</v>
      </c>
      <c r="BM119" s="133">
        <f>VLOOKUP(A119,'2022_PAPI_Indicators'!A114:BL294,63,FALSE)</f>
        <v>0.7966008186340332</v>
      </c>
      <c r="BN119" s="133">
        <f>VLOOKUP(A119,'2022_PAPI_Indicators'!A114:BM294,64,FALSE)</f>
        <v>0.70373576879501343</v>
      </c>
    </row>
    <row r="120" spans="1:66" x14ac:dyDescent="0.2">
      <c r="A120" s="70" t="s">
        <v>318</v>
      </c>
      <c r="B120" s="70" t="s">
        <v>319</v>
      </c>
      <c r="C120" s="89" t="s">
        <v>90</v>
      </c>
      <c r="D120" s="133">
        <f>VLOOKUP(A120,'2022_PAPI_Indicators'!A115:B295,2,)</f>
        <v>0.58361738920211792</v>
      </c>
      <c r="E120" s="133">
        <f>VLOOKUP(A120,'2022_PAPI_Indicators'!A115:C295,3,FALSE)</f>
        <v>0.63615638017654419</v>
      </c>
      <c r="F120" s="133">
        <f>VLOOKUP(A120,'2022_PAPI_Indicators'!A115:D295,4,FALSE)</f>
        <v>0.5306972861289978</v>
      </c>
      <c r="G120" s="133">
        <f>VLOOKUP(A120,'2022_PAPI_Indicators'!A115:E295,5,FALSE)</f>
        <v>0.79577761888504028</v>
      </c>
      <c r="H120" s="133">
        <f>VLOOKUP(A120,'2022_PAPI_Indicators'!A115:F295,6,FALSE)</f>
        <v>0.7973477840423584</v>
      </c>
      <c r="I120" s="133">
        <f>VLOOKUP(A120,'2022_PAPI_Indicators'!A115:G295,7,FALSE)</f>
        <v>0.55872118473052979</v>
      </c>
      <c r="J120" s="133">
        <f>VLOOKUP(A120,'2022_PAPI_Indicators'!A115:H295,8,FALSE)</f>
        <v>0.74015766382217407</v>
      </c>
      <c r="K120" s="133">
        <f>VLOOKUP(A120,'2022_PAPI_Indicators'!A115:I295,9,FALSE)</f>
        <v>0.64955407381057739</v>
      </c>
      <c r="L120" s="133">
        <f>VLOOKUP(A120,'2022_PAPI_Indicators'!A115:J295,10,FALSE)</f>
        <v>0.61338382959365845</v>
      </c>
      <c r="M120" s="133">
        <f>VLOOKUP(A120,'2022_PAPI_Indicators'!A115:K295,11,FALSE)</f>
        <v>0.6443292498588562</v>
      </c>
      <c r="N120" s="133">
        <f>VLOOKUP(A120,'2022_PAPI_Indicators'!A115:L295,12,FALSE)</f>
        <v>0.82705378532409668</v>
      </c>
      <c r="O120" s="133">
        <f>VLOOKUP(A120,'2022_PAPI_Indicators'!A115:M295,13,FALSE)</f>
        <v>0.73857742547988892</v>
      </c>
      <c r="P120" s="133">
        <f>VLOOKUP(A120,'2022_PAPI_Indicators'!A115:N295,14,FALSE)</f>
        <v>0.67613738775253296</v>
      </c>
      <c r="Q120" s="133">
        <f>VLOOKUP(A120,'2022_PAPI_Indicators'!A115:O295,15,FALSE)</f>
        <v>0.86479771137237549</v>
      </c>
      <c r="R120" s="135">
        <f>VLOOKUP(A120,'2022_PAPI_Indicators'!A115:P295,16,FALSE)</f>
        <v>0.80223774909973145</v>
      </c>
      <c r="S120" s="133">
        <f>VLOOKUP(A120,'2022_PAPI_Indicators'!A115:R295,17,FALSE)</f>
        <v>0.91923099756240845</v>
      </c>
      <c r="T120" s="133">
        <f>VLOOKUP(A120,'2022_PAPI_Indicators'!A115:S295,18,FALSE)</f>
        <v>0.77207040786743164</v>
      </c>
      <c r="U120" s="135">
        <f>VLOOKUP(A120,'2022_PAPI_Indicators'!A115:T295,19,FALSE)</f>
        <v>0.82576894760131836</v>
      </c>
      <c r="V120" s="133">
        <f>VLOOKUP(A120,'2022_PAPI_Indicators'!A115:U295,20,FALSE)</f>
        <v>0.68459045886993408</v>
      </c>
      <c r="W120" s="133">
        <f>VLOOKUP(A120,'2022_PAPI_Indicators'!A115:V295,21,FALSE)</f>
        <v>0.80862557888031006</v>
      </c>
      <c r="X120" s="133">
        <f>VLOOKUP(A120,'2022_PAPI_Indicators'!A115:W295,22,FALSE)</f>
        <v>0.84426993131637573</v>
      </c>
      <c r="Y120" s="133">
        <f>VLOOKUP(A120,'2022_PAPI_Indicators'!A115:X295,23,FALSE)</f>
        <v>0.82779449224472046</v>
      </c>
      <c r="Z120" s="133">
        <f>VLOOKUP(A120,'2022_PAPI_Indicators'!A115:Y295,24,FALSE)</f>
        <v>0.73034685850143433</v>
      </c>
      <c r="AA120" s="133">
        <f>VLOOKUP(A120,'2022_PAPI_Indicators'!A115:Z295,25,FALSE)</f>
        <v>0.88047152757644653</v>
      </c>
      <c r="AB120" s="133">
        <f>VLOOKUP(A120,'2022_PAPI_Indicators'!A115:AA295,26,FALSE)</f>
        <v>0.85599547624588013</v>
      </c>
      <c r="AC120" s="133">
        <f>VLOOKUP(A120,'2022_PAPI_Indicators'!A115:AB295,27,FALSE)</f>
        <v>0.80216270685195923</v>
      </c>
      <c r="AD120" s="133">
        <f>VLOOKUP(A120,'2022_PAPI_Indicators'!A115:AC295,28,FALSE)</f>
        <v>0.8426659107208252</v>
      </c>
      <c r="AE120" s="133">
        <f>VLOOKUP(A120,'2022_PAPI_Indicators'!A115:AD295,29,FALSE)</f>
        <v>0.72797596454620361</v>
      </c>
      <c r="AF120" s="133">
        <f>VLOOKUP(A120,'2022_PAPI_Indicators'!A115:AE295,30,FALSE)</f>
        <v>0.82092440128326416</v>
      </c>
      <c r="AG120" s="133">
        <f>VLOOKUP(A120,'2022_PAPI_Indicators'!A115:AF295,31,FALSE)</f>
        <v>0.74423933029174805</v>
      </c>
      <c r="AH120" s="133">
        <f>VLOOKUP(A120,'2022_PAPI_Indicators'!A115:AG295,32,FALSE)</f>
        <v>0.90945017337799072</v>
      </c>
      <c r="AI120" s="133">
        <f>VLOOKUP(A120,'2022_PAPI_Indicators'!A115:AH295,33,FALSE)</f>
        <v>0.85063880681991577</v>
      </c>
      <c r="AJ120" s="133">
        <f>VLOOKUP(A120,'2022_PAPI_Indicators'!A115:AI295,34,FALSE)</f>
        <v>0.75733798742294312</v>
      </c>
      <c r="AK120" s="133">
        <f>VLOOKUP(A120,'2022_PAPI_Indicators'!A115:AJ295,35,FALSE)</f>
        <v>0.75</v>
      </c>
      <c r="AL120" s="133">
        <f>VLOOKUP(A120,'2022_PAPI_Indicators'!A115:AK295,36,FALSE)</f>
        <v>0.84297221899032593</v>
      </c>
      <c r="AM120" s="133">
        <f>VLOOKUP(A120,'2022_PAPI_Indicators'!A115:AL295,37,FALSE)</f>
        <v>0.67441439628601074</v>
      </c>
      <c r="AN120" s="133">
        <f>VLOOKUP(A120,'2022_PAPI_Indicators'!A115:AM295,38,FALSE)</f>
        <v>0.70036405324935913</v>
      </c>
      <c r="AO120" s="133">
        <f>VLOOKUP(A120,'2022_PAPI_Indicators'!A115:AN295,39,FALSE)</f>
        <v>0.83457809686660767</v>
      </c>
      <c r="AP120" s="133">
        <f>VLOOKUP(A120,'2022_PAPI_Indicators'!A115:AO295,40,FALSE)</f>
        <v>0.93628805875778198</v>
      </c>
      <c r="AQ120" s="133">
        <f>VLOOKUP(A120,'2022_PAPI_Indicators'!A115:AP295,41,FALSE)</f>
        <v>0.62100780010223389</v>
      </c>
      <c r="AR120" s="133">
        <f>VLOOKUP(A120,'2022_PAPI_Indicators'!A115:AQ295,42,FALSE)</f>
        <v>0.81812411546707153</v>
      </c>
      <c r="AS120" s="133">
        <f>VLOOKUP(A120,'2022_PAPI_Indicators'!A115:AR295,43,FALSE)</f>
        <v>0.57846462726593018</v>
      </c>
      <c r="AT120" s="133">
        <f>VLOOKUP(A120,'2022_PAPI_Indicators'!A115:AS295,44,FALSE)</f>
        <v>0.54291075468063354</v>
      </c>
      <c r="AU120" s="133">
        <f>VLOOKUP(A120,'2022_PAPI_Indicators'!A115:AT295,45,FALSE)</f>
        <v>0.64898347854614258</v>
      </c>
      <c r="AV120" s="133">
        <f>VLOOKUP(A120,'2022_PAPI_Indicators'!A115:AU295,46,FALSE)</f>
        <v>0.56766891479492188</v>
      </c>
      <c r="AW120" s="133">
        <f>VLOOKUP(A120,'2022_PAPI_Indicators'!A115:AV295,47,FALSE)</f>
        <v>0.70336180925369263</v>
      </c>
      <c r="AX120" s="133">
        <f>VLOOKUP(A120,'2022_PAPI_Indicators'!A115:AW295,48,FALSE)</f>
        <v>0.82488971948623657</v>
      </c>
      <c r="AY120" s="133">
        <f>VLOOKUP(A120,'2022_PAPI_Indicators'!A115:AX295,49,FALSE)</f>
        <v>0.53012454509735107</v>
      </c>
      <c r="AZ120" s="133">
        <f>VLOOKUP(A120,'2022_PAPI_Indicators'!A115:AY295,50,FALSE)</f>
        <v>0.64828068017959595</v>
      </c>
      <c r="BA120" s="133">
        <f>VLOOKUP(A120,'2022_PAPI_Indicators'!A115:AZ295,51,FALSE)</f>
        <v>0.63647693395614624</v>
      </c>
      <c r="BB120" s="133">
        <f>VLOOKUP(A120,'2022_PAPI_Indicators'!A115:BA295,52,FALSE)</f>
        <v>0.37156930565834045</v>
      </c>
      <c r="BC120" s="133">
        <f>VLOOKUP(A120,'2022_PAPI_Indicators'!A115:BB295,53,FALSE)</f>
        <v>0.55034089088439941</v>
      </c>
      <c r="BD120" s="133">
        <f>VLOOKUP(A120,'2022_PAPI_Indicators'!A115:BC295,54,FALSE)</f>
        <v>0.6647757887840271</v>
      </c>
      <c r="BE120" s="133">
        <f>VLOOKUP(A120,'2022_PAPI_Indicators'!A115:BD295,55,FALSE)</f>
        <v>0.68299645185470581</v>
      </c>
      <c r="BF120" s="133">
        <f>VLOOKUP(A120,'2022_PAPI_Indicators'!A115:BE295,56,FALSE)</f>
        <v>0.83619153499603271</v>
      </c>
      <c r="BG120" s="133">
        <f>VLOOKUP(A120,'2022_PAPI_Indicators'!A115:BF295,57,FALSE)</f>
        <v>0.79915463924407959</v>
      </c>
      <c r="BH120" s="133">
        <f>VLOOKUP(A120,'2022_PAPI_Indicators'!A115:BG295,58,FALSE)</f>
        <v>0.76533883810043335</v>
      </c>
      <c r="BI120" s="133">
        <f>VLOOKUP(A120,'2022_PAPI_Indicators'!A115:BH295,59,FALSE)</f>
        <v>0.78552055358886719</v>
      </c>
      <c r="BJ120" s="133">
        <f>VLOOKUP(A120,'2022_PAPI_Indicators'!A115:BI295,60,FALSE)</f>
        <v>0.69762128591537476</v>
      </c>
      <c r="BK120" s="133">
        <f>VLOOKUP(A120,'2022_PAPI_Indicators'!A115:BJ295,61,FALSE)</f>
        <v>0.79787170886993408</v>
      </c>
      <c r="BL120" s="133">
        <f>VLOOKUP(A120,'2022_PAPI_Indicators'!A115:BK295,62,FALSE)</f>
        <v>0.68313688039779663</v>
      </c>
      <c r="BM120" s="133">
        <f>VLOOKUP(A120,'2022_PAPI_Indicators'!A115:BL295,63,FALSE)</f>
        <v>0.74914920330047607</v>
      </c>
      <c r="BN120" s="133">
        <f>VLOOKUP(A120,'2022_PAPI_Indicators'!A115:BM295,64,FALSE)</f>
        <v>0.63733392953872681</v>
      </c>
    </row>
    <row r="121" spans="1:66" x14ac:dyDescent="0.2">
      <c r="A121" s="70" t="s">
        <v>320</v>
      </c>
      <c r="B121" s="70" t="s">
        <v>321</v>
      </c>
      <c r="C121" s="89" t="s">
        <v>85</v>
      </c>
      <c r="D121" s="124">
        <f>VLOOKUP(A121,'2022_PAPI_Indicators'!A116:B296,2,)</f>
        <v>2.5078055858612061</v>
      </c>
      <c r="E121" s="124">
        <f>VLOOKUP(A121,'2022_PAPI_Indicators'!A116:C296,3,FALSE)</f>
        <v>5.3968706130981445</v>
      </c>
      <c r="F121" s="124">
        <f>VLOOKUP(A121,'2022_PAPI_Indicators'!A116:D296,4,FALSE)</f>
        <v>3.7839865684509277</v>
      </c>
      <c r="G121" s="124">
        <f>VLOOKUP(A121,'2022_PAPI_Indicators'!A116:E296,5,FALSE)</f>
        <v>6.7117481231689453</v>
      </c>
      <c r="H121" s="124">
        <f>VLOOKUP(A121,'2022_PAPI_Indicators'!A116:F296,6,FALSE)</f>
        <v>5.4507861137390137</v>
      </c>
      <c r="I121" s="124">
        <f>VLOOKUP(A121,'2022_PAPI_Indicators'!A116:G296,7,FALSE)</f>
        <v>4.9792513847351074</v>
      </c>
      <c r="J121" s="124">
        <f>VLOOKUP(A121,'2022_PAPI_Indicators'!A116:H296,8,FALSE)</f>
        <v>4.6858077049255371</v>
      </c>
      <c r="K121" s="124">
        <f>VLOOKUP(A121,'2022_PAPI_Indicators'!A116:I296,9,FALSE)</f>
        <v>4.7682757377624512</v>
      </c>
      <c r="L121" s="124">
        <f>VLOOKUP(A121,'2022_PAPI_Indicators'!A116:J296,10,FALSE)</f>
        <v>4.9449877738952637</v>
      </c>
      <c r="M121" s="124">
        <f>VLOOKUP(A121,'2022_PAPI_Indicators'!A116:K296,11,FALSE)</f>
        <v>6.0650291442871094</v>
      </c>
      <c r="N121" s="124">
        <f>VLOOKUP(A121,'2022_PAPI_Indicators'!A116:L296,12,FALSE)</f>
        <v>5.9578409194946289</v>
      </c>
      <c r="O121" s="124">
        <f>VLOOKUP(A121,'2022_PAPI_Indicators'!A116:M296,13,FALSE)</f>
        <v>3.4255855083465576</v>
      </c>
      <c r="P121" s="124">
        <f>VLOOKUP(A121,'2022_PAPI_Indicators'!A116:N296,14,FALSE)</f>
        <v>4.9070000648498535</v>
      </c>
      <c r="Q121" s="124">
        <f>VLOOKUP(A121,'2022_PAPI_Indicators'!A116:O296,15,FALSE)</f>
        <v>4.9518918991088867</v>
      </c>
      <c r="R121" s="125">
        <f>VLOOKUP(A121,'2022_PAPI_Indicators'!A116:P296,16,FALSE)</f>
        <v>6.0634164810180664</v>
      </c>
      <c r="S121" s="124">
        <f>VLOOKUP(A121,'2022_PAPI_Indicators'!A116:R296,17,FALSE)</f>
        <v>4.4682192802429199</v>
      </c>
      <c r="T121" s="124">
        <f>VLOOKUP(A121,'2022_PAPI_Indicators'!A116:S296,18,FALSE)</f>
        <v>6.7114968299865723</v>
      </c>
      <c r="U121" s="125">
        <f>VLOOKUP(A121,'2022_PAPI_Indicators'!A116:T296,19,FALSE)</f>
        <v>5.9089345932006836</v>
      </c>
      <c r="V121" s="124">
        <f>VLOOKUP(A121,'2022_PAPI_Indicators'!A116:U296,20,FALSE)</f>
        <v>5.2159562110900879</v>
      </c>
      <c r="W121" s="124">
        <f>VLOOKUP(A121,'2022_PAPI_Indicators'!A116:V296,21,FALSE)</f>
        <v>4.569800853729248</v>
      </c>
      <c r="X121" s="124">
        <f>VLOOKUP(A121,'2022_PAPI_Indicators'!A116:W296,22,FALSE)</f>
        <v>4.5787286758422852</v>
      </c>
      <c r="Y121" s="124">
        <f>VLOOKUP(A121,'2022_PAPI_Indicators'!A116:X296,23,FALSE)</f>
        <v>5.8408188819885254</v>
      </c>
      <c r="Z121" s="124">
        <f>VLOOKUP(A121,'2022_PAPI_Indicators'!A116:Y296,24,FALSE)</f>
        <v>4.4979205131530762</v>
      </c>
      <c r="AA121" s="124">
        <f>VLOOKUP(A121,'2022_PAPI_Indicators'!A116:Z296,25,FALSE)</f>
        <v>5.3156709671020508</v>
      </c>
      <c r="AB121" s="124">
        <f>VLOOKUP(A121,'2022_PAPI_Indicators'!A116:AA296,26,FALSE)</f>
        <v>3.8367271423339844</v>
      </c>
      <c r="AC121" s="124">
        <f>VLOOKUP(A121,'2022_PAPI_Indicators'!A116:AB296,27,FALSE)</f>
        <v>5.8005304336547852</v>
      </c>
      <c r="AD121" s="124">
        <f>VLOOKUP(A121,'2022_PAPI_Indicators'!A116:AC296,28,FALSE)</f>
        <v>3.6600069999694824</v>
      </c>
      <c r="AE121" s="124">
        <f>VLOOKUP(A121,'2022_PAPI_Indicators'!A116:AD296,29,FALSE)</f>
        <v>4.6864428520202637</v>
      </c>
      <c r="AF121" s="124">
        <f>VLOOKUP(A121,'2022_PAPI_Indicators'!A116:AE296,30,FALSE)</f>
        <v>5.3474321365356445</v>
      </c>
      <c r="AG121" s="124">
        <f>VLOOKUP(A121,'2022_PAPI_Indicators'!A116:AF296,31,FALSE)</f>
        <v>5.2175369262695313</v>
      </c>
      <c r="AH121" s="124">
        <f>VLOOKUP(A121,'2022_PAPI_Indicators'!A116:AG296,32,FALSE)</f>
        <v>5.4822134971618652</v>
      </c>
      <c r="AI121" s="124">
        <f>VLOOKUP(A121,'2022_PAPI_Indicators'!A116:AH296,33,FALSE)</f>
        <v>4.2843303680419922</v>
      </c>
      <c r="AJ121" s="124">
        <f>VLOOKUP(A121,'2022_PAPI_Indicators'!A116:AI296,34,FALSE)</f>
        <v>4.9355649948120117</v>
      </c>
      <c r="AK121" s="124">
        <f>VLOOKUP(A121,'2022_PAPI_Indicators'!A116:AJ296,35,FALSE)</f>
        <v>4.2267341613769531</v>
      </c>
      <c r="AL121" s="124">
        <f>VLOOKUP(A121,'2022_PAPI_Indicators'!A116:AK296,36,FALSE)</f>
        <v>4.1038999557495117</v>
      </c>
      <c r="AM121" s="124">
        <f>VLOOKUP(A121,'2022_PAPI_Indicators'!A116:AL296,37,FALSE)</f>
        <v>5.6998906135559082</v>
      </c>
      <c r="AN121" s="124">
        <f>VLOOKUP(A121,'2022_PAPI_Indicators'!A116:AM296,38,FALSE)</f>
        <v>3.0077774524688721</v>
      </c>
      <c r="AO121" s="124">
        <f>VLOOKUP(A121,'2022_PAPI_Indicators'!A116:AN296,39,FALSE)</f>
        <v>3.644329309463501</v>
      </c>
      <c r="AP121" s="124">
        <f>VLOOKUP(A121,'2022_PAPI_Indicators'!A116:AO296,40,FALSE)</f>
        <v>4.5493102073669434</v>
      </c>
      <c r="AQ121" s="124">
        <f>VLOOKUP(A121,'2022_PAPI_Indicators'!A116:AP296,41,FALSE)</f>
        <v>4.5222411155700684</v>
      </c>
      <c r="AR121" s="124">
        <f>VLOOKUP(A121,'2022_PAPI_Indicators'!A116:AQ296,42,FALSE)</f>
        <v>3.5963194370269775</v>
      </c>
      <c r="AS121" s="124">
        <f>VLOOKUP(A121,'2022_PAPI_Indicators'!A116:AR296,43,FALSE)</f>
        <v>5.3986067771911621</v>
      </c>
      <c r="AT121" s="124">
        <f>VLOOKUP(A121,'2022_PAPI_Indicators'!A116:AS296,44,FALSE)</f>
        <v>6.9030141830444336</v>
      </c>
      <c r="AU121" s="124">
        <f>VLOOKUP(A121,'2022_PAPI_Indicators'!A116:AT296,45,FALSE)</f>
        <v>5.8291525840759277</v>
      </c>
      <c r="AV121" s="124">
        <f>VLOOKUP(A121,'2022_PAPI_Indicators'!A116:AU296,46,FALSE)</f>
        <v>3.8390138149261475</v>
      </c>
      <c r="AW121" s="124">
        <f>VLOOKUP(A121,'2022_PAPI_Indicators'!A116:AV296,47,FALSE)</f>
        <v>3.9218084812164307</v>
      </c>
      <c r="AX121" s="124">
        <f>VLOOKUP(A121,'2022_PAPI_Indicators'!A116:AW296,48,FALSE)</f>
        <v>4.337165355682373</v>
      </c>
      <c r="AY121" s="124">
        <f>VLOOKUP(A121,'2022_PAPI_Indicators'!A116:AX296,49,FALSE)</f>
        <v>4.0700664520263672</v>
      </c>
      <c r="AZ121" s="124">
        <f>VLOOKUP(A121,'2022_PAPI_Indicators'!A116:AY296,50,FALSE)</f>
        <v>3.3543524742126465</v>
      </c>
      <c r="BA121" s="124">
        <f>VLOOKUP(A121,'2022_PAPI_Indicators'!A116:AZ296,51,FALSE)</f>
        <v>3.8671021461486816</v>
      </c>
      <c r="BB121" s="124">
        <f>VLOOKUP(A121,'2022_PAPI_Indicators'!A116:BA296,52,FALSE)</f>
        <v>5.9342126846313477</v>
      </c>
      <c r="BC121" s="124">
        <f>VLOOKUP(A121,'2022_PAPI_Indicators'!A116:BB296,53,FALSE)</f>
        <v>5.544914722442627</v>
      </c>
      <c r="BD121" s="124">
        <f>VLOOKUP(A121,'2022_PAPI_Indicators'!A116:BC296,54,FALSE)</f>
        <v>5.0861763954162598</v>
      </c>
      <c r="BE121" s="124">
        <f>VLOOKUP(A121,'2022_PAPI_Indicators'!A116:BD296,55,FALSE)</f>
        <v>5.6670031547546387</v>
      </c>
      <c r="BF121" s="124">
        <f>VLOOKUP(A121,'2022_PAPI_Indicators'!A116:BE296,56,FALSE)</f>
        <v>5.4595680236816406</v>
      </c>
      <c r="BG121" s="124">
        <f>VLOOKUP(A121,'2022_PAPI_Indicators'!A116:BF296,57,FALSE)</f>
        <v>5.9312396049499512</v>
      </c>
      <c r="BH121" s="124">
        <f>VLOOKUP(A121,'2022_PAPI_Indicators'!A116:BG296,58,FALSE)</f>
        <v>4.710167407989502</v>
      </c>
      <c r="BI121" s="124">
        <f>VLOOKUP(A121,'2022_PAPI_Indicators'!A116:BH296,59,FALSE)</f>
        <v>3.9637956619262695</v>
      </c>
      <c r="BJ121" s="124">
        <f>VLOOKUP(A121,'2022_PAPI_Indicators'!A116:BI296,60,FALSE)</f>
        <v>5.1279654502868652</v>
      </c>
      <c r="BK121" s="124">
        <f>VLOOKUP(A121,'2022_PAPI_Indicators'!A116:BJ296,61,FALSE)</f>
        <v>6.352604866027832</v>
      </c>
      <c r="BL121" s="124">
        <f>VLOOKUP(A121,'2022_PAPI_Indicators'!A116:BK296,62,FALSE)</f>
        <v>4.9561357498168945</v>
      </c>
      <c r="BM121" s="124">
        <f>VLOOKUP(A121,'2022_PAPI_Indicators'!A116:BL296,63,FALSE)</f>
        <v>4.6559309959411621</v>
      </c>
      <c r="BN121" s="124">
        <f>VLOOKUP(A121,'2022_PAPI_Indicators'!A116:BM296,64,FALSE)</f>
        <v>3.7898216247558594</v>
      </c>
    </row>
    <row r="122" spans="1:66" s="112" customFormat="1" x14ac:dyDescent="0.2">
      <c r="A122" s="77" t="s">
        <v>322</v>
      </c>
      <c r="B122" s="77" t="s">
        <v>323</v>
      </c>
      <c r="C122" s="92" t="s">
        <v>448</v>
      </c>
      <c r="D122" s="131">
        <f>VLOOKUP(A122,'2022_PAPI_Indicators'!A117:B297,2,)</f>
        <v>1.4109086990356445</v>
      </c>
      <c r="E122" s="131">
        <f>VLOOKUP(A122,'2022_PAPI_Indicators'!A117:C297,3,FALSE)</f>
        <v>1.404863715171814</v>
      </c>
      <c r="F122" s="131">
        <f>VLOOKUP(A122,'2022_PAPI_Indicators'!A117:D297,4,FALSE)</f>
        <v>1.3714556694030762</v>
      </c>
      <c r="G122" s="131">
        <f>VLOOKUP(A122,'2022_PAPI_Indicators'!A117:E297,5,FALSE)</f>
        <v>1.4149250984191895</v>
      </c>
      <c r="H122" s="131">
        <f>VLOOKUP(A122,'2022_PAPI_Indicators'!A117:F297,6,FALSE)</f>
        <v>1.2808796167373657</v>
      </c>
      <c r="I122" s="131">
        <f>VLOOKUP(A122,'2022_PAPI_Indicators'!A117:G297,7,FALSE)</f>
        <v>1.5015063285827637</v>
      </c>
      <c r="J122" s="131">
        <f>VLOOKUP(A122,'2022_PAPI_Indicators'!A117:H297,8,FALSE)</f>
        <v>1.3366025686264038</v>
      </c>
      <c r="K122" s="131">
        <f>VLOOKUP(A122,'2022_PAPI_Indicators'!A117:I297,9,FALSE)</f>
        <v>1.9632786512374878</v>
      </c>
      <c r="L122" s="131">
        <f>VLOOKUP(A122,'2022_PAPI_Indicators'!A117:J297,10,FALSE)</f>
        <v>1.4099735021591187</v>
      </c>
      <c r="M122" s="131">
        <f>VLOOKUP(A122,'2022_PAPI_Indicators'!A117:K297,11,FALSE)</f>
        <v>1.4233748912811279</v>
      </c>
      <c r="N122" s="131">
        <f>VLOOKUP(A122,'2022_PAPI_Indicators'!A117:L297,12,FALSE)</f>
        <v>1.6833490133285522</v>
      </c>
      <c r="O122" s="131">
        <f>VLOOKUP(A122,'2022_PAPI_Indicators'!A117:M297,13,FALSE)</f>
        <v>1.8088802099227905</v>
      </c>
      <c r="P122" s="131">
        <f>VLOOKUP(A122,'2022_PAPI_Indicators'!A117:N297,14,FALSE)</f>
        <v>1.9722753763198853</v>
      </c>
      <c r="Q122" s="131">
        <f>VLOOKUP(A122,'2022_PAPI_Indicators'!A117:O297,15,FALSE)</f>
        <v>2.0022544860839844</v>
      </c>
      <c r="R122" s="132">
        <f>VLOOKUP(A122,'2022_PAPI_Indicators'!A117:P297,16,FALSE)</f>
        <v>1.893425464630127</v>
      </c>
      <c r="S122" s="131">
        <f>VLOOKUP(A122,'2022_PAPI_Indicators'!A117:R297,17,FALSE)</f>
        <v>1.4838325977325439</v>
      </c>
      <c r="T122" s="131">
        <f>VLOOKUP(A122,'2022_PAPI_Indicators'!A117:S297,18,FALSE)</f>
        <v>2.0378551483154297</v>
      </c>
      <c r="U122" s="132">
        <f>VLOOKUP(A122,'2022_PAPI_Indicators'!A117:T297,19,FALSE)</f>
        <v>1.7873020172119141</v>
      </c>
      <c r="V122" s="131">
        <f>VLOOKUP(A122,'2022_PAPI_Indicators'!A117:U297,20,FALSE)</f>
        <v>1.826646089553833</v>
      </c>
      <c r="W122" s="131">
        <f>VLOOKUP(A122,'2022_PAPI_Indicators'!A117:V297,21,FALSE)</f>
        <v>1.4605032205581665</v>
      </c>
      <c r="X122" s="131">
        <f>VLOOKUP(A122,'2022_PAPI_Indicators'!A117:W297,22,FALSE)</f>
        <v>1.4236644506454468</v>
      </c>
      <c r="Y122" s="131">
        <f>VLOOKUP(A122,'2022_PAPI_Indicators'!A117:X297,23,FALSE)</f>
        <v>2.0413150787353516</v>
      </c>
      <c r="Z122" s="131">
        <f>VLOOKUP(A122,'2022_PAPI_Indicators'!A117:Y297,24,FALSE)</f>
        <v>1.575487494468689</v>
      </c>
      <c r="AA122" s="131">
        <f>VLOOKUP(A122,'2022_PAPI_Indicators'!A117:Z297,25,FALSE)</f>
        <v>1.4566601514816284</v>
      </c>
      <c r="AB122" s="131">
        <f>VLOOKUP(A122,'2022_PAPI_Indicators'!A117:AA297,26,FALSE)</f>
        <v>1.3974771499633789</v>
      </c>
      <c r="AC122" s="131">
        <f>VLOOKUP(A122,'2022_PAPI_Indicators'!A117:AB297,27,FALSE)</f>
        <v>1.8869117498397827</v>
      </c>
      <c r="AD122" s="131">
        <f>VLOOKUP(A122,'2022_PAPI_Indicators'!A117:AC297,28,FALSE)</f>
        <v>1.7524404525756836</v>
      </c>
      <c r="AE122" s="131">
        <f>VLOOKUP(A122,'2022_PAPI_Indicators'!A117:AD297,29,FALSE)</f>
        <v>2.1278157234191895</v>
      </c>
      <c r="AF122" s="131">
        <f>VLOOKUP(A122,'2022_PAPI_Indicators'!A117:AE297,30,FALSE)</f>
        <v>1.4708094596862793</v>
      </c>
      <c r="AG122" s="131">
        <f>VLOOKUP(A122,'2022_PAPI_Indicators'!A117:AF297,31,FALSE)</f>
        <v>1.5499125719070435</v>
      </c>
      <c r="AH122" s="131">
        <f>VLOOKUP(A122,'2022_PAPI_Indicators'!A117:AG297,32,FALSE)</f>
        <v>1.7664910554885864</v>
      </c>
      <c r="AI122" s="131">
        <f>VLOOKUP(A122,'2022_PAPI_Indicators'!A117:AH297,33,FALSE)</f>
        <v>1.9475895166397095</v>
      </c>
      <c r="AJ122" s="131">
        <f>VLOOKUP(A122,'2022_PAPI_Indicators'!A117:AI297,34,FALSE)</f>
        <v>1.9804396629333496</v>
      </c>
      <c r="AK122" s="131">
        <f>VLOOKUP(A122,'2022_PAPI_Indicators'!A117:AJ297,35,FALSE)</f>
        <v>1.9330029487609863</v>
      </c>
      <c r="AL122" s="131">
        <f>VLOOKUP(A122,'2022_PAPI_Indicators'!A117:AK297,36,FALSE)</f>
        <v>1.9835939407348633</v>
      </c>
      <c r="AM122" s="131">
        <f>VLOOKUP(A122,'2022_PAPI_Indicators'!A117:AL297,37,FALSE)</f>
        <v>1.9956691265106201</v>
      </c>
      <c r="AN122" s="131">
        <f>VLOOKUP(A122,'2022_PAPI_Indicators'!A117:AM297,38,FALSE)</f>
        <v>1.9863438606262207</v>
      </c>
      <c r="AO122" s="131">
        <f>VLOOKUP(A122,'2022_PAPI_Indicators'!A117:AN297,39,FALSE)</f>
        <v>2.0168325901031494</v>
      </c>
      <c r="AP122" s="131">
        <f>VLOOKUP(A122,'2022_PAPI_Indicators'!A117:AO297,40,FALSE)</f>
        <v>1.8158670663833618</v>
      </c>
      <c r="AQ122" s="131">
        <f>VLOOKUP(A122,'2022_PAPI_Indicators'!A117:AP297,41,FALSE)</f>
        <v>1.949077844619751</v>
      </c>
      <c r="AR122" s="131">
        <f>VLOOKUP(A122,'2022_PAPI_Indicators'!A117:AQ297,42,FALSE)</f>
        <v>1.3734829425811768</v>
      </c>
      <c r="AS122" s="131">
        <f>VLOOKUP(A122,'2022_PAPI_Indicators'!A117:AR297,43,FALSE)</f>
        <v>1.9617375135421753</v>
      </c>
      <c r="AT122" s="131">
        <f>VLOOKUP(A122,'2022_PAPI_Indicators'!A117:AS297,44,FALSE)</f>
        <v>1.2039531469345093</v>
      </c>
      <c r="AU122" s="131">
        <f>VLOOKUP(A122,'2022_PAPI_Indicators'!A117:AT297,45,FALSE)</f>
        <v>1.0309848785400391</v>
      </c>
      <c r="AV122" s="131">
        <f>VLOOKUP(A122,'2022_PAPI_Indicators'!A117:AU297,46,FALSE)</f>
        <v>0.91579824686050415</v>
      </c>
      <c r="AW122" s="131">
        <f>VLOOKUP(A122,'2022_PAPI_Indicators'!A117:AV297,47,FALSE)</f>
        <v>1.9430941343307495</v>
      </c>
      <c r="AX122" s="131">
        <f>VLOOKUP(A122,'2022_PAPI_Indicators'!A117:AW297,48,FALSE)</f>
        <v>2.0143511295318604</v>
      </c>
      <c r="AY122" s="131">
        <f>VLOOKUP(A122,'2022_PAPI_Indicators'!A117:AX297,49,FALSE)</f>
        <v>1.9411081075668335</v>
      </c>
      <c r="AZ122" s="131">
        <f>VLOOKUP(A122,'2022_PAPI_Indicators'!A117:AY297,50,FALSE)</f>
        <v>1.9040751457214355</v>
      </c>
      <c r="BA122" s="131">
        <f>VLOOKUP(A122,'2022_PAPI_Indicators'!A117:AZ297,51,FALSE)</f>
        <v>1.6378493309020996</v>
      </c>
      <c r="BB122" s="131">
        <f>VLOOKUP(A122,'2022_PAPI_Indicators'!A117:BA297,52,FALSE)</f>
        <v>1.310291051864624</v>
      </c>
      <c r="BC122" s="131">
        <f>VLOOKUP(A122,'2022_PAPI_Indicators'!A117:BB297,53,FALSE)</f>
        <v>1.4146884679794312</v>
      </c>
      <c r="BD122" s="131">
        <f>VLOOKUP(A122,'2022_PAPI_Indicators'!A117:BC297,54,FALSE)</f>
        <v>1.9603936672210693</v>
      </c>
      <c r="BE122" s="131">
        <f>VLOOKUP(A122,'2022_PAPI_Indicators'!A117:BD297,55,FALSE)</f>
        <v>2.0402600765228271</v>
      </c>
      <c r="BF122" s="131">
        <f>VLOOKUP(A122,'2022_PAPI_Indicators'!A117:BE297,56,FALSE)</f>
        <v>1.9675650596618652</v>
      </c>
      <c r="BG122" s="131">
        <f>VLOOKUP(A122,'2022_PAPI_Indicators'!A117:BF297,57,FALSE)</f>
        <v>1.3425654172897339</v>
      </c>
      <c r="BH122" s="131">
        <f>VLOOKUP(A122,'2022_PAPI_Indicators'!A117:BG297,58,FALSE)</f>
        <v>1.4152387380599976</v>
      </c>
      <c r="BI122" s="131">
        <f>VLOOKUP(A122,'2022_PAPI_Indicators'!A117:BH297,59,FALSE)</f>
        <v>1.3925349712371826</v>
      </c>
      <c r="BJ122" s="131">
        <f>VLOOKUP(A122,'2022_PAPI_Indicators'!A117:BI297,60,FALSE)</f>
        <v>1.4127250909805298</v>
      </c>
      <c r="BK122" s="131">
        <f>VLOOKUP(A122,'2022_PAPI_Indicators'!A117:BJ297,61,FALSE)</f>
        <v>1.212882399559021</v>
      </c>
      <c r="BL122" s="131">
        <f>VLOOKUP(A122,'2022_PAPI_Indicators'!A117:BK297,62,FALSE)</f>
        <v>1.3780530691146851</v>
      </c>
      <c r="BM122" s="131">
        <f>VLOOKUP(A122,'2022_PAPI_Indicators'!A117:BL297,63,FALSE)</f>
        <v>1.7965576648712158</v>
      </c>
      <c r="BN122" s="131">
        <f>VLOOKUP(A122,'2022_PAPI_Indicators'!A117:BM297,64,FALSE)</f>
        <v>1.4505795240402222</v>
      </c>
    </row>
    <row r="123" spans="1:66" x14ac:dyDescent="0.2">
      <c r="A123" s="70" t="s">
        <v>324</v>
      </c>
      <c r="B123" s="70" t="s">
        <v>325</v>
      </c>
      <c r="C123" s="89" t="s">
        <v>326</v>
      </c>
      <c r="D123" s="124">
        <f>VLOOKUP(A123,'2022_PAPI_Indicators'!A118:B298,2,)</f>
        <v>1</v>
      </c>
      <c r="E123" s="124">
        <f>VLOOKUP(A123,'2022_PAPI_Indicators'!A118:C298,3,FALSE)</f>
        <v>1</v>
      </c>
      <c r="F123" s="124">
        <f>VLOOKUP(A123,'2022_PAPI_Indicators'!A118:D298,4,FALSE)</f>
        <v>1</v>
      </c>
      <c r="G123" s="124">
        <f>VLOOKUP(A123,'2022_PAPI_Indicators'!A118:E298,5,FALSE)</f>
        <v>1</v>
      </c>
      <c r="H123" s="124">
        <f>VLOOKUP(A123,'2022_PAPI_Indicators'!A118:F298,6,FALSE)</f>
        <v>1.5</v>
      </c>
      <c r="I123" s="124">
        <f>VLOOKUP(A123,'2022_PAPI_Indicators'!A118:G298,7,FALSE)</f>
        <v>1</v>
      </c>
      <c r="J123" s="124">
        <f>VLOOKUP(A123,'2022_PAPI_Indicators'!A118:H298,8,FALSE)</f>
        <v>1</v>
      </c>
      <c r="K123" s="124">
        <f>VLOOKUP(A123,'2022_PAPI_Indicators'!A118:I298,9,FALSE)</f>
        <v>1</v>
      </c>
      <c r="L123" s="124">
        <f>VLOOKUP(A123,'2022_PAPI_Indicators'!A118:J298,10,FALSE)</f>
        <v>1</v>
      </c>
      <c r="M123" s="124">
        <f>VLOOKUP(A123,'2022_PAPI_Indicators'!A118:K298,11,FALSE)</f>
        <v>1</v>
      </c>
      <c r="N123" s="124">
        <f>VLOOKUP(A123,'2022_PAPI_Indicators'!A118:L298,12,FALSE)</f>
        <v>1</v>
      </c>
      <c r="O123" s="124">
        <f>VLOOKUP(A123,'2022_PAPI_Indicators'!A118:M298,13,FALSE)</f>
        <v>1</v>
      </c>
      <c r="P123" s="124">
        <f>VLOOKUP(A123,'2022_PAPI_Indicators'!A118:N298,14,FALSE)</f>
        <v>1</v>
      </c>
      <c r="Q123" s="124">
        <f>VLOOKUP(A123,'2022_PAPI_Indicators'!A118:O298,15,FALSE)</f>
        <v>0.5</v>
      </c>
      <c r="R123" s="125">
        <f>VLOOKUP(A123,'2022_PAPI_Indicators'!A118:P298,16,FALSE)</f>
        <v>1</v>
      </c>
      <c r="S123" s="124">
        <f>VLOOKUP(A123,'2022_PAPI_Indicators'!A118:R298,17,FALSE)</f>
        <v>1</v>
      </c>
      <c r="T123" s="124">
        <f>VLOOKUP(A123,'2022_PAPI_Indicators'!A118:S298,18,FALSE)</f>
        <v>1</v>
      </c>
      <c r="U123" s="125">
        <f>VLOOKUP(A123,'2022_PAPI_Indicators'!A118:T298,19,FALSE)</f>
        <v>1</v>
      </c>
      <c r="V123" s="124">
        <f>VLOOKUP(A123,'2022_PAPI_Indicators'!A118:U298,20,FALSE)</f>
        <v>0.89999997615814209</v>
      </c>
      <c r="W123" s="124">
        <f>VLOOKUP(A123,'2022_PAPI_Indicators'!A118:V298,21,FALSE)</f>
        <v>1</v>
      </c>
      <c r="X123" s="124">
        <f>VLOOKUP(A123,'2022_PAPI_Indicators'!A118:W298,22,FALSE)</f>
        <v>1</v>
      </c>
      <c r="Y123" s="124">
        <f>VLOOKUP(A123,'2022_PAPI_Indicators'!A118:X298,23,FALSE)</f>
        <v>0.85000002384185791</v>
      </c>
      <c r="Z123" s="124">
        <f>VLOOKUP(A123,'2022_PAPI_Indicators'!A118:Y298,24,FALSE)</f>
        <v>0.60000002384185791</v>
      </c>
      <c r="AA123" s="124">
        <f>VLOOKUP(A123,'2022_PAPI_Indicators'!A118:Z298,25,FALSE)</f>
        <v>1</v>
      </c>
      <c r="AB123" s="124">
        <f>VLOOKUP(A123,'2022_PAPI_Indicators'!A118:AA298,26,FALSE)</f>
        <v>1</v>
      </c>
      <c r="AC123" s="124">
        <f>VLOOKUP(A123,'2022_PAPI_Indicators'!A118:AB298,27,FALSE)</f>
        <v>1</v>
      </c>
      <c r="AD123" s="124">
        <f>VLOOKUP(A123,'2022_PAPI_Indicators'!A118:AC298,28,FALSE)</f>
        <v>1</v>
      </c>
      <c r="AE123" s="124">
        <f>VLOOKUP(A123,'2022_PAPI_Indicators'!A118:AD298,29,FALSE)</f>
        <v>0.5</v>
      </c>
      <c r="AF123" s="124">
        <f>VLOOKUP(A123,'2022_PAPI_Indicators'!A118:AE298,30,FALSE)</f>
        <v>1</v>
      </c>
      <c r="AG123" s="124">
        <f>VLOOKUP(A123,'2022_PAPI_Indicators'!A118:AF298,31,FALSE)</f>
        <v>1</v>
      </c>
      <c r="AH123" s="124">
        <f>VLOOKUP(A123,'2022_PAPI_Indicators'!A118:AG298,32,FALSE)</f>
        <v>1</v>
      </c>
      <c r="AI123" s="124">
        <f>VLOOKUP(A123,'2022_PAPI_Indicators'!A118:AH298,33,FALSE)</f>
        <v>1</v>
      </c>
      <c r="AJ123" s="124">
        <f>VLOOKUP(A123,'2022_PAPI_Indicators'!A118:AI298,34,FALSE)</f>
        <v>1</v>
      </c>
      <c r="AK123" s="124">
        <f>VLOOKUP(A123,'2022_PAPI_Indicators'!A118:AJ298,35,FALSE)</f>
        <v>1</v>
      </c>
      <c r="AL123" s="124">
        <f>VLOOKUP(A123,'2022_PAPI_Indicators'!A118:AK298,36,FALSE)</f>
        <v>1</v>
      </c>
      <c r="AM123" s="124">
        <f>VLOOKUP(A123,'2022_PAPI_Indicators'!A118:AL298,37,FALSE)</f>
        <v>1</v>
      </c>
      <c r="AN123" s="124">
        <f>VLOOKUP(A123,'2022_PAPI_Indicators'!A118:AM298,38,FALSE)</f>
        <v>1</v>
      </c>
      <c r="AO123" s="124">
        <f>VLOOKUP(A123,'2022_PAPI_Indicators'!A118:AN298,39,FALSE)</f>
        <v>1</v>
      </c>
      <c r="AP123" s="124">
        <f>VLOOKUP(A123,'2022_PAPI_Indicators'!A118:AO298,40,FALSE)</f>
        <v>1</v>
      </c>
      <c r="AQ123" s="124">
        <f>VLOOKUP(A123,'2022_PAPI_Indicators'!A118:AP298,41,FALSE)</f>
        <v>0.75</v>
      </c>
      <c r="AR123" s="124">
        <f>VLOOKUP(A123,'2022_PAPI_Indicators'!A118:AQ298,42,FALSE)</f>
        <v>1</v>
      </c>
      <c r="AS123" s="124">
        <f>VLOOKUP(A123,'2022_PAPI_Indicators'!A118:AR298,43,FALSE)</f>
        <v>1</v>
      </c>
      <c r="AT123" s="124">
        <f>VLOOKUP(A123,'2022_PAPI_Indicators'!A118:AS298,44,FALSE)</f>
        <v>1.3500000238418579</v>
      </c>
      <c r="AU123" s="124">
        <f>VLOOKUP(A123,'2022_PAPI_Indicators'!A118:AT298,45,FALSE)</f>
        <v>2</v>
      </c>
      <c r="AV123" s="124">
        <f>VLOOKUP(A123,'2022_PAPI_Indicators'!A118:AU298,46,FALSE)</f>
        <v>2</v>
      </c>
      <c r="AW123" s="124">
        <f>VLOOKUP(A123,'2022_PAPI_Indicators'!A118:AV298,47,FALSE)</f>
        <v>1</v>
      </c>
      <c r="AX123" s="124">
        <f>VLOOKUP(A123,'2022_PAPI_Indicators'!A118:AW298,48,FALSE)</f>
        <v>1</v>
      </c>
      <c r="AY123" s="124">
        <f>VLOOKUP(A123,'2022_PAPI_Indicators'!A118:AX298,49,FALSE)</f>
        <v>1</v>
      </c>
      <c r="AZ123" s="124">
        <f>VLOOKUP(A123,'2022_PAPI_Indicators'!A118:AY298,50,FALSE)</f>
        <v>1</v>
      </c>
      <c r="BA123" s="124">
        <f>VLOOKUP(A123,'2022_PAPI_Indicators'!A118:AZ298,51,FALSE)</f>
        <v>1</v>
      </c>
      <c r="BB123" s="124">
        <f>VLOOKUP(A123,'2022_PAPI_Indicators'!A118:BA298,52,FALSE)</f>
        <v>1</v>
      </c>
      <c r="BC123" s="124">
        <f>VLOOKUP(A123,'2022_PAPI_Indicators'!A118:BB298,53,FALSE)</f>
        <v>1</v>
      </c>
      <c r="BD123" s="124">
        <f>VLOOKUP(A123,'2022_PAPI_Indicators'!A118:BC298,54,FALSE)</f>
        <v>1</v>
      </c>
      <c r="BE123" s="124">
        <f>VLOOKUP(A123,'2022_PAPI_Indicators'!A118:BD298,55,FALSE)</f>
        <v>1</v>
      </c>
      <c r="BF123" s="124">
        <f>VLOOKUP(A123,'2022_PAPI_Indicators'!A118:BE298,56,FALSE)</f>
        <v>1</v>
      </c>
      <c r="BG123" s="124">
        <f>VLOOKUP(A123,'2022_PAPI_Indicators'!A118:BF298,57,FALSE)</f>
        <v>1</v>
      </c>
      <c r="BH123" s="124">
        <f>VLOOKUP(A123,'2022_PAPI_Indicators'!A118:BG298,58,FALSE)</f>
        <v>1</v>
      </c>
      <c r="BI123" s="124">
        <f>VLOOKUP(A123,'2022_PAPI_Indicators'!A118:BH298,59,FALSE)</f>
        <v>1</v>
      </c>
      <c r="BJ123" s="124">
        <f>VLOOKUP(A123,'2022_PAPI_Indicators'!A118:BI298,60,FALSE)</f>
        <v>1</v>
      </c>
      <c r="BK123" s="124">
        <f>VLOOKUP(A123,'2022_PAPI_Indicators'!A118:BJ298,61,FALSE)</f>
        <v>1.5</v>
      </c>
      <c r="BL123" s="124">
        <f>VLOOKUP(A123,'2022_PAPI_Indicators'!A118:BK298,62,FALSE)</f>
        <v>1</v>
      </c>
      <c r="BM123" s="124">
        <f>VLOOKUP(A123,'2022_PAPI_Indicators'!A118:BL298,63,FALSE)</f>
        <v>1</v>
      </c>
      <c r="BN123" s="124">
        <f>VLOOKUP(A123,'2022_PAPI_Indicators'!A118:BM298,64,FALSE)</f>
        <v>1</v>
      </c>
    </row>
    <row r="124" spans="1:66" x14ac:dyDescent="0.2">
      <c r="A124" s="70" t="s">
        <v>327</v>
      </c>
      <c r="B124" s="70" t="s">
        <v>328</v>
      </c>
      <c r="C124" s="89" t="s">
        <v>326</v>
      </c>
      <c r="D124" s="124">
        <f>VLOOKUP(A124,'2022_PAPI_Indicators'!A119:B299,2,)</f>
        <v>10</v>
      </c>
      <c r="E124" s="124">
        <f>VLOOKUP(A124,'2022_PAPI_Indicators'!A119:C299,3,FALSE)</f>
        <v>10</v>
      </c>
      <c r="F124" s="124">
        <f>VLOOKUP(A124,'2022_PAPI_Indicators'!A119:D299,4,FALSE)</f>
        <v>10</v>
      </c>
      <c r="G124" s="124">
        <f>VLOOKUP(A124,'2022_PAPI_Indicators'!A119:E299,5,FALSE)</f>
        <v>10</v>
      </c>
      <c r="H124" s="124">
        <f>VLOOKUP(A124,'2022_PAPI_Indicators'!A119:F299,6,FALSE)</f>
        <v>10</v>
      </c>
      <c r="I124" s="124">
        <f>VLOOKUP(A124,'2022_PAPI_Indicators'!A119:G299,7,FALSE)</f>
        <v>9</v>
      </c>
      <c r="J124" s="124">
        <f>VLOOKUP(A124,'2022_PAPI_Indicators'!A119:H299,8,FALSE)</f>
        <v>10</v>
      </c>
      <c r="K124" s="124">
        <f>VLOOKUP(A124,'2022_PAPI_Indicators'!A119:I299,9,FALSE)</f>
        <v>5</v>
      </c>
      <c r="L124" s="124">
        <f>VLOOKUP(A124,'2022_PAPI_Indicators'!A119:J299,10,FALSE)</f>
        <v>10</v>
      </c>
      <c r="M124" s="124">
        <f>VLOOKUP(A124,'2022_PAPI_Indicators'!A119:K299,11,FALSE)</f>
        <v>10</v>
      </c>
      <c r="N124" s="124">
        <f>VLOOKUP(A124,'2022_PAPI_Indicators'!A119:L299,12,FALSE)</f>
        <v>7</v>
      </c>
      <c r="O124" s="124">
        <f>VLOOKUP(A124,'2022_PAPI_Indicators'!A119:M299,13,FALSE)</f>
        <v>7</v>
      </c>
      <c r="P124" s="124">
        <f>VLOOKUP(A124,'2022_PAPI_Indicators'!A119:N299,14,FALSE)</f>
        <v>5</v>
      </c>
      <c r="Q124" s="124">
        <f>VLOOKUP(A124,'2022_PAPI_Indicators'!A119:O299,15,FALSE)</f>
        <v>7</v>
      </c>
      <c r="R124" s="125">
        <f>VLOOKUP(A124,'2022_PAPI_Indicators'!A119:P299,16,FALSE)</f>
        <v>7</v>
      </c>
      <c r="S124" s="124">
        <f>VLOOKUP(A124,'2022_PAPI_Indicators'!A119:R299,17,FALSE)</f>
        <v>10</v>
      </c>
      <c r="T124" s="124">
        <f>VLOOKUP(A124,'2022_PAPI_Indicators'!A119:S299,18,FALSE)</f>
        <v>5</v>
      </c>
      <c r="U124" s="125">
        <f>VLOOKUP(A124,'2022_PAPI_Indicators'!A119:T299,19,FALSE)</f>
        <v>7</v>
      </c>
      <c r="V124" s="124">
        <f>VLOOKUP(A124,'2022_PAPI_Indicators'!A119:U299,20,FALSE)</f>
        <v>7</v>
      </c>
      <c r="W124" s="124">
        <f>VLOOKUP(A124,'2022_PAPI_Indicators'!A119:V299,21,FALSE)</f>
        <v>10</v>
      </c>
      <c r="X124" s="124">
        <f>VLOOKUP(A124,'2022_PAPI_Indicators'!A119:W299,22,FALSE)</f>
        <v>10</v>
      </c>
      <c r="Y124" s="124">
        <f>VLOOKUP(A124,'2022_PAPI_Indicators'!A119:X299,23,FALSE)</f>
        <v>5</v>
      </c>
      <c r="Z124" s="124">
        <f>VLOOKUP(A124,'2022_PAPI_Indicators'!A119:Y299,24,FALSE)</f>
        <v>10</v>
      </c>
      <c r="AA124" s="124">
        <f>VLOOKUP(A124,'2022_PAPI_Indicators'!A119:Z299,25,FALSE)</f>
        <v>10</v>
      </c>
      <c r="AB124" s="124">
        <f>VLOOKUP(A124,'2022_PAPI_Indicators'!A119:AA299,26,FALSE)</f>
        <v>10</v>
      </c>
      <c r="AC124" s="124">
        <f>VLOOKUP(A124,'2022_PAPI_Indicators'!A119:AB299,27,FALSE)</f>
        <v>6</v>
      </c>
      <c r="AD124" s="124">
        <f>VLOOKUP(A124,'2022_PAPI_Indicators'!A119:AC299,28,FALSE)</f>
        <v>7</v>
      </c>
      <c r="AE124" s="124">
        <f>VLOOKUP(A124,'2022_PAPI_Indicators'!A119:AD299,29,FALSE)</f>
        <v>5</v>
      </c>
      <c r="AF124" s="124">
        <f>VLOOKUP(A124,'2022_PAPI_Indicators'!A119:AE299,30,FALSE)</f>
        <v>10</v>
      </c>
      <c r="AG124" s="124">
        <f>VLOOKUP(A124,'2022_PAPI_Indicators'!A119:AF299,31,FALSE)</f>
        <v>8.75</v>
      </c>
      <c r="AH124" s="124">
        <f>VLOOKUP(A124,'2022_PAPI_Indicators'!A119:AG299,32,FALSE)</f>
        <v>7</v>
      </c>
      <c r="AI124" s="124">
        <f>VLOOKUP(A124,'2022_PAPI_Indicators'!A119:AH299,33,FALSE)</f>
        <v>5</v>
      </c>
      <c r="AJ124" s="124">
        <f>VLOOKUP(A124,'2022_PAPI_Indicators'!A119:AI299,34,FALSE)</f>
        <v>5</v>
      </c>
      <c r="AK124" s="124">
        <f>VLOOKUP(A124,'2022_PAPI_Indicators'!A119:AJ299,35,FALSE)</f>
        <v>5</v>
      </c>
      <c r="AL124" s="124">
        <f>VLOOKUP(A124,'2022_PAPI_Indicators'!A119:AK299,36,FALSE)</f>
        <v>5</v>
      </c>
      <c r="AM124" s="124">
        <f>VLOOKUP(A124,'2022_PAPI_Indicators'!A119:AL299,37,FALSE)</f>
        <v>5</v>
      </c>
      <c r="AN124" s="124">
        <f>VLOOKUP(A124,'2022_PAPI_Indicators'!A119:AM299,38,FALSE)</f>
        <v>5</v>
      </c>
      <c r="AO124" s="124">
        <f>VLOOKUP(A124,'2022_PAPI_Indicators'!A119:AN299,39,FALSE)</f>
        <v>5</v>
      </c>
      <c r="AP124" s="124">
        <f>VLOOKUP(A124,'2022_PAPI_Indicators'!A119:AO299,40,FALSE)</f>
        <v>6</v>
      </c>
      <c r="AQ124" s="124">
        <f>VLOOKUP(A124,'2022_PAPI_Indicators'!A119:AP299,41,FALSE)</f>
        <v>6</v>
      </c>
      <c r="AR124" s="124">
        <f>VLOOKUP(A124,'2022_PAPI_Indicators'!A119:AQ299,42,FALSE)</f>
        <v>10</v>
      </c>
      <c r="AS124" s="124">
        <f>VLOOKUP(A124,'2022_PAPI_Indicators'!A119:AR299,43,FALSE)</f>
        <v>5</v>
      </c>
      <c r="AT124" s="124">
        <f>VLOOKUP(A124,'2022_PAPI_Indicators'!A119:AS299,44,FALSE)</f>
        <v>10</v>
      </c>
      <c r="AU124" s="124">
        <f>VLOOKUP(A124,'2022_PAPI_Indicators'!A119:AT299,45,FALSE)</f>
        <v>10</v>
      </c>
      <c r="AV124" s="124">
        <f>VLOOKUP(A124,'2022_PAPI_Indicators'!A119:AU299,46,FALSE)</f>
        <v>10</v>
      </c>
      <c r="AW124" s="124">
        <f>VLOOKUP(A124,'2022_PAPI_Indicators'!A119:AV299,47,FALSE)</f>
        <v>5</v>
      </c>
      <c r="AX124" s="124">
        <f>VLOOKUP(A124,'2022_PAPI_Indicators'!A119:AW299,48,FALSE)</f>
        <v>5</v>
      </c>
      <c r="AY124" s="124">
        <f>VLOOKUP(A124,'2022_PAPI_Indicators'!A119:AX299,49,FALSE)</f>
        <v>5</v>
      </c>
      <c r="AZ124" s="124">
        <f>VLOOKUP(A124,'2022_PAPI_Indicators'!A119:AY299,50,FALSE)</f>
        <v>5</v>
      </c>
      <c r="BA124" s="124">
        <f>VLOOKUP(A124,'2022_PAPI_Indicators'!A119:AZ299,51,FALSE)</f>
        <v>8</v>
      </c>
      <c r="BB124" s="124">
        <f>VLOOKUP(A124,'2022_PAPI_Indicators'!A119:BA299,52,FALSE)</f>
        <v>10</v>
      </c>
      <c r="BC124" s="124">
        <f>VLOOKUP(A124,'2022_PAPI_Indicators'!A119:BB299,53,FALSE)</f>
        <v>10</v>
      </c>
      <c r="BD124" s="124">
        <f>VLOOKUP(A124,'2022_PAPI_Indicators'!A119:BC299,54,FALSE)</f>
        <v>5</v>
      </c>
      <c r="BE124" s="124">
        <f>VLOOKUP(A124,'2022_PAPI_Indicators'!A119:BD299,55,FALSE)</f>
        <v>5</v>
      </c>
      <c r="BF124" s="124">
        <f>VLOOKUP(A124,'2022_PAPI_Indicators'!A119:BE299,56,FALSE)</f>
        <v>5</v>
      </c>
      <c r="BG124" s="124">
        <f>VLOOKUP(A124,'2022_PAPI_Indicators'!A119:BF299,57,FALSE)</f>
        <v>10</v>
      </c>
      <c r="BH124" s="124">
        <f>VLOOKUP(A124,'2022_PAPI_Indicators'!A119:BG299,58,FALSE)</f>
        <v>10</v>
      </c>
      <c r="BI124" s="124">
        <f>VLOOKUP(A124,'2022_PAPI_Indicators'!A119:BH299,59,FALSE)</f>
        <v>10</v>
      </c>
      <c r="BJ124" s="124">
        <f>VLOOKUP(A124,'2022_PAPI_Indicators'!A119:BI299,60,FALSE)</f>
        <v>10</v>
      </c>
      <c r="BK124" s="124">
        <f>VLOOKUP(A124,'2022_PAPI_Indicators'!A119:BJ299,61,FALSE)</f>
        <v>10</v>
      </c>
      <c r="BL124" s="124">
        <f>VLOOKUP(A124,'2022_PAPI_Indicators'!A119:BK299,62,FALSE)</f>
        <v>10</v>
      </c>
      <c r="BM124" s="124">
        <f>VLOOKUP(A124,'2022_PAPI_Indicators'!A119:BL299,63,FALSE)</f>
        <v>7</v>
      </c>
      <c r="BN124" s="124">
        <f>VLOOKUP(A124,'2022_PAPI_Indicators'!A119:BM299,64,FALSE)</f>
        <v>10</v>
      </c>
    </row>
    <row r="125" spans="1:66" x14ac:dyDescent="0.2">
      <c r="A125" s="70" t="s">
        <v>329</v>
      </c>
      <c r="B125" s="70" t="s">
        <v>330</v>
      </c>
      <c r="C125" s="89" t="s">
        <v>245</v>
      </c>
      <c r="D125" s="124">
        <f>VLOOKUP(A125,'2022_PAPI_Indicators'!A120:B300,2,)</f>
        <v>4.161837100982666</v>
      </c>
      <c r="E125" s="124">
        <f>VLOOKUP(A125,'2022_PAPI_Indicators'!A120:C300,3,FALSE)</f>
        <v>4.1860241889953613</v>
      </c>
      <c r="F125" s="124">
        <f>VLOOKUP(A125,'2022_PAPI_Indicators'!A120:D300,4,FALSE)</f>
        <v>4.0267515182495117</v>
      </c>
      <c r="G125" s="124">
        <f>VLOOKUP(A125,'2022_PAPI_Indicators'!A120:E300,5,FALSE)</f>
        <v>4.0523271560668945</v>
      </c>
      <c r="H125" s="124">
        <f>VLOOKUP(A125,'2022_PAPI_Indicators'!A120:F300,6,FALSE)</f>
        <v>4.1127943992614746</v>
      </c>
      <c r="I125" s="124">
        <f>VLOOKUP(A125,'2022_PAPI_Indicators'!A120:G300,7,FALSE)</f>
        <v>3.8474993705749512</v>
      </c>
      <c r="J125" s="124">
        <f>VLOOKUP(A125,'2022_PAPI_Indicators'!A120:H300,8,FALSE)</f>
        <v>3.7741634845733643</v>
      </c>
      <c r="K125" s="124">
        <f>VLOOKUP(A125,'2022_PAPI_Indicators'!A120:I300,9,FALSE)</f>
        <v>4.0257658958435059</v>
      </c>
      <c r="L125" s="124">
        <f>VLOOKUP(A125,'2022_PAPI_Indicators'!A120:J300,10,FALSE)</f>
        <v>4.0454154014587402</v>
      </c>
      <c r="M125" s="124">
        <f>VLOOKUP(A125,'2022_PAPI_Indicators'!A120:K300,11,FALSE)</f>
        <v>4.1382293701171875</v>
      </c>
      <c r="N125" s="124">
        <f>VLOOKUP(A125,'2022_PAPI_Indicators'!A120:L300,12,FALSE)</f>
        <v>4.0256233215332031</v>
      </c>
      <c r="O125" s="124">
        <f>VLOOKUP(A125,'2022_PAPI_Indicators'!A120:M300,13,FALSE)</f>
        <v>4.1809468269348145</v>
      </c>
      <c r="P125" s="124">
        <f>VLOOKUP(A125,'2022_PAPI_Indicators'!A120:N300,14,FALSE)</f>
        <v>4.1033353805541992</v>
      </c>
      <c r="Q125" s="124">
        <f>VLOOKUP(A125,'2022_PAPI_Indicators'!A120:O300,15,FALSE)</f>
        <v>4.3135371208190918</v>
      </c>
      <c r="R125" s="125">
        <f>VLOOKUP(A125,'2022_PAPI_Indicators'!A120:P300,16,FALSE)</f>
        <v>4.4572033882141113</v>
      </c>
      <c r="S125" s="124">
        <f>VLOOKUP(A125,'2022_PAPI_Indicators'!A120:R300,17,FALSE)</f>
        <v>4.3227696418762207</v>
      </c>
      <c r="T125" s="124">
        <f>VLOOKUP(A125,'2022_PAPI_Indicators'!A120:S300,18,FALSE)</f>
        <v>4.3361673355102539</v>
      </c>
      <c r="U125" s="125">
        <f>VLOOKUP(A125,'2022_PAPI_Indicators'!A120:T300,19,FALSE)</f>
        <v>4.3928556442260742</v>
      </c>
      <c r="V125" s="124">
        <f>VLOOKUP(A125,'2022_PAPI_Indicators'!A120:U300,20,FALSE)</f>
        <v>4.1083989143371582</v>
      </c>
      <c r="W125" s="124">
        <f>VLOOKUP(A125,'2022_PAPI_Indicators'!A120:V300,21,FALSE)</f>
        <v>4.0959358215332031</v>
      </c>
      <c r="X125" s="124">
        <f>VLOOKUP(A125,'2022_PAPI_Indicators'!A120:W300,22,FALSE)</f>
        <v>4.1494102478027344</v>
      </c>
      <c r="Y125" s="124">
        <f>VLOOKUP(A125,'2022_PAPI_Indicators'!A120:X300,23,FALSE)</f>
        <v>4.0975813865661621</v>
      </c>
      <c r="Z125" s="124">
        <f>VLOOKUP(A125,'2022_PAPI_Indicators'!A120:Y300,24,FALSE)</f>
        <v>4.1037869453430176</v>
      </c>
      <c r="AA125" s="124">
        <f>VLOOKUP(A125,'2022_PAPI_Indicators'!A120:Z300,25,FALSE)</f>
        <v>4.4366359710693359</v>
      </c>
      <c r="AB125" s="124">
        <f>VLOOKUP(A125,'2022_PAPI_Indicators'!A120:AA300,26,FALSE)</f>
        <v>4.2595815658569336</v>
      </c>
      <c r="AC125" s="124">
        <f>VLOOKUP(A125,'2022_PAPI_Indicators'!A120:AB300,27,FALSE)</f>
        <v>4.2989516258239746</v>
      </c>
      <c r="AD125" s="124">
        <f>VLOOKUP(A125,'2022_PAPI_Indicators'!A120:AC300,28,FALSE)</f>
        <v>4.1552248001098633</v>
      </c>
      <c r="AE125" s="124">
        <f>VLOOKUP(A125,'2022_PAPI_Indicators'!A120:AD300,29,FALSE)</f>
        <v>4.0440702438354492</v>
      </c>
      <c r="AF125" s="124">
        <f>VLOOKUP(A125,'2022_PAPI_Indicators'!A120:AE300,30,FALSE)</f>
        <v>4.2457036972045898</v>
      </c>
      <c r="AG125" s="124">
        <f>VLOOKUP(A125,'2022_PAPI_Indicators'!A120:AF300,31,FALSE)</f>
        <v>4.0335869789123535</v>
      </c>
      <c r="AH125" s="124">
        <f>VLOOKUP(A125,'2022_PAPI_Indicators'!A120:AG300,32,FALSE)</f>
        <v>4.2438087463378906</v>
      </c>
      <c r="AI125" s="124">
        <f>VLOOKUP(A125,'2022_PAPI_Indicators'!A120:AH300,33,FALSE)</f>
        <v>4.076934814453125</v>
      </c>
      <c r="AJ125" s="124">
        <f>VLOOKUP(A125,'2022_PAPI_Indicators'!A120:AI300,34,FALSE)</f>
        <v>4.187678337097168</v>
      </c>
      <c r="AK125" s="124">
        <f>VLOOKUP(A125,'2022_PAPI_Indicators'!A120:AJ300,35,FALSE)</f>
        <v>4.128288745880127</v>
      </c>
      <c r="AL125" s="124">
        <f>VLOOKUP(A125,'2022_PAPI_Indicators'!A120:AK300,36,FALSE)</f>
        <v>3.969264030456543</v>
      </c>
      <c r="AM125" s="124">
        <f>VLOOKUP(A125,'2022_PAPI_Indicators'!A120:AL300,37,FALSE)</f>
        <v>4.2752575874328613</v>
      </c>
      <c r="AN125" s="124">
        <f>VLOOKUP(A125,'2022_PAPI_Indicators'!A120:AM300,38,FALSE)</f>
        <v>4.214667797088623</v>
      </c>
      <c r="AO125" s="124">
        <f>VLOOKUP(A125,'2022_PAPI_Indicators'!A120:AN300,39,FALSE)</f>
        <v>4.4727573394775391</v>
      </c>
      <c r="AP125" s="124">
        <f>VLOOKUP(A125,'2022_PAPI_Indicators'!A120:AO300,40,FALSE)</f>
        <v>4.3662419319152832</v>
      </c>
      <c r="AQ125" s="124">
        <f>VLOOKUP(A125,'2022_PAPI_Indicators'!A120:AP300,41,FALSE)</f>
        <v>4.0903124809265137</v>
      </c>
      <c r="AR125" s="124">
        <f>VLOOKUP(A125,'2022_PAPI_Indicators'!A120:AQ300,42,FALSE)</f>
        <v>3.8833024501800537</v>
      </c>
      <c r="AS125" s="124">
        <f>VLOOKUP(A125,'2022_PAPI_Indicators'!A120:AR300,43,FALSE)</f>
        <v>4.3294425010681152</v>
      </c>
      <c r="AT125" s="124">
        <f>VLOOKUP(A125,'2022_PAPI_Indicators'!A120:AS300,44,FALSE)</f>
        <v>3.8959910869598389</v>
      </c>
      <c r="AU125" s="124">
        <f>VLOOKUP(A125,'2022_PAPI_Indicators'!A120:AT300,45,FALSE)</f>
        <v>4.1548213958740234</v>
      </c>
      <c r="AV125" s="124">
        <f>VLOOKUP(A125,'2022_PAPI_Indicators'!A120:AU300,46,FALSE)</f>
        <v>4.3059229850769043</v>
      </c>
      <c r="AW125" s="124">
        <f>VLOOKUP(A125,'2022_PAPI_Indicators'!A120:AV300,47,FALSE)</f>
        <v>4.110140323638916</v>
      </c>
      <c r="AX125" s="124">
        <f>VLOOKUP(A125,'2022_PAPI_Indicators'!A120:AW300,48,FALSE)</f>
        <v>4.4124069213867188</v>
      </c>
      <c r="AY125" s="124">
        <f>VLOOKUP(A125,'2022_PAPI_Indicators'!A120:AX300,49,FALSE)</f>
        <v>4.1999626159667969</v>
      </c>
      <c r="AZ125" s="124">
        <f>VLOOKUP(A125,'2022_PAPI_Indicators'!A120:AY300,50,FALSE)</f>
        <v>4.0343513488769531</v>
      </c>
      <c r="BA125" s="124">
        <f>VLOOKUP(A125,'2022_PAPI_Indicators'!A120:AZ300,51,FALSE)</f>
        <v>4.253511905670166</v>
      </c>
      <c r="BB125" s="124">
        <f>VLOOKUP(A125,'2022_PAPI_Indicators'!A120:BA300,52,FALSE)</f>
        <v>3.9906325340270996</v>
      </c>
      <c r="BC125" s="124">
        <f>VLOOKUP(A125,'2022_PAPI_Indicators'!A120:BB300,53,FALSE)</f>
        <v>4.298497200012207</v>
      </c>
      <c r="BD125" s="124">
        <f>VLOOKUP(A125,'2022_PAPI_Indicators'!A120:BC300,54,FALSE)</f>
        <v>4.304389476776123</v>
      </c>
      <c r="BE125" s="124">
        <f>VLOOKUP(A125,'2022_PAPI_Indicators'!A120:BD300,55,FALSE)</f>
        <v>4.2485141754150391</v>
      </c>
      <c r="BF125" s="124">
        <f>VLOOKUP(A125,'2022_PAPI_Indicators'!A120:BE300,56,FALSE)</f>
        <v>4.4396061897277832</v>
      </c>
      <c r="BG125" s="124">
        <f>VLOOKUP(A125,'2022_PAPI_Indicators'!A120:BF300,57,FALSE)</f>
        <v>4.23406982421875</v>
      </c>
      <c r="BH125" s="124">
        <f>VLOOKUP(A125,'2022_PAPI_Indicators'!A120:BG300,58,FALSE)</f>
        <v>4.2549419403076172</v>
      </c>
      <c r="BI125" s="124">
        <f>VLOOKUP(A125,'2022_PAPI_Indicators'!A120:BH300,59,FALSE)</f>
        <v>4.3184337615966797</v>
      </c>
      <c r="BJ125" s="124">
        <f>VLOOKUP(A125,'2022_PAPI_Indicators'!A120:BI300,60,FALSE)</f>
        <v>4.2458128929138184</v>
      </c>
      <c r="BK125" s="124">
        <f>VLOOKUP(A125,'2022_PAPI_Indicators'!A120:BJ300,61,FALSE)</f>
        <v>4.3365707397460938</v>
      </c>
      <c r="BL125" s="124">
        <f>VLOOKUP(A125,'2022_PAPI_Indicators'!A120:BK300,62,FALSE)</f>
        <v>4.2685399055480957</v>
      </c>
      <c r="BM125" s="124">
        <f>VLOOKUP(A125,'2022_PAPI_Indicators'!A120:BL300,63,FALSE)</f>
        <v>4.4835224151611328</v>
      </c>
      <c r="BN125" s="124">
        <f>VLOOKUP(A125,'2022_PAPI_Indicators'!A120:BM300,64,FALSE)</f>
        <v>4.2803335189819336</v>
      </c>
    </row>
    <row r="126" spans="1:66" x14ac:dyDescent="0.2">
      <c r="A126" s="70" t="s">
        <v>331</v>
      </c>
      <c r="B126" s="70" t="s">
        <v>332</v>
      </c>
      <c r="C126" s="89" t="s">
        <v>333</v>
      </c>
      <c r="D126" s="124">
        <f>VLOOKUP(A126,'2022_PAPI_Indicators'!A121:B301,2,)</f>
        <v>4.861872673034668</v>
      </c>
      <c r="E126" s="124">
        <f>VLOOKUP(A126,'2022_PAPI_Indicators'!A121:C301,3,FALSE)</f>
        <v>4.741325855255127</v>
      </c>
      <c r="F126" s="124">
        <f>VLOOKUP(A126,'2022_PAPI_Indicators'!A121:D301,4,FALSE)</f>
        <v>4.5324029922485352</v>
      </c>
      <c r="G126" s="124">
        <f>VLOOKUP(A126,'2022_PAPI_Indicators'!A121:E301,5,FALSE)</f>
        <v>4.9248933792114258</v>
      </c>
      <c r="H126" s="124">
        <f>VLOOKUP(A126,'2022_PAPI_Indicators'!A121:F301,6,FALSE)</f>
        <v>5.7216372489929199</v>
      </c>
      <c r="I126" s="124">
        <f>VLOOKUP(A126,'2022_PAPI_Indicators'!A121:G301,7,FALSE)</f>
        <v>4.9536194801330566</v>
      </c>
      <c r="J126" s="124">
        <f>VLOOKUP(A126,'2022_PAPI_Indicators'!A121:H301,8,FALSE)</f>
        <v>4.413853645324707</v>
      </c>
      <c r="K126" s="124">
        <f>VLOOKUP(A126,'2022_PAPI_Indicators'!A121:I301,9,FALSE)</f>
        <v>4.7405014038085938</v>
      </c>
      <c r="L126" s="124">
        <f>VLOOKUP(A126,'2022_PAPI_Indicators'!A121:J301,10,FALSE)</f>
        <v>5.2994146347045898</v>
      </c>
      <c r="M126" s="124">
        <f>VLOOKUP(A126,'2022_PAPI_Indicators'!A121:K301,11,FALSE)</f>
        <v>4.9622282981872559</v>
      </c>
      <c r="N126" s="124">
        <f>VLOOKUP(A126,'2022_PAPI_Indicators'!A121:L301,12,FALSE)</f>
        <v>4.2186107635498047</v>
      </c>
      <c r="O126" s="124">
        <f>VLOOKUP(A126,'2022_PAPI_Indicators'!A121:M301,13,FALSE)</f>
        <v>5.8005080223083496</v>
      </c>
      <c r="P126" s="124">
        <f>VLOOKUP(A126,'2022_PAPI_Indicators'!A121:N301,14,FALSE)</f>
        <v>4.9715409278869629</v>
      </c>
      <c r="Q126" s="124">
        <f>VLOOKUP(A126,'2022_PAPI_Indicators'!A121:O301,15,FALSE)</f>
        <v>5.4294610023498535</v>
      </c>
      <c r="R126" s="125">
        <f>VLOOKUP(A126,'2022_PAPI_Indicators'!A121:P301,16,FALSE)</f>
        <v>6.2817091941833496</v>
      </c>
      <c r="S126" s="124">
        <f>VLOOKUP(A126,'2022_PAPI_Indicators'!A121:R301,17,FALSE)</f>
        <v>5.719573974609375</v>
      </c>
      <c r="T126" s="124">
        <f>VLOOKUP(A126,'2022_PAPI_Indicators'!A121:S301,18,FALSE)</f>
        <v>5.5285968780517578</v>
      </c>
      <c r="U126" s="125">
        <f>VLOOKUP(A126,'2022_PAPI_Indicators'!A121:T301,19,FALSE)</f>
        <v>4.8550853729248047</v>
      </c>
      <c r="V126" s="124">
        <f>VLOOKUP(A126,'2022_PAPI_Indicators'!A121:U301,20,FALSE)</f>
        <v>5.8312249183654785</v>
      </c>
      <c r="W126" s="124">
        <f>VLOOKUP(A126,'2022_PAPI_Indicators'!A121:V301,21,FALSE)</f>
        <v>5.3215427398681641</v>
      </c>
      <c r="X126" s="124">
        <f>VLOOKUP(A126,'2022_PAPI_Indicators'!A121:W301,22,FALSE)</f>
        <v>5.4479422569274902</v>
      </c>
      <c r="Y126" s="124">
        <f>VLOOKUP(A126,'2022_PAPI_Indicators'!A121:X301,23,FALSE)</f>
        <v>5.4464311599731445</v>
      </c>
      <c r="Z126" s="124">
        <f>VLOOKUP(A126,'2022_PAPI_Indicators'!A121:Y301,24,FALSE)</f>
        <v>5.1419062614440918</v>
      </c>
      <c r="AA126" s="124">
        <f>VLOOKUP(A126,'2022_PAPI_Indicators'!A121:Z301,25,FALSE)</f>
        <v>4.7509617805480957</v>
      </c>
      <c r="AB126" s="124">
        <f>VLOOKUP(A126,'2022_PAPI_Indicators'!A121:AA301,26,FALSE)</f>
        <v>4.3298673629760742</v>
      </c>
      <c r="AC126" s="124">
        <f>VLOOKUP(A126,'2022_PAPI_Indicators'!A121:AB301,27,FALSE)</f>
        <v>5.0030879974365234</v>
      </c>
      <c r="AD126" s="124">
        <f>VLOOKUP(A126,'2022_PAPI_Indicators'!A121:AC301,28,FALSE)</f>
        <v>4.9574823379516602</v>
      </c>
      <c r="AE126" s="124">
        <f>VLOOKUP(A126,'2022_PAPI_Indicators'!A121:AD301,29,FALSE)</f>
        <v>4.6433601379394531</v>
      </c>
      <c r="AF126" s="124">
        <f>VLOOKUP(A126,'2022_PAPI_Indicators'!A121:AE301,30,FALSE)</f>
        <v>5.4521722793579102</v>
      </c>
      <c r="AG126" s="124">
        <f>VLOOKUP(A126,'2022_PAPI_Indicators'!A121:AF301,31,FALSE)</f>
        <v>5.1087594032287598</v>
      </c>
      <c r="AH126" s="124">
        <f>VLOOKUP(A126,'2022_PAPI_Indicators'!A121:AG301,32,FALSE)</f>
        <v>4.8142294883728027</v>
      </c>
      <c r="AI126" s="124">
        <f>VLOOKUP(A126,'2022_PAPI_Indicators'!A121:AH301,33,FALSE)</f>
        <v>4.6175732612609863</v>
      </c>
      <c r="AJ126" s="124">
        <f>VLOOKUP(A126,'2022_PAPI_Indicators'!A121:AI301,34,FALSE)</f>
        <v>4.936741828918457</v>
      </c>
      <c r="AK126" s="124">
        <f>VLOOKUP(A126,'2022_PAPI_Indicators'!A121:AJ301,35,FALSE)</f>
        <v>4.2382221221923828</v>
      </c>
      <c r="AL126" s="124">
        <f>VLOOKUP(A126,'2022_PAPI_Indicators'!A121:AK301,36,FALSE)</f>
        <v>5.3583335876464844</v>
      </c>
      <c r="AM126" s="124">
        <f>VLOOKUP(A126,'2022_PAPI_Indicators'!A121:AL301,37,FALSE)</f>
        <v>5.0406465530395508</v>
      </c>
      <c r="AN126" s="124">
        <f>VLOOKUP(A126,'2022_PAPI_Indicators'!A121:AM301,38,FALSE)</f>
        <v>4.9741511344909668</v>
      </c>
      <c r="AO126" s="124">
        <f>VLOOKUP(A126,'2022_PAPI_Indicators'!A121:AN301,39,FALSE)</f>
        <v>4.7784743309020996</v>
      </c>
      <c r="AP126" s="124">
        <f>VLOOKUP(A126,'2022_PAPI_Indicators'!A121:AO301,40,FALSE)</f>
        <v>3.6000063419342041</v>
      </c>
      <c r="AQ126" s="124">
        <f>VLOOKUP(A126,'2022_PAPI_Indicators'!A121:AP301,41,FALSE)</f>
        <v>4.9012084007263184</v>
      </c>
      <c r="AR126" s="124">
        <f>VLOOKUP(A126,'2022_PAPI_Indicators'!A121:AQ301,42,FALSE)</f>
        <v>4.7978014945983887</v>
      </c>
      <c r="AS126" s="124">
        <f>VLOOKUP(A126,'2022_PAPI_Indicators'!A121:AR301,43,FALSE)</f>
        <v>4.5342612266540527</v>
      </c>
      <c r="AT126" s="124">
        <f>VLOOKUP(A126,'2022_PAPI_Indicators'!A121:AS301,44,FALSE)</f>
        <v>4.350832462310791</v>
      </c>
      <c r="AU126" s="124">
        <f>VLOOKUP(A126,'2022_PAPI_Indicators'!A121:AT301,45,FALSE)</f>
        <v>4.8655967712402344</v>
      </c>
      <c r="AV126" s="124">
        <f>VLOOKUP(A126,'2022_PAPI_Indicators'!A121:AU301,46,FALSE)</f>
        <v>3.2147259712219238</v>
      </c>
      <c r="AW126" s="124">
        <f>VLOOKUP(A126,'2022_PAPI_Indicators'!A121:AV301,47,FALSE)</f>
        <v>4.3869051933288574</v>
      </c>
      <c r="AX126" s="124">
        <f>VLOOKUP(A126,'2022_PAPI_Indicators'!A121:AW301,48,FALSE)</f>
        <v>4.9820766448974609</v>
      </c>
      <c r="AY126" s="124">
        <f>VLOOKUP(A126,'2022_PAPI_Indicators'!A121:AX301,49,FALSE)</f>
        <v>4.4142870903015137</v>
      </c>
      <c r="AZ126" s="124">
        <f>VLOOKUP(A126,'2022_PAPI_Indicators'!A121:AY301,50,FALSE)</f>
        <v>3.8757693767547607</v>
      </c>
      <c r="BA126" s="124">
        <f>VLOOKUP(A126,'2022_PAPI_Indicators'!A121:AZ301,51,FALSE)</f>
        <v>4.8394303321838379</v>
      </c>
      <c r="BB126" s="124">
        <f>VLOOKUP(A126,'2022_PAPI_Indicators'!A121:BA301,52,FALSE)</f>
        <v>3.8792333602905273</v>
      </c>
      <c r="BC126" s="124">
        <f>VLOOKUP(A126,'2022_PAPI_Indicators'!A121:BB301,53,FALSE)</f>
        <v>4.5351510047912598</v>
      </c>
      <c r="BD126" s="124">
        <f>VLOOKUP(A126,'2022_PAPI_Indicators'!A121:BC301,54,FALSE)</f>
        <v>4.194490909576416</v>
      </c>
      <c r="BE126" s="124">
        <f>VLOOKUP(A126,'2022_PAPI_Indicators'!A121:BD301,55,FALSE)</f>
        <v>5.5852847099304199</v>
      </c>
      <c r="BF126" s="124">
        <f>VLOOKUP(A126,'2022_PAPI_Indicators'!A121:BE301,56,FALSE)</f>
        <v>4.2772941589355469</v>
      </c>
      <c r="BG126" s="124">
        <f>VLOOKUP(A126,'2022_PAPI_Indicators'!A121:BF301,57,FALSE)</f>
        <v>3.423109769821167</v>
      </c>
      <c r="BH126" s="124">
        <f>VLOOKUP(A126,'2022_PAPI_Indicators'!A121:BG301,58,FALSE)</f>
        <v>4.7433538436889648</v>
      </c>
      <c r="BI126" s="124">
        <f>VLOOKUP(A126,'2022_PAPI_Indicators'!A121:BH301,59,FALSE)</f>
        <v>4.1685986518859863</v>
      </c>
      <c r="BJ126" s="124">
        <f>VLOOKUP(A126,'2022_PAPI_Indicators'!A121:BI301,60,FALSE)</f>
        <v>4.750004768371582</v>
      </c>
      <c r="BK126" s="124">
        <f>VLOOKUP(A126,'2022_PAPI_Indicators'!A121:BJ301,61,FALSE)</f>
        <v>4.3524394035339355</v>
      </c>
      <c r="BL126" s="124">
        <f>VLOOKUP(A126,'2022_PAPI_Indicators'!A121:BK301,62,FALSE)</f>
        <v>4.0718479156494141</v>
      </c>
      <c r="BM126" s="124">
        <f>VLOOKUP(A126,'2022_PAPI_Indicators'!A121:BL301,63,FALSE)</f>
        <v>5.0689711570739746</v>
      </c>
      <c r="BN126" s="124">
        <f>VLOOKUP(A126,'2022_PAPI_Indicators'!A121:BM301,64,FALSE)</f>
        <v>5.2152957916259766</v>
      </c>
    </row>
    <row r="127" spans="1:66" s="112" customFormat="1" x14ac:dyDescent="0.2">
      <c r="A127" s="77" t="s">
        <v>334</v>
      </c>
      <c r="B127" s="77" t="s">
        <v>335</v>
      </c>
      <c r="C127" s="92" t="s">
        <v>448</v>
      </c>
      <c r="D127" s="131">
        <f>VLOOKUP(A127,'2022_PAPI_Indicators'!A122:B302,2,)</f>
        <v>2.1302833557128906</v>
      </c>
      <c r="E127" s="131">
        <f>VLOOKUP(A127,'2022_PAPI_Indicators'!A122:C302,3,FALSE)</f>
        <v>1.780265212059021</v>
      </c>
      <c r="F127" s="131">
        <f>VLOOKUP(A127,'2022_PAPI_Indicators'!A122:D302,4,FALSE)</f>
        <v>1.632235050201416</v>
      </c>
      <c r="G127" s="131">
        <f>VLOOKUP(A127,'2022_PAPI_Indicators'!A122:E302,5,FALSE)</f>
        <v>1.7925642728805542</v>
      </c>
      <c r="H127" s="131">
        <f>VLOOKUP(A127,'2022_PAPI_Indicators'!A122:F302,6,FALSE)</f>
        <v>1.9834616184234619</v>
      </c>
      <c r="I127" s="131">
        <f>VLOOKUP(A127,'2022_PAPI_Indicators'!A122:G302,7,FALSE)</f>
        <v>1.9084000587463379</v>
      </c>
      <c r="J127" s="131">
        <f>VLOOKUP(A127,'2022_PAPI_Indicators'!A122:H302,8,FALSE)</f>
        <v>1.6142944097518921</v>
      </c>
      <c r="K127" s="131">
        <f>VLOOKUP(A127,'2022_PAPI_Indicators'!A122:I302,9,FALSE)</f>
        <v>1.8135931491851807</v>
      </c>
      <c r="L127" s="131">
        <f>VLOOKUP(A127,'2022_PAPI_Indicators'!A122:J302,10,FALSE)</f>
        <v>1.8391205072402954</v>
      </c>
      <c r="M127" s="131">
        <f>VLOOKUP(A127,'2022_PAPI_Indicators'!A122:K302,11,FALSE)</f>
        <v>1.7324806451797485</v>
      </c>
      <c r="N127" s="131">
        <f>VLOOKUP(A127,'2022_PAPI_Indicators'!A122:L302,12,FALSE)</f>
        <v>1.7100588083267212</v>
      </c>
      <c r="O127" s="131">
        <f>VLOOKUP(A127,'2022_PAPI_Indicators'!A122:M302,13,FALSE)</f>
        <v>1.9867088794708252</v>
      </c>
      <c r="P127" s="131">
        <f>VLOOKUP(A127,'2022_PAPI_Indicators'!A122:N302,14,FALSE)</f>
        <v>1.9164919853210449</v>
      </c>
      <c r="Q127" s="131">
        <f>VLOOKUP(A127,'2022_PAPI_Indicators'!A122:O302,15,FALSE)</f>
        <v>2.057328462600708</v>
      </c>
      <c r="R127" s="132">
        <f>VLOOKUP(A127,'2022_PAPI_Indicators'!A122:P302,16,FALSE)</f>
        <v>2.0311203002929688</v>
      </c>
      <c r="S127" s="131">
        <f>VLOOKUP(A127,'2022_PAPI_Indicators'!A122:R302,17,FALSE)</f>
        <v>2.0601871013641357</v>
      </c>
      <c r="T127" s="131">
        <f>VLOOKUP(A127,'2022_PAPI_Indicators'!A122:S302,18,FALSE)</f>
        <v>2.1780142784118652</v>
      </c>
      <c r="U127" s="132">
        <f>VLOOKUP(A127,'2022_PAPI_Indicators'!A122:T302,19,FALSE)</f>
        <v>2.1365749835968018</v>
      </c>
      <c r="V127" s="131">
        <f>VLOOKUP(A127,'2022_PAPI_Indicators'!A122:U302,20,FALSE)</f>
        <v>2.0780408382415771</v>
      </c>
      <c r="W127" s="131">
        <f>VLOOKUP(A127,'2022_PAPI_Indicators'!A122:V302,21,FALSE)</f>
        <v>2.1880753040313721</v>
      </c>
      <c r="X127" s="131">
        <f>VLOOKUP(A127,'2022_PAPI_Indicators'!A122:W302,22,FALSE)</f>
        <v>2.0971784591674805</v>
      </c>
      <c r="Y127" s="131">
        <f>VLOOKUP(A127,'2022_PAPI_Indicators'!A122:X302,23,FALSE)</f>
        <v>2.2495288848876953</v>
      </c>
      <c r="Z127" s="131">
        <f>VLOOKUP(A127,'2022_PAPI_Indicators'!A122:Y302,24,FALSE)</f>
        <v>1.856285572052002</v>
      </c>
      <c r="AA127" s="131">
        <f>VLOOKUP(A127,'2022_PAPI_Indicators'!A122:Z302,25,FALSE)</f>
        <v>1.9034264087677002</v>
      </c>
      <c r="AB127" s="131">
        <f>VLOOKUP(A127,'2022_PAPI_Indicators'!A122:AA302,26,FALSE)</f>
        <v>1.9683910608291626</v>
      </c>
      <c r="AC127" s="131">
        <f>VLOOKUP(A127,'2022_PAPI_Indicators'!A122:AB302,27,FALSE)</f>
        <v>1.9615596532821655</v>
      </c>
      <c r="AD127" s="131">
        <f>VLOOKUP(A127,'2022_PAPI_Indicators'!A122:AC302,28,FALSE)</f>
        <v>1.9180744886398315</v>
      </c>
      <c r="AE127" s="131">
        <f>VLOOKUP(A127,'2022_PAPI_Indicators'!A122:AD302,29,FALSE)</f>
        <v>2.0195658206939697</v>
      </c>
      <c r="AF127" s="131">
        <f>VLOOKUP(A127,'2022_PAPI_Indicators'!A122:AE302,30,FALSE)</f>
        <v>1.8500369787216187</v>
      </c>
      <c r="AG127" s="131">
        <f>VLOOKUP(A127,'2022_PAPI_Indicators'!A122:AF302,31,FALSE)</f>
        <v>1.8793889284133911</v>
      </c>
      <c r="AH127" s="131">
        <f>VLOOKUP(A127,'2022_PAPI_Indicators'!A122:AG302,32,FALSE)</f>
        <v>2.0959928035736084</v>
      </c>
      <c r="AI127" s="131">
        <f>VLOOKUP(A127,'2022_PAPI_Indicators'!A122:AH302,33,FALSE)</f>
        <v>2.3017189502716064</v>
      </c>
      <c r="AJ127" s="131">
        <f>VLOOKUP(A127,'2022_PAPI_Indicators'!A122:AI302,34,FALSE)</f>
        <v>2.1385340690612793</v>
      </c>
      <c r="AK127" s="131">
        <f>VLOOKUP(A127,'2022_PAPI_Indicators'!A122:AJ302,35,FALSE)</f>
        <v>1.7275117635726929</v>
      </c>
      <c r="AL127" s="131">
        <f>VLOOKUP(A127,'2022_PAPI_Indicators'!A122:AK302,36,FALSE)</f>
        <v>1.8428293466567993</v>
      </c>
      <c r="AM127" s="131">
        <f>VLOOKUP(A127,'2022_PAPI_Indicators'!A122:AL302,37,FALSE)</f>
        <v>1.8328298330307007</v>
      </c>
      <c r="AN127" s="131">
        <f>VLOOKUP(A127,'2022_PAPI_Indicators'!A122:AM302,38,FALSE)</f>
        <v>2.0508110523223877</v>
      </c>
      <c r="AO127" s="131">
        <f>VLOOKUP(A127,'2022_PAPI_Indicators'!A122:AN302,39,FALSE)</f>
        <v>2.0430948734283447</v>
      </c>
      <c r="AP127" s="131">
        <f>VLOOKUP(A127,'2022_PAPI_Indicators'!A122:AO302,40,FALSE)</f>
        <v>1.9650084972381592</v>
      </c>
      <c r="AQ127" s="131">
        <f>VLOOKUP(A127,'2022_PAPI_Indicators'!A122:AP302,41,FALSE)</f>
        <v>1.760209321975708</v>
      </c>
      <c r="AR127" s="131">
        <f>VLOOKUP(A127,'2022_PAPI_Indicators'!A122:AQ302,42,FALSE)</f>
        <v>1.7457574605941772</v>
      </c>
      <c r="AS127" s="131">
        <f>VLOOKUP(A127,'2022_PAPI_Indicators'!A122:AR302,43,FALSE)</f>
        <v>1.733687162399292</v>
      </c>
      <c r="AT127" s="131">
        <f>VLOOKUP(A127,'2022_PAPI_Indicators'!A122:AS302,44,FALSE)</f>
        <v>1.6315338611602783</v>
      </c>
      <c r="AU127" s="131">
        <f>VLOOKUP(A127,'2022_PAPI_Indicators'!A122:AT302,45,FALSE)</f>
        <v>1.8753570318222046</v>
      </c>
      <c r="AV127" s="131">
        <f>VLOOKUP(A127,'2022_PAPI_Indicators'!A122:AU302,46,FALSE)</f>
        <v>1.831947922706604</v>
      </c>
      <c r="AW127" s="131">
        <f>VLOOKUP(A127,'2022_PAPI_Indicators'!A122:AV302,47,FALSE)</f>
        <v>1.8809703588485718</v>
      </c>
      <c r="AX127" s="131">
        <f>VLOOKUP(A127,'2022_PAPI_Indicators'!A122:AW302,48,FALSE)</f>
        <v>2.2211489677429199</v>
      </c>
      <c r="AY127" s="131">
        <f>VLOOKUP(A127,'2022_PAPI_Indicators'!A122:AX302,49,FALSE)</f>
        <v>2.0638444423675537</v>
      </c>
      <c r="AZ127" s="131">
        <f>VLOOKUP(A127,'2022_PAPI_Indicators'!A122:AY302,50,FALSE)</f>
        <v>2.2294814586639404</v>
      </c>
      <c r="BA127" s="131">
        <f>VLOOKUP(A127,'2022_PAPI_Indicators'!A122:AZ302,51,FALSE)</f>
        <v>2.1668522357940674</v>
      </c>
      <c r="BB127" s="131">
        <f>VLOOKUP(A127,'2022_PAPI_Indicators'!A122:BA302,52,FALSE)</f>
        <v>1.8977806568145752</v>
      </c>
      <c r="BC127" s="131">
        <f>VLOOKUP(A127,'2022_PAPI_Indicators'!A122:BB302,53,FALSE)</f>
        <v>2.1360650062561035</v>
      </c>
      <c r="BD127" s="131">
        <f>VLOOKUP(A127,'2022_PAPI_Indicators'!A122:BC302,54,FALSE)</f>
        <v>1.8980640172958374</v>
      </c>
      <c r="BE127" s="131">
        <f>VLOOKUP(A127,'2022_PAPI_Indicators'!A122:BD302,55,FALSE)</f>
        <v>2.1557142734527588</v>
      </c>
      <c r="BF127" s="131">
        <f>VLOOKUP(A127,'2022_PAPI_Indicators'!A122:BE302,56,FALSE)</f>
        <v>2.279672384262085</v>
      </c>
      <c r="BG127" s="131">
        <f>VLOOKUP(A127,'2022_PAPI_Indicators'!A122:BF302,57,FALSE)</f>
        <v>2.1066679954528809</v>
      </c>
      <c r="BH127" s="131">
        <f>VLOOKUP(A127,'2022_PAPI_Indicators'!A122:BG302,58,FALSE)</f>
        <v>2.3245551586151123</v>
      </c>
      <c r="BI127" s="131">
        <f>VLOOKUP(A127,'2022_PAPI_Indicators'!A122:BH302,59,FALSE)</f>
        <v>1.8961840867996216</v>
      </c>
      <c r="BJ127" s="131">
        <f>VLOOKUP(A127,'2022_PAPI_Indicators'!A122:BI302,60,FALSE)</f>
        <v>2.0042102336883545</v>
      </c>
      <c r="BK127" s="131">
        <f>VLOOKUP(A127,'2022_PAPI_Indicators'!A122:BJ302,61,FALSE)</f>
        <v>2.0249781608581543</v>
      </c>
      <c r="BL127" s="131">
        <f>VLOOKUP(A127,'2022_PAPI_Indicators'!A122:BK302,62,FALSE)</f>
        <v>2.0142092704772949</v>
      </c>
      <c r="BM127" s="131">
        <f>VLOOKUP(A127,'2022_PAPI_Indicators'!A122:BL302,63,FALSE)</f>
        <v>2.0546772480010986</v>
      </c>
      <c r="BN127" s="131">
        <f>VLOOKUP(A127,'2022_PAPI_Indicators'!A122:BM302,64,FALSE)</f>
        <v>2.0038328170776367</v>
      </c>
    </row>
    <row r="128" spans="1:66" x14ac:dyDescent="0.2">
      <c r="A128" s="70" t="s">
        <v>336</v>
      </c>
      <c r="B128" s="70" t="s">
        <v>337</v>
      </c>
      <c r="C128" s="89" t="s">
        <v>90</v>
      </c>
      <c r="D128" s="133">
        <f>VLOOKUP(A128,'2022_PAPI_Indicators'!A123:B303,2,)</f>
        <v>0.99636709690093994</v>
      </c>
      <c r="E128" s="133">
        <f>VLOOKUP(A128,'2022_PAPI_Indicators'!A123:C303,3,FALSE)</f>
        <v>0.98490786552429199</v>
      </c>
      <c r="F128" s="133">
        <f>VLOOKUP(A128,'2022_PAPI_Indicators'!A123:D303,4,FALSE)</f>
        <v>0.86007577180862427</v>
      </c>
      <c r="G128" s="133">
        <f>VLOOKUP(A128,'2022_PAPI_Indicators'!A123:E303,5,FALSE)</f>
        <v>0.99281728267669678</v>
      </c>
      <c r="H128" s="133">
        <f>VLOOKUP(A128,'2022_PAPI_Indicators'!A123:F303,6,FALSE)</f>
        <v>1</v>
      </c>
      <c r="I128" s="133">
        <f>VLOOKUP(A128,'2022_PAPI_Indicators'!A123:G303,7,FALSE)</f>
        <v>0.97953331470489502</v>
      </c>
      <c r="J128" s="133">
        <f>VLOOKUP(A128,'2022_PAPI_Indicators'!A123:H303,8,FALSE)</f>
        <v>0.86659872531890869</v>
      </c>
      <c r="K128" s="133">
        <f>VLOOKUP(A128,'2022_PAPI_Indicators'!A123:I303,9,FALSE)</f>
        <v>0.99453985691070557</v>
      </c>
      <c r="L128" s="133">
        <f>VLOOKUP(A128,'2022_PAPI_Indicators'!A123:J303,10,FALSE)</f>
        <v>0.99253404140472412</v>
      </c>
      <c r="M128" s="133">
        <f>VLOOKUP(A128,'2022_PAPI_Indicators'!A123:K303,11,FALSE)</f>
        <v>0.99275046586990356</v>
      </c>
      <c r="N128" s="133">
        <f>VLOOKUP(A128,'2022_PAPI_Indicators'!A123:L303,12,FALSE)</f>
        <v>0.99283915758132935</v>
      </c>
      <c r="O128" s="133">
        <f>VLOOKUP(A128,'2022_PAPI_Indicators'!A123:M303,13,FALSE)</f>
        <v>0.99549680948257446</v>
      </c>
      <c r="P128" s="133">
        <f>VLOOKUP(A128,'2022_PAPI_Indicators'!A123:N303,14,FALSE)</f>
        <v>1</v>
      </c>
      <c r="Q128" s="133">
        <f>VLOOKUP(A128,'2022_PAPI_Indicators'!A123:O303,15,FALSE)</f>
        <v>1</v>
      </c>
      <c r="R128" s="135">
        <f>VLOOKUP(A128,'2022_PAPI_Indicators'!A123:P303,16,FALSE)</f>
        <v>0.99841433763504028</v>
      </c>
      <c r="S128" s="133">
        <f>VLOOKUP(A128,'2022_PAPI_Indicators'!A123:R303,17,FALSE)</f>
        <v>1</v>
      </c>
      <c r="T128" s="133">
        <f>VLOOKUP(A128,'2022_PAPI_Indicators'!A123:S303,18,FALSE)</f>
        <v>0.999184250831604</v>
      </c>
      <c r="U128" s="135">
        <f>VLOOKUP(A128,'2022_PAPI_Indicators'!A123:T303,19,FALSE)</f>
        <v>1</v>
      </c>
      <c r="V128" s="133">
        <f>VLOOKUP(A128,'2022_PAPI_Indicators'!A123:U303,20,FALSE)</f>
        <v>0.99298262596130371</v>
      </c>
      <c r="W128" s="133">
        <f>VLOOKUP(A128,'2022_PAPI_Indicators'!A123:V303,21,FALSE)</f>
        <v>1</v>
      </c>
      <c r="X128" s="133">
        <f>VLOOKUP(A128,'2022_PAPI_Indicators'!A123:W303,22,FALSE)</f>
        <v>1</v>
      </c>
      <c r="Y128" s="133">
        <f>VLOOKUP(A128,'2022_PAPI_Indicators'!A123:X303,23,FALSE)</f>
        <v>0.99909734725952148</v>
      </c>
      <c r="Z128" s="133">
        <f>VLOOKUP(A128,'2022_PAPI_Indicators'!A123:Y303,24,FALSE)</f>
        <v>1</v>
      </c>
      <c r="AA128" s="133">
        <f>VLOOKUP(A128,'2022_PAPI_Indicators'!A123:Z303,25,FALSE)</f>
        <v>1</v>
      </c>
      <c r="AB128" s="133">
        <f>VLOOKUP(A128,'2022_PAPI_Indicators'!A123:AA303,26,FALSE)</f>
        <v>1</v>
      </c>
      <c r="AC128" s="133">
        <f>VLOOKUP(A128,'2022_PAPI_Indicators'!A123:AB303,27,FALSE)</f>
        <v>1</v>
      </c>
      <c r="AD128" s="133">
        <f>VLOOKUP(A128,'2022_PAPI_Indicators'!A123:AC303,28,FALSE)</f>
        <v>1</v>
      </c>
      <c r="AE128" s="133">
        <f>VLOOKUP(A128,'2022_PAPI_Indicators'!A123:AD303,29,FALSE)</f>
        <v>0.97754824161529541</v>
      </c>
      <c r="AF128" s="133">
        <f>VLOOKUP(A128,'2022_PAPI_Indicators'!A123:AE303,30,FALSE)</f>
        <v>0.96839755773544312</v>
      </c>
      <c r="AG128" s="133">
        <f>VLOOKUP(A128,'2022_PAPI_Indicators'!A123:AF303,31,FALSE)</f>
        <v>0.94133543968200684</v>
      </c>
      <c r="AH128" s="133">
        <f>VLOOKUP(A128,'2022_PAPI_Indicators'!A123:AG303,32,FALSE)</f>
        <v>0.97805899381637573</v>
      </c>
      <c r="AI128" s="133">
        <f>VLOOKUP(A128,'2022_PAPI_Indicators'!A123:AH303,33,FALSE)</f>
        <v>0.99883264303207397</v>
      </c>
      <c r="AJ128" s="133">
        <f>VLOOKUP(A128,'2022_PAPI_Indicators'!A123:AI303,34,FALSE)</f>
        <v>1</v>
      </c>
      <c r="AK128" s="133">
        <f>VLOOKUP(A128,'2022_PAPI_Indicators'!A123:AJ303,35,FALSE)</f>
        <v>0.99823653697967529</v>
      </c>
      <c r="AL128" s="133">
        <f>VLOOKUP(A128,'2022_PAPI_Indicators'!A123:AK303,36,FALSE)</f>
        <v>0.98630374670028687</v>
      </c>
      <c r="AM128" s="133">
        <f>VLOOKUP(A128,'2022_PAPI_Indicators'!A123:AL303,37,FALSE)</f>
        <v>0.95772171020507813</v>
      </c>
      <c r="AN128" s="133">
        <f>VLOOKUP(A128,'2022_PAPI_Indicators'!A123:AM303,38,FALSE)</f>
        <v>0.99676257371902466</v>
      </c>
      <c r="AO128" s="133">
        <f>VLOOKUP(A128,'2022_PAPI_Indicators'!A123:AN303,39,FALSE)</f>
        <v>1</v>
      </c>
      <c r="AP128" s="133">
        <f>VLOOKUP(A128,'2022_PAPI_Indicators'!A123:AO303,40,FALSE)</f>
        <v>0.99298012256622314</v>
      </c>
      <c r="AQ128" s="133">
        <f>VLOOKUP(A128,'2022_PAPI_Indicators'!A123:AP303,41,FALSE)</f>
        <v>1</v>
      </c>
      <c r="AR128" s="133">
        <f>VLOOKUP(A128,'2022_PAPI_Indicators'!A123:AQ303,42,FALSE)</f>
        <v>0.98581081628799438</v>
      </c>
      <c r="AS128" s="133">
        <f>VLOOKUP(A128,'2022_PAPI_Indicators'!A123:AR303,43,FALSE)</f>
        <v>1</v>
      </c>
      <c r="AT128" s="133">
        <f>VLOOKUP(A128,'2022_PAPI_Indicators'!A123:AS303,44,FALSE)</f>
        <v>0.9669032096862793</v>
      </c>
      <c r="AU128" s="133">
        <f>VLOOKUP(A128,'2022_PAPI_Indicators'!A123:AT303,45,FALSE)</f>
        <v>1</v>
      </c>
      <c r="AV128" s="133">
        <f>VLOOKUP(A128,'2022_PAPI_Indicators'!A123:AU303,46,FALSE)</f>
        <v>1</v>
      </c>
      <c r="AW128" s="133">
        <f>VLOOKUP(A128,'2022_PAPI_Indicators'!A123:AV303,47,FALSE)</f>
        <v>0.97088795900344849</v>
      </c>
      <c r="AX128" s="133">
        <f>VLOOKUP(A128,'2022_PAPI_Indicators'!A123:AW303,48,FALSE)</f>
        <v>1</v>
      </c>
      <c r="AY128" s="133">
        <f>VLOOKUP(A128,'2022_PAPI_Indicators'!A123:AX303,49,FALSE)</f>
        <v>0.98102319240570068</v>
      </c>
      <c r="AZ128" s="133">
        <f>VLOOKUP(A128,'2022_PAPI_Indicators'!A123:AY303,50,FALSE)</f>
        <v>0.99227440357208252</v>
      </c>
      <c r="BA128" s="133">
        <f>VLOOKUP(A128,'2022_PAPI_Indicators'!A123:AZ303,51,FALSE)</f>
        <v>0.99561518430709839</v>
      </c>
      <c r="BB128" s="133">
        <f>VLOOKUP(A128,'2022_PAPI_Indicators'!A123:BA303,52,FALSE)</f>
        <v>0.98555880784988403</v>
      </c>
      <c r="BC128" s="133">
        <f>VLOOKUP(A128,'2022_PAPI_Indicators'!A123:BB303,53,FALSE)</f>
        <v>0.98566347360610962</v>
      </c>
      <c r="BD128" s="133">
        <f>VLOOKUP(A128,'2022_PAPI_Indicators'!A123:BC303,54,FALSE)</f>
        <v>0.97780513763427734</v>
      </c>
      <c r="BE128" s="133">
        <f>VLOOKUP(A128,'2022_PAPI_Indicators'!A123:BD303,55,FALSE)</f>
        <v>1</v>
      </c>
      <c r="BF128" s="133">
        <f>VLOOKUP(A128,'2022_PAPI_Indicators'!A123:BE303,56,FALSE)</f>
        <v>0.98624849319458008</v>
      </c>
      <c r="BG128" s="133">
        <f>VLOOKUP(A128,'2022_PAPI_Indicators'!A123:BF303,57,FALSE)</f>
        <v>0.96875</v>
      </c>
      <c r="BH128" s="133">
        <f>VLOOKUP(A128,'2022_PAPI_Indicators'!A123:BG303,58,FALSE)</f>
        <v>0.99702960252761841</v>
      </c>
      <c r="BI128" s="133">
        <f>VLOOKUP(A128,'2022_PAPI_Indicators'!A123:BH303,59,FALSE)</f>
        <v>0.9721713662147522</v>
      </c>
      <c r="BJ128" s="133">
        <f>VLOOKUP(A128,'2022_PAPI_Indicators'!A123:BI303,60,FALSE)</f>
        <v>0.99533522129058838</v>
      </c>
      <c r="BK128" s="133">
        <f>VLOOKUP(A128,'2022_PAPI_Indicators'!A123:BJ303,61,FALSE)</f>
        <v>0.9855307936668396</v>
      </c>
      <c r="BL128" s="133">
        <f>VLOOKUP(A128,'2022_PAPI_Indicators'!A123:BK303,62,FALSE)</f>
        <v>1</v>
      </c>
      <c r="BM128" s="133">
        <f>VLOOKUP(A128,'2022_PAPI_Indicators'!A123:BL303,63,FALSE)</f>
        <v>0.98610389232635498</v>
      </c>
      <c r="BN128" s="133">
        <f>VLOOKUP(A128,'2022_PAPI_Indicators'!A123:BM303,64,FALSE)</f>
        <v>0.98610776662826538</v>
      </c>
    </row>
    <row r="129" spans="1:66" x14ac:dyDescent="0.2">
      <c r="A129" s="70" t="s">
        <v>338</v>
      </c>
      <c r="B129" s="70" t="s">
        <v>339</v>
      </c>
      <c r="C129" s="89" t="s">
        <v>90</v>
      </c>
      <c r="D129" s="133">
        <f>VLOOKUP(A129,'2022_PAPI_Indicators'!A124:B304,2,)</f>
        <v>0.64797627925872803</v>
      </c>
      <c r="E129" s="133">
        <f>VLOOKUP(A129,'2022_PAPI_Indicators'!A124:C304,3,FALSE)</f>
        <v>0.54993700981140137</v>
      </c>
      <c r="F129" s="133">
        <f>VLOOKUP(A129,'2022_PAPI_Indicators'!A124:D304,4,FALSE)</f>
        <v>0.44392400979995728</v>
      </c>
      <c r="G129" s="133">
        <f>VLOOKUP(A129,'2022_PAPI_Indicators'!A124:E304,5,FALSE)</f>
        <v>0.47781422734260559</v>
      </c>
      <c r="H129" s="133">
        <f>VLOOKUP(A129,'2022_PAPI_Indicators'!A124:F304,6,FALSE)</f>
        <v>0.38448873162269592</v>
      </c>
      <c r="I129" s="133">
        <f>VLOOKUP(A129,'2022_PAPI_Indicators'!A124:G304,7,FALSE)</f>
        <v>0.49452489614486694</v>
      </c>
      <c r="J129" s="133">
        <f>VLOOKUP(A129,'2022_PAPI_Indicators'!A124:H304,8,FALSE)</f>
        <v>0.37901318073272705</v>
      </c>
      <c r="K129" s="133">
        <f>VLOOKUP(A129,'2022_PAPI_Indicators'!A124:I304,9,FALSE)</f>
        <v>0.5469214916229248</v>
      </c>
      <c r="L129" s="133">
        <f>VLOOKUP(A129,'2022_PAPI_Indicators'!A124:J304,10,FALSE)</f>
        <v>0.4383513331413269</v>
      </c>
      <c r="M129" s="133">
        <f>VLOOKUP(A129,'2022_PAPI_Indicators'!A124:K304,11,FALSE)</f>
        <v>0.55858296155929565</v>
      </c>
      <c r="N129" s="133">
        <f>VLOOKUP(A129,'2022_PAPI_Indicators'!A124:L304,12,FALSE)</f>
        <v>0.47203415632247925</v>
      </c>
      <c r="O129" s="133">
        <f>VLOOKUP(A129,'2022_PAPI_Indicators'!A124:M304,13,FALSE)</f>
        <v>0.20663069188594818</v>
      </c>
      <c r="P129" s="133">
        <f>VLOOKUP(A129,'2022_PAPI_Indicators'!A124:N304,14,FALSE)</f>
        <v>0.35307013988494873</v>
      </c>
      <c r="Q129" s="133">
        <f>VLOOKUP(A129,'2022_PAPI_Indicators'!A124:O304,15,FALSE)</f>
        <v>0.53333312273025513</v>
      </c>
      <c r="R129" s="135">
        <f>VLOOKUP(A129,'2022_PAPI_Indicators'!A124:P304,16,FALSE)</f>
        <v>0.32280683517456055</v>
      </c>
      <c r="S129" s="133">
        <f>VLOOKUP(A129,'2022_PAPI_Indicators'!A124:R304,17,FALSE)</f>
        <v>0.2214529812335968</v>
      </c>
      <c r="T129" s="133">
        <f>VLOOKUP(A129,'2022_PAPI_Indicators'!A124:S304,18,FALSE)</f>
        <v>0.42348676919937134</v>
      </c>
      <c r="U129" s="135">
        <f>VLOOKUP(A129,'2022_PAPI_Indicators'!A124:T304,19,FALSE)</f>
        <v>0.48457711935043335</v>
      </c>
      <c r="V129" s="133">
        <f>VLOOKUP(A129,'2022_PAPI_Indicators'!A124:U304,20,FALSE)</f>
        <v>0.31541410088539124</v>
      </c>
      <c r="W129" s="133">
        <f>VLOOKUP(A129,'2022_PAPI_Indicators'!A124:V304,21,FALSE)</f>
        <v>0.43721213936805725</v>
      </c>
      <c r="X129" s="133">
        <f>VLOOKUP(A129,'2022_PAPI_Indicators'!A124:W304,22,FALSE)</f>
        <v>0.30905067920684814</v>
      </c>
      <c r="Y129" s="133">
        <f>VLOOKUP(A129,'2022_PAPI_Indicators'!A124:X304,23,FALSE)</f>
        <v>0.2853236198425293</v>
      </c>
      <c r="Z129" s="133">
        <f>VLOOKUP(A129,'2022_PAPI_Indicators'!A124:Y304,24,FALSE)</f>
        <v>0.30499926209449768</v>
      </c>
      <c r="AA129" s="133">
        <f>VLOOKUP(A129,'2022_PAPI_Indicators'!A124:Z304,25,FALSE)</f>
        <v>0.35715386271476746</v>
      </c>
      <c r="AB129" s="133">
        <f>VLOOKUP(A129,'2022_PAPI_Indicators'!A124:AA304,26,FALSE)</f>
        <v>0.48804020881652832</v>
      </c>
      <c r="AC129" s="133">
        <f>VLOOKUP(A129,'2022_PAPI_Indicators'!A124:AB304,27,FALSE)</f>
        <v>0.45700868964195251</v>
      </c>
      <c r="AD129" s="133">
        <f>VLOOKUP(A129,'2022_PAPI_Indicators'!A124:AC304,28,FALSE)</f>
        <v>0.19617454707622528</v>
      </c>
      <c r="AE129" s="133">
        <f>VLOOKUP(A129,'2022_PAPI_Indicators'!A124:AD304,29,FALSE)</f>
        <v>0.36528930068016052</v>
      </c>
      <c r="AF129" s="133">
        <f>VLOOKUP(A129,'2022_PAPI_Indicators'!A124:AE304,30,FALSE)</f>
        <v>0.6842271089553833</v>
      </c>
      <c r="AG129" s="133">
        <f>VLOOKUP(A129,'2022_PAPI_Indicators'!A124:AF304,31,FALSE)</f>
        <v>0.39602220058441162</v>
      </c>
      <c r="AH129" s="133">
        <f>VLOOKUP(A129,'2022_PAPI_Indicators'!A124:AG304,32,FALSE)</f>
        <v>0.54299187660217285</v>
      </c>
      <c r="AI129" s="133">
        <f>VLOOKUP(A129,'2022_PAPI_Indicators'!A124:AH304,33,FALSE)</f>
        <v>0.2738611102104187</v>
      </c>
      <c r="AJ129" s="133">
        <f>VLOOKUP(A129,'2022_PAPI_Indicators'!A124:AI304,34,FALSE)</f>
        <v>7.276858389377594E-2</v>
      </c>
      <c r="AK129" s="133">
        <f>VLOOKUP(A129,'2022_PAPI_Indicators'!A124:AJ304,35,FALSE)</f>
        <v>0.38444060087203979</v>
      </c>
      <c r="AL129" s="133">
        <f>VLOOKUP(A129,'2022_PAPI_Indicators'!A124:AK304,36,FALSE)</f>
        <v>0.37330964207649231</v>
      </c>
      <c r="AM129" s="133">
        <f>VLOOKUP(A129,'2022_PAPI_Indicators'!A124:AL304,37,FALSE)</f>
        <v>0.65410298109054565</v>
      </c>
      <c r="AN129" s="133">
        <f>VLOOKUP(A129,'2022_PAPI_Indicators'!A124:AM304,38,FALSE)</f>
        <v>0.41540011763572693</v>
      </c>
      <c r="AO129" s="133">
        <f>VLOOKUP(A129,'2022_PAPI_Indicators'!A124:AN304,39,FALSE)</f>
        <v>0.37370645999908447</v>
      </c>
      <c r="AP129" s="133">
        <f>VLOOKUP(A129,'2022_PAPI_Indicators'!A124:AO304,40,FALSE)</f>
        <v>0.23980969190597534</v>
      </c>
      <c r="AQ129" s="133">
        <f>VLOOKUP(A129,'2022_PAPI_Indicators'!A124:AP304,41,FALSE)</f>
        <v>0.40618628263473511</v>
      </c>
      <c r="AR129" s="133">
        <f>VLOOKUP(A129,'2022_PAPI_Indicators'!A124:AQ304,42,FALSE)</f>
        <v>0.34822601079940796</v>
      </c>
      <c r="AS129" s="133">
        <f>VLOOKUP(A129,'2022_PAPI_Indicators'!A124:AR304,43,FALSE)</f>
        <v>0.4084799587726593</v>
      </c>
      <c r="AT129" s="133">
        <f>VLOOKUP(A129,'2022_PAPI_Indicators'!A124:AS304,44,FALSE)</f>
        <v>0.5344855785369873</v>
      </c>
      <c r="AU129" s="133">
        <f>VLOOKUP(A129,'2022_PAPI_Indicators'!A124:AT304,45,FALSE)</f>
        <v>0.29252412915229797</v>
      </c>
      <c r="AV129" s="133">
        <f>VLOOKUP(A129,'2022_PAPI_Indicators'!A124:AU304,46,FALSE)</f>
        <v>0.4995364248752594</v>
      </c>
      <c r="AW129" s="133">
        <f>VLOOKUP(A129,'2022_PAPI_Indicators'!A124:AV304,47,FALSE)</f>
        <v>0.24631080031394958</v>
      </c>
      <c r="AX129" s="133">
        <f>VLOOKUP(A129,'2022_PAPI_Indicators'!A124:AW304,48,FALSE)</f>
        <v>0.17616462707519531</v>
      </c>
      <c r="AY129" s="133">
        <f>VLOOKUP(A129,'2022_PAPI_Indicators'!A124:AX304,49,FALSE)</f>
        <v>0.25231227278709412</v>
      </c>
      <c r="AZ129" s="133">
        <f>VLOOKUP(A129,'2022_PAPI_Indicators'!A124:AY304,50,FALSE)</f>
        <v>0.1595367044210434</v>
      </c>
      <c r="BA129" s="133">
        <f>VLOOKUP(A129,'2022_PAPI_Indicators'!A124:AZ304,51,FALSE)</f>
        <v>0.52908039093017578</v>
      </c>
      <c r="BB129" s="133">
        <f>VLOOKUP(A129,'2022_PAPI_Indicators'!A124:BA304,52,FALSE)</f>
        <v>0.20524291694164276</v>
      </c>
      <c r="BC129" s="133">
        <f>VLOOKUP(A129,'2022_PAPI_Indicators'!A124:BB304,53,FALSE)</f>
        <v>0.1110004261136055</v>
      </c>
      <c r="BD129" s="133">
        <f>VLOOKUP(A129,'2022_PAPI_Indicators'!A124:BC304,54,FALSE)</f>
        <v>0.12786857783794403</v>
      </c>
      <c r="BE129" s="133">
        <f>VLOOKUP(A129,'2022_PAPI_Indicators'!A124:BD304,55,FALSE)</f>
        <v>0.12584242224693298</v>
      </c>
      <c r="BF129" s="133">
        <f>VLOOKUP(A129,'2022_PAPI_Indicators'!A124:BE304,56,FALSE)</f>
        <v>0.17134639620780945</v>
      </c>
      <c r="BG129" s="133">
        <f>VLOOKUP(A129,'2022_PAPI_Indicators'!A124:BF304,57,FALSE)</f>
        <v>0.26078346371650696</v>
      </c>
      <c r="BH129" s="133">
        <f>VLOOKUP(A129,'2022_PAPI_Indicators'!A124:BG304,58,FALSE)</f>
        <v>9.6041858196258545E-2</v>
      </c>
      <c r="BI129" s="133">
        <f>VLOOKUP(A129,'2022_PAPI_Indicators'!A124:BH304,59,FALSE)</f>
        <v>7.8039154410362244E-2</v>
      </c>
      <c r="BJ129" s="133">
        <f>VLOOKUP(A129,'2022_PAPI_Indicators'!A124:BI304,60,FALSE)</f>
        <v>0.22638872265815735</v>
      </c>
      <c r="BK129" s="133">
        <f>VLOOKUP(A129,'2022_PAPI_Indicators'!A124:BJ304,61,FALSE)</f>
        <v>0.15916365385055542</v>
      </c>
      <c r="BL129" s="133">
        <f>VLOOKUP(A129,'2022_PAPI_Indicators'!A124:BK304,62,FALSE)</f>
        <v>0.197628453373909</v>
      </c>
      <c r="BM129" s="133">
        <f>VLOOKUP(A129,'2022_PAPI_Indicators'!A124:BL304,63,FALSE)</f>
        <v>0.12939734756946564</v>
      </c>
      <c r="BN129" s="133">
        <f>VLOOKUP(A129,'2022_PAPI_Indicators'!A124:BM304,64,FALSE)</f>
        <v>0.13577763736248016</v>
      </c>
    </row>
    <row r="130" spans="1:66" x14ac:dyDescent="0.2">
      <c r="A130" s="70" t="s">
        <v>340</v>
      </c>
      <c r="B130" s="70" t="s">
        <v>341</v>
      </c>
      <c r="C130" s="89" t="s">
        <v>342</v>
      </c>
      <c r="D130" s="124">
        <f>VLOOKUP(A130,'2022_PAPI_Indicators'!A125:B305,2,)</f>
        <v>3.3949837684631348</v>
      </c>
      <c r="E130" s="124">
        <f>VLOOKUP(A130,'2022_PAPI_Indicators'!A125:C305,3,FALSE)</f>
        <v>3.1154122352600098</v>
      </c>
      <c r="F130" s="124">
        <f>VLOOKUP(A130,'2022_PAPI_Indicators'!A125:D305,4,FALSE)</f>
        <v>2.3625321388244629</v>
      </c>
      <c r="G130" s="124">
        <f>VLOOKUP(A130,'2022_PAPI_Indicators'!A125:E305,5,FALSE)</f>
        <v>3.3221282958984375</v>
      </c>
      <c r="H130" s="124">
        <f>VLOOKUP(A130,'2022_PAPI_Indicators'!A125:F305,6,FALSE)</f>
        <v>3.3756880760192871</v>
      </c>
      <c r="I130" s="124">
        <f>VLOOKUP(A130,'2022_PAPI_Indicators'!A125:G305,7,FALSE)</f>
        <v>3.1120798587799072</v>
      </c>
      <c r="J130" s="124">
        <f>VLOOKUP(A130,'2022_PAPI_Indicators'!A125:H305,8,FALSE)</f>
        <v>2.7187514305114746</v>
      </c>
      <c r="K130" s="124">
        <f>VLOOKUP(A130,'2022_PAPI_Indicators'!A125:I305,9,FALSE)</f>
        <v>3.1033415794372559</v>
      </c>
      <c r="L130" s="124">
        <f>VLOOKUP(A130,'2022_PAPI_Indicators'!A125:J305,10,FALSE)</f>
        <v>3.013862133026123</v>
      </c>
      <c r="M130" s="124">
        <f>VLOOKUP(A130,'2022_PAPI_Indicators'!A125:K305,11,FALSE)</f>
        <v>3.1131629943847656</v>
      </c>
      <c r="N130" s="124">
        <f>VLOOKUP(A130,'2022_PAPI_Indicators'!A125:L305,12,FALSE)</f>
        <v>3.1136445999145508</v>
      </c>
      <c r="O130" s="124">
        <f>VLOOKUP(A130,'2022_PAPI_Indicators'!A125:M305,13,FALSE)</f>
        <v>3.3445866107940674</v>
      </c>
      <c r="P130" s="124">
        <f>VLOOKUP(A130,'2022_PAPI_Indicators'!A125:N305,14,FALSE)</f>
        <v>3.0560448169708252</v>
      </c>
      <c r="Q130" s="124">
        <f>VLOOKUP(A130,'2022_PAPI_Indicators'!A125:O305,15,FALSE)</f>
        <v>3.2561402320861816</v>
      </c>
      <c r="R130" s="125">
        <f>VLOOKUP(A130,'2022_PAPI_Indicators'!A125:P305,16,FALSE)</f>
        <v>3.2327404022216797</v>
      </c>
      <c r="S130" s="124">
        <f>VLOOKUP(A130,'2022_PAPI_Indicators'!A125:R305,17,FALSE)</f>
        <v>3.2703447341918945</v>
      </c>
      <c r="T130" s="124">
        <f>VLOOKUP(A130,'2022_PAPI_Indicators'!A125:S305,18,FALSE)</f>
        <v>3.5204005241394043</v>
      </c>
      <c r="U130" s="125">
        <f>VLOOKUP(A130,'2022_PAPI_Indicators'!A125:T305,19,FALSE)</f>
        <v>3.481034517288208</v>
      </c>
      <c r="V130" s="124">
        <f>VLOOKUP(A130,'2022_PAPI_Indicators'!A125:U305,20,FALSE)</f>
        <v>3.3857524394989014</v>
      </c>
      <c r="W130" s="124">
        <f>VLOOKUP(A130,'2022_PAPI_Indicators'!A125:V305,21,FALSE)</f>
        <v>3.5242164134979248</v>
      </c>
      <c r="X130" s="124">
        <f>VLOOKUP(A130,'2022_PAPI_Indicators'!A125:W305,22,FALSE)</f>
        <v>3.3762943744659424</v>
      </c>
      <c r="Y130" s="124">
        <f>VLOOKUP(A130,'2022_PAPI_Indicators'!A125:X305,23,FALSE)</f>
        <v>3.4691762924194336</v>
      </c>
      <c r="Z130" s="124">
        <f>VLOOKUP(A130,'2022_PAPI_Indicators'!A125:Y305,24,FALSE)</f>
        <v>3.3379385471343994</v>
      </c>
      <c r="AA130" s="124">
        <f>VLOOKUP(A130,'2022_PAPI_Indicators'!A125:Z305,25,FALSE)</f>
        <v>3.4066245555877686</v>
      </c>
      <c r="AB130" s="124">
        <f>VLOOKUP(A130,'2022_PAPI_Indicators'!A125:AA305,26,FALSE)</f>
        <v>3.4375643730163574</v>
      </c>
      <c r="AC130" s="124">
        <f>VLOOKUP(A130,'2022_PAPI_Indicators'!A125:AB305,27,FALSE)</f>
        <v>3.3370959758758545</v>
      </c>
      <c r="AD130" s="124">
        <f>VLOOKUP(A130,'2022_PAPI_Indicators'!A125:AC305,28,FALSE)</f>
        <v>3.2423207759857178</v>
      </c>
      <c r="AE130" s="124">
        <f>VLOOKUP(A130,'2022_PAPI_Indicators'!A125:AD305,29,FALSE)</f>
        <v>3.2961089611053467</v>
      </c>
      <c r="AF130" s="124">
        <f>VLOOKUP(A130,'2022_PAPI_Indicators'!A125:AE305,30,FALSE)</f>
        <v>3.2266044616699219</v>
      </c>
      <c r="AG130" s="124">
        <f>VLOOKUP(A130,'2022_PAPI_Indicators'!A125:AF305,31,FALSE)</f>
        <v>3.2115323543548584</v>
      </c>
      <c r="AH130" s="124">
        <f>VLOOKUP(A130,'2022_PAPI_Indicators'!A125:AG305,32,FALSE)</f>
        <v>3.5388596057891846</v>
      </c>
      <c r="AI130" s="124">
        <f>VLOOKUP(A130,'2022_PAPI_Indicators'!A125:AH305,33,FALSE)</f>
        <v>3.5028963088989258</v>
      </c>
      <c r="AJ130" s="124">
        <f>VLOOKUP(A130,'2022_PAPI_Indicators'!A125:AI305,34,FALSE)</f>
        <v>3.3365976810455322</v>
      </c>
      <c r="AK130" s="124">
        <f>VLOOKUP(A130,'2022_PAPI_Indicators'!A125:AJ305,35,FALSE)</f>
        <v>3.072777271270752</v>
      </c>
      <c r="AL130" s="124">
        <f>VLOOKUP(A130,'2022_PAPI_Indicators'!A125:AK305,36,FALSE)</f>
        <v>3.353184700012207</v>
      </c>
      <c r="AM130" s="124">
        <f>VLOOKUP(A130,'2022_PAPI_Indicators'!A125:AL305,37,FALSE)</f>
        <v>3.2631752490997314</v>
      </c>
      <c r="AN130" s="124">
        <f>VLOOKUP(A130,'2022_PAPI_Indicators'!A125:AM305,38,FALSE)</f>
        <v>3.1666605472564697</v>
      </c>
      <c r="AO130" s="124">
        <f>VLOOKUP(A130,'2022_PAPI_Indicators'!A125:AN305,39,FALSE)</f>
        <v>2.7314872741699219</v>
      </c>
      <c r="AP130" s="124">
        <f>VLOOKUP(A130,'2022_PAPI_Indicators'!A125:AO305,40,FALSE)</f>
        <v>3.1718771457672119</v>
      </c>
      <c r="AQ130" s="124">
        <f>VLOOKUP(A130,'2022_PAPI_Indicators'!A125:AP305,41,FALSE)</f>
        <v>3.2053325176239014</v>
      </c>
      <c r="AR130" s="124">
        <f>VLOOKUP(A130,'2022_PAPI_Indicators'!A125:AQ305,42,FALSE)</f>
        <v>3.2929048538208008</v>
      </c>
      <c r="AS130" s="124">
        <f>VLOOKUP(A130,'2022_PAPI_Indicators'!A125:AR305,43,FALSE)</f>
        <v>3.434795618057251</v>
      </c>
      <c r="AT130" s="124">
        <f>VLOOKUP(A130,'2022_PAPI_Indicators'!A125:AS305,44,FALSE)</f>
        <v>3.1309230327606201</v>
      </c>
      <c r="AU130" s="124">
        <f>VLOOKUP(A130,'2022_PAPI_Indicators'!A125:AT305,45,FALSE)</f>
        <v>3.4467310905456543</v>
      </c>
      <c r="AV130" s="124">
        <f>VLOOKUP(A130,'2022_PAPI_Indicators'!A125:AU305,46,FALSE)</f>
        <v>3.3865935802459717</v>
      </c>
      <c r="AW130" s="124">
        <f>VLOOKUP(A130,'2022_PAPI_Indicators'!A125:AV305,47,FALSE)</f>
        <v>3.4773259162902832</v>
      </c>
      <c r="AX130" s="124">
        <f>VLOOKUP(A130,'2022_PAPI_Indicators'!A125:AW305,48,FALSE)</f>
        <v>3.6176140308380127</v>
      </c>
      <c r="AY130" s="124">
        <f>VLOOKUP(A130,'2022_PAPI_Indicators'!A125:AX305,49,FALSE)</f>
        <v>3.4506087303161621</v>
      </c>
      <c r="AZ130" s="124">
        <f>VLOOKUP(A130,'2022_PAPI_Indicators'!A125:AY305,50,FALSE)</f>
        <v>3.6442835330963135</v>
      </c>
      <c r="BA130" s="124">
        <f>VLOOKUP(A130,'2022_PAPI_Indicators'!A125:AZ305,51,FALSE)</f>
        <v>3.6453421115875244</v>
      </c>
      <c r="BB130" s="124">
        <f>VLOOKUP(A130,'2022_PAPI_Indicators'!A125:BA305,52,FALSE)</f>
        <v>3.1423332691192627</v>
      </c>
      <c r="BC130" s="124">
        <f>VLOOKUP(A130,'2022_PAPI_Indicators'!A125:BB305,53,FALSE)</f>
        <v>3.1798410415649414</v>
      </c>
      <c r="BD130" s="124">
        <f>VLOOKUP(A130,'2022_PAPI_Indicators'!A125:BC305,54,FALSE)</f>
        <v>3.2434494495391846</v>
      </c>
      <c r="BE130" s="124">
        <f>VLOOKUP(A130,'2022_PAPI_Indicators'!A125:BD305,55,FALSE)</f>
        <v>3.3996891975402832</v>
      </c>
      <c r="BF130" s="124">
        <f>VLOOKUP(A130,'2022_PAPI_Indicators'!A125:BE305,56,FALSE)</f>
        <v>3.5980935096740723</v>
      </c>
      <c r="BG130" s="124">
        <f>VLOOKUP(A130,'2022_PAPI_Indicators'!A125:BF305,57,FALSE)</f>
        <v>3.4690957069396973</v>
      </c>
      <c r="BH130" s="124">
        <f>VLOOKUP(A130,'2022_PAPI_Indicators'!A125:BG305,58,FALSE)</f>
        <v>3.5831711292266846</v>
      </c>
      <c r="BI130" s="124">
        <f>VLOOKUP(A130,'2022_PAPI_Indicators'!A125:BH305,59,FALSE)</f>
        <v>3.2087030410766602</v>
      </c>
      <c r="BJ130" s="124">
        <f>VLOOKUP(A130,'2022_PAPI_Indicators'!A125:BI305,60,FALSE)</f>
        <v>3.2812197208404541</v>
      </c>
      <c r="BK130" s="124">
        <f>VLOOKUP(A130,'2022_PAPI_Indicators'!A125:BJ305,61,FALSE)</f>
        <v>3.2644708156585693</v>
      </c>
      <c r="BL130" s="124">
        <f>VLOOKUP(A130,'2022_PAPI_Indicators'!A125:BK305,62,FALSE)</f>
        <v>3.2900047302246094</v>
      </c>
      <c r="BM130" s="124">
        <f>VLOOKUP(A130,'2022_PAPI_Indicators'!A125:BL305,63,FALSE)</f>
        <v>3.3949737548828125</v>
      </c>
      <c r="BN130" s="124">
        <f>VLOOKUP(A130,'2022_PAPI_Indicators'!A125:BM305,64,FALSE)</f>
        <v>3.3521096706390381</v>
      </c>
    </row>
    <row r="131" spans="1:66" x14ac:dyDescent="0.2">
      <c r="A131" s="70" t="s">
        <v>343</v>
      </c>
      <c r="B131" s="70" t="s">
        <v>344</v>
      </c>
      <c r="C131" s="89" t="s">
        <v>269</v>
      </c>
      <c r="D131" s="124">
        <f>VLOOKUP(A131,'2022_PAPI_Indicators'!A126:B306,2,)</f>
        <v>3.7792377471923828</v>
      </c>
      <c r="E131" s="124">
        <f>VLOOKUP(A131,'2022_PAPI_Indicators'!A126:C306,3,FALSE)</f>
        <v>2.0652117729187012</v>
      </c>
      <c r="F131" s="124">
        <f>VLOOKUP(A131,'2022_PAPI_Indicators'!A126:D306,4,FALSE)</f>
        <v>1.7508310079574585</v>
      </c>
      <c r="G131" s="124">
        <f>VLOOKUP(A131,'2022_PAPI_Indicators'!A126:E306,5,FALSE)</f>
        <v>1.5686743259429932</v>
      </c>
      <c r="H131" s="124">
        <f>VLOOKUP(A131,'2022_PAPI_Indicators'!A126:F306,6,FALSE)</f>
        <v>2.9722690582275391</v>
      </c>
      <c r="I131" s="124">
        <f>VLOOKUP(A131,'2022_PAPI_Indicators'!A126:G306,7,FALSE)</f>
        <v>2.4697515964508057</v>
      </c>
      <c r="J131" s="124">
        <f>VLOOKUP(A131,'2022_PAPI_Indicators'!A126:H306,8,FALSE)</f>
        <v>1.688773512840271</v>
      </c>
      <c r="K131" s="124">
        <f>VLOOKUP(A131,'2022_PAPI_Indicators'!A126:I306,9,FALSE)</f>
        <v>2.22377610206604</v>
      </c>
      <c r="L131" s="124">
        <f>VLOOKUP(A131,'2022_PAPI_Indicators'!A126:J306,10,FALSE)</f>
        <v>2.4281275272369385</v>
      </c>
      <c r="M131" s="124">
        <f>VLOOKUP(A131,'2022_PAPI_Indicators'!A126:K306,11,FALSE)</f>
        <v>1.8041104078292847</v>
      </c>
      <c r="N131" s="124">
        <f>VLOOKUP(A131,'2022_PAPI_Indicators'!A126:L306,12,FALSE)</f>
        <v>2.0976204872131348</v>
      </c>
      <c r="O131" s="124">
        <f>VLOOKUP(A131,'2022_PAPI_Indicators'!A126:M306,13,FALSE)</f>
        <v>2.8152728080749512</v>
      </c>
      <c r="P131" s="124">
        <f>VLOOKUP(A131,'2022_PAPI_Indicators'!A126:N306,14,FALSE)</f>
        <v>2.5043518543243408</v>
      </c>
      <c r="Q131" s="124">
        <f>VLOOKUP(A131,'2022_PAPI_Indicators'!A126:O306,15,FALSE)</f>
        <v>3.8511536121368408</v>
      </c>
      <c r="R131" s="125">
        <f>VLOOKUP(A131,'2022_PAPI_Indicators'!A126:P306,16,FALSE)</f>
        <v>2.5893790721893311</v>
      </c>
      <c r="S131" s="124">
        <f>VLOOKUP(A131,'2022_PAPI_Indicators'!A126:R306,17,FALSE)</f>
        <v>2.7843751907348633</v>
      </c>
      <c r="T131" s="124">
        <f>VLOOKUP(A131,'2022_PAPI_Indicators'!A126:S306,18,FALSE)</f>
        <v>3.5515167713165283</v>
      </c>
      <c r="U131" s="125">
        <f>VLOOKUP(A131,'2022_PAPI_Indicators'!A126:T306,19,FALSE)</f>
        <v>3.7138116359710693</v>
      </c>
      <c r="V131" s="124">
        <f>VLOOKUP(A131,'2022_PAPI_Indicators'!A126:U306,20,FALSE)</f>
        <v>2.7562150955200195</v>
      </c>
      <c r="W131" s="124">
        <f>VLOOKUP(A131,'2022_PAPI_Indicators'!A126:V306,21,FALSE)</f>
        <v>3.6628689765930176</v>
      </c>
      <c r="X131" s="124">
        <f>VLOOKUP(A131,'2022_PAPI_Indicators'!A126:W306,22,FALSE)</f>
        <v>3.0470123291015625</v>
      </c>
      <c r="Y131" s="124">
        <f>VLOOKUP(A131,'2022_PAPI_Indicators'!A126:X306,23,FALSE)</f>
        <v>3.4989962577819824</v>
      </c>
      <c r="Z131" s="124">
        <f>VLOOKUP(A131,'2022_PAPI_Indicators'!A126:Y306,24,FALSE)</f>
        <v>2.622291088104248</v>
      </c>
      <c r="AA131" s="124">
        <f>VLOOKUP(A131,'2022_PAPI_Indicators'!A126:Z306,25,FALSE)</f>
        <v>2.7000365257263184</v>
      </c>
      <c r="AB131" s="124">
        <f>VLOOKUP(A131,'2022_PAPI_Indicators'!A126:AA306,26,FALSE)</f>
        <v>2.7147490978240967</v>
      </c>
      <c r="AC131" s="124">
        <f>VLOOKUP(A131,'2022_PAPI_Indicators'!A126:AB306,27,FALSE)</f>
        <v>2.7471015453338623</v>
      </c>
      <c r="AD131" s="124">
        <f>VLOOKUP(A131,'2022_PAPI_Indicators'!A126:AC306,28,FALSE)</f>
        <v>2.6203277111053467</v>
      </c>
      <c r="AE131" s="124">
        <f>VLOOKUP(A131,'2022_PAPI_Indicators'!A126:AD306,29,FALSE)</f>
        <v>2.5922181606292725</v>
      </c>
      <c r="AF131" s="124">
        <f>VLOOKUP(A131,'2022_PAPI_Indicators'!A126:AE306,30,FALSE)</f>
        <v>2.8838081359863281</v>
      </c>
      <c r="AG131" s="124">
        <f>VLOOKUP(A131,'2022_PAPI_Indicators'!A126:AF306,31,FALSE)</f>
        <v>2.5604641437530518</v>
      </c>
      <c r="AH131" s="124">
        <f>VLOOKUP(A131,'2022_PAPI_Indicators'!A126:AG306,32,FALSE)</f>
        <v>3.0709538459777832</v>
      </c>
      <c r="AI131" s="124">
        <f>VLOOKUP(A131,'2022_PAPI_Indicators'!A126:AH306,33,FALSE)</f>
        <v>3.754845142364502</v>
      </c>
      <c r="AJ131" s="124">
        <f>VLOOKUP(A131,'2022_PAPI_Indicators'!A126:AI306,34,FALSE)</f>
        <v>2.8978948593139648</v>
      </c>
      <c r="AK131" s="124">
        <f>VLOOKUP(A131,'2022_PAPI_Indicators'!A126:AJ306,35,FALSE)</f>
        <v>1.5134755373001099</v>
      </c>
      <c r="AL131" s="124">
        <f>VLOOKUP(A131,'2022_PAPI_Indicators'!A126:AK306,36,FALSE)</f>
        <v>2.2174797058105469</v>
      </c>
      <c r="AM131" s="124">
        <f>VLOOKUP(A131,'2022_PAPI_Indicators'!A126:AL306,37,FALSE)</f>
        <v>2.2194840908050537</v>
      </c>
      <c r="AN131" s="124">
        <f>VLOOKUP(A131,'2022_PAPI_Indicators'!A126:AM306,38,FALSE)</f>
        <v>2.9064309597015381</v>
      </c>
      <c r="AO131" s="124">
        <f>VLOOKUP(A131,'2022_PAPI_Indicators'!A126:AN306,39,FALSE)</f>
        <v>2.4350810050964355</v>
      </c>
      <c r="AP131" s="124">
        <f>VLOOKUP(A131,'2022_PAPI_Indicators'!A126:AO306,40,FALSE)</f>
        <v>1.6468051671981812</v>
      </c>
      <c r="AQ131" s="124">
        <f>VLOOKUP(A131,'2022_PAPI_Indicators'!A126:AP306,41,FALSE)</f>
        <v>2.1910538673400879</v>
      </c>
      <c r="AR131" s="124">
        <f>VLOOKUP(A131,'2022_PAPI_Indicators'!A126:AQ306,42,FALSE)</f>
        <v>1.7722396850585938</v>
      </c>
      <c r="AS131" s="124">
        <f>VLOOKUP(A131,'2022_PAPI_Indicators'!A126:AR306,43,FALSE)</f>
        <v>1.7476671934127808</v>
      </c>
      <c r="AT131" s="124">
        <f>VLOOKUP(A131,'2022_PAPI_Indicators'!A126:AS306,44,FALSE)</f>
        <v>1.5469152927398682</v>
      </c>
      <c r="AU131" s="124">
        <f>VLOOKUP(A131,'2022_PAPI_Indicators'!A126:AT306,45,FALSE)</f>
        <v>2.4111247062683105</v>
      </c>
      <c r="AV131" s="124">
        <f>VLOOKUP(A131,'2022_PAPI_Indicators'!A126:AU306,46,FALSE)</f>
        <v>2.5864157676696777</v>
      </c>
      <c r="AW131" s="124">
        <f>VLOOKUP(A131,'2022_PAPI_Indicators'!A126:AV306,47,FALSE)</f>
        <v>2.3681323528289795</v>
      </c>
      <c r="AX131" s="124">
        <f>VLOOKUP(A131,'2022_PAPI_Indicators'!A126:AW306,48,FALSE)</f>
        <v>3.1584784984588623</v>
      </c>
      <c r="AY131" s="124">
        <f>VLOOKUP(A131,'2022_PAPI_Indicators'!A126:AX306,49,FALSE)</f>
        <v>2.6544106006622314</v>
      </c>
      <c r="AZ131" s="124">
        <f>VLOOKUP(A131,'2022_PAPI_Indicators'!A126:AY306,50,FALSE)</f>
        <v>3.0652859210968018</v>
      </c>
      <c r="BA131" s="124">
        <f>VLOOKUP(A131,'2022_PAPI_Indicators'!A126:AZ306,51,FALSE)</f>
        <v>3.345379114151001</v>
      </c>
      <c r="BB131" s="124">
        <f>VLOOKUP(A131,'2022_PAPI_Indicators'!A126:BA306,52,FALSE)</f>
        <v>2.4966874122619629</v>
      </c>
      <c r="BC131" s="124">
        <f>VLOOKUP(A131,'2022_PAPI_Indicators'!A126:BB306,53,FALSE)</f>
        <v>2.5012421607971191</v>
      </c>
      <c r="BD131" s="124">
        <f>VLOOKUP(A131,'2022_PAPI_Indicators'!A126:BC306,54,FALSE)</f>
        <v>1.960781455039978</v>
      </c>
      <c r="BE131" s="124">
        <f>VLOOKUP(A131,'2022_PAPI_Indicators'!A126:BD306,55,FALSE)</f>
        <v>2.802131175994873</v>
      </c>
      <c r="BF131" s="124">
        <f>VLOOKUP(A131,'2022_PAPI_Indicators'!A126:BE306,56,FALSE)</f>
        <v>3.3924939632415771</v>
      </c>
      <c r="BG131" s="124">
        <f>VLOOKUP(A131,'2022_PAPI_Indicators'!A126:BF306,57,FALSE)</f>
        <v>2.2566807270050049</v>
      </c>
      <c r="BH131" s="124">
        <f>VLOOKUP(A131,'2022_PAPI_Indicators'!A126:BG306,58,FALSE)</f>
        <v>3.5908105373382568</v>
      </c>
      <c r="BI131" s="124">
        <f>VLOOKUP(A131,'2022_PAPI_Indicators'!A126:BH306,59,FALSE)</f>
        <v>1.8028489351272583</v>
      </c>
      <c r="BJ131" s="124">
        <f>VLOOKUP(A131,'2022_PAPI_Indicators'!A126:BI306,60,FALSE)</f>
        <v>1.6516518592834473</v>
      </c>
      <c r="BK131" s="124">
        <f>VLOOKUP(A131,'2022_PAPI_Indicators'!A126:BJ306,61,FALSE)</f>
        <v>2.3432722091674805</v>
      </c>
      <c r="BL131" s="124">
        <f>VLOOKUP(A131,'2022_PAPI_Indicators'!A126:BK306,62,FALSE)</f>
        <v>2.3542530536651611</v>
      </c>
      <c r="BM131" s="124">
        <f>VLOOKUP(A131,'2022_PAPI_Indicators'!A126:BL306,63,FALSE)</f>
        <v>1.7365003824234009</v>
      </c>
      <c r="BN131" s="124">
        <f>VLOOKUP(A131,'2022_PAPI_Indicators'!A126:BM306,64,FALSE)</f>
        <v>2.1412997245788574</v>
      </c>
    </row>
    <row r="132" spans="1:66" ht="12" customHeight="1" x14ac:dyDescent="0.2">
      <c r="A132" s="70" t="s">
        <v>345</v>
      </c>
      <c r="B132" s="70" t="s">
        <v>346</v>
      </c>
      <c r="C132" s="89" t="s">
        <v>90</v>
      </c>
      <c r="D132" s="133">
        <f>VLOOKUP(A132,'2022_PAPI_Indicators'!A127:B307,2,)</f>
        <v>0.92983293533325195</v>
      </c>
      <c r="E132" s="133">
        <f>VLOOKUP(A132,'2022_PAPI_Indicators'!A127:C307,3,FALSE)</f>
        <v>0.51043158769607544</v>
      </c>
      <c r="F132" s="133">
        <f>VLOOKUP(A132,'2022_PAPI_Indicators'!A127:D307,4,FALSE)</f>
        <v>0.37402331829071045</v>
      </c>
      <c r="G132" s="133">
        <f>VLOOKUP(A132,'2022_PAPI_Indicators'!A127:E307,5,FALSE)</f>
        <v>0.43107244372367859</v>
      </c>
      <c r="H132" s="133">
        <f>VLOOKUP(A132,'2022_PAPI_Indicators'!A127:F307,6,FALSE)</f>
        <v>0.47194644808769226</v>
      </c>
      <c r="I132" s="133">
        <f>VLOOKUP(A132,'2022_PAPI_Indicators'!A127:G307,7,FALSE)</f>
        <v>0.6185716986656189</v>
      </c>
      <c r="J132" s="133">
        <f>VLOOKUP(A132,'2022_PAPI_Indicators'!A127:H307,8,FALSE)</f>
        <v>0.14030300080776215</v>
      </c>
      <c r="K132" s="133">
        <f>VLOOKUP(A132,'2022_PAPI_Indicators'!A127:I307,9,FALSE)</f>
        <v>0.45966035127639771</v>
      </c>
      <c r="L132" s="133">
        <f>VLOOKUP(A132,'2022_PAPI_Indicators'!A127:J307,10,FALSE)</f>
        <v>0.42773628234863281</v>
      </c>
      <c r="M132" s="133">
        <f>VLOOKUP(A132,'2022_PAPI_Indicators'!A127:K307,11,FALSE)</f>
        <v>0.35932523012161255</v>
      </c>
      <c r="N132" s="133">
        <f>VLOOKUP(A132,'2022_PAPI_Indicators'!A127:L307,12,FALSE)</f>
        <v>0.19082178175449371</v>
      </c>
      <c r="O132" s="133">
        <f>VLOOKUP(A132,'2022_PAPI_Indicators'!A127:M307,13,FALSE)</f>
        <v>0.36102399230003357</v>
      </c>
      <c r="P132" s="133">
        <f>VLOOKUP(A132,'2022_PAPI_Indicators'!A127:N307,14,FALSE)</f>
        <v>0.51595211029052734</v>
      </c>
      <c r="Q132" s="133">
        <f>VLOOKUP(A132,'2022_PAPI_Indicators'!A127:O307,15,FALSE)</f>
        <v>0.68328523635864258</v>
      </c>
      <c r="R132" s="135">
        <f>VLOOKUP(A132,'2022_PAPI_Indicators'!A127:P307,16,FALSE)</f>
        <v>0.68852448463439941</v>
      </c>
      <c r="S132" s="133">
        <f>VLOOKUP(A132,'2022_PAPI_Indicators'!A127:R307,17,FALSE)</f>
        <v>0.61624681949615479</v>
      </c>
      <c r="T132" s="133">
        <f>VLOOKUP(A132,'2022_PAPI_Indicators'!A127:S307,18,FALSE)</f>
        <v>0.8515932559967041</v>
      </c>
      <c r="U132" s="135">
        <f>VLOOKUP(A132,'2022_PAPI_Indicators'!A127:T307,19,FALSE)</f>
        <v>0.79304826259613037</v>
      </c>
      <c r="V132" s="133">
        <f>VLOOKUP(A132,'2022_PAPI_Indicators'!A127:U307,20,FALSE)</f>
        <v>0.76842683553695679</v>
      </c>
      <c r="W132" s="133">
        <f>VLOOKUP(A132,'2022_PAPI_Indicators'!A127:V307,21,FALSE)</f>
        <v>0.89872163534164429</v>
      </c>
      <c r="X132" s="133">
        <f>VLOOKUP(A132,'2022_PAPI_Indicators'!A127:W307,22,FALSE)</f>
        <v>0.77686190605163574</v>
      </c>
      <c r="Y132" s="133">
        <f>VLOOKUP(A132,'2022_PAPI_Indicators'!A127:X307,23,FALSE)</f>
        <v>0.94926446676254272</v>
      </c>
      <c r="Z132" s="133">
        <f>VLOOKUP(A132,'2022_PAPI_Indicators'!A127:Y307,24,FALSE)</f>
        <v>0.5274808406829834</v>
      </c>
      <c r="AA132" s="133">
        <f>VLOOKUP(A132,'2022_PAPI_Indicators'!A127:Z307,25,FALSE)</f>
        <v>0.64439654350280762</v>
      </c>
      <c r="AB132" s="133">
        <f>VLOOKUP(A132,'2022_PAPI_Indicators'!A127:AA307,26,FALSE)</f>
        <v>0.70936232805252075</v>
      </c>
      <c r="AC132" s="133">
        <f>VLOOKUP(A132,'2022_PAPI_Indicators'!A127:AB307,27,FALSE)</f>
        <v>0.58473223447799683</v>
      </c>
      <c r="AD132" s="133">
        <f>VLOOKUP(A132,'2022_PAPI_Indicators'!A127:AC307,28,FALSE)</f>
        <v>0.42537334561347961</v>
      </c>
      <c r="AE132" s="133">
        <f>VLOOKUP(A132,'2022_PAPI_Indicators'!A127:AD307,29,FALSE)</f>
        <v>0.775482177734375</v>
      </c>
      <c r="AF132" s="133">
        <f>VLOOKUP(A132,'2022_PAPI_Indicators'!A127:AE307,30,FALSE)</f>
        <v>0.52524113655090332</v>
      </c>
      <c r="AG132" s="133">
        <f>VLOOKUP(A132,'2022_PAPI_Indicators'!A127:AF307,31,FALSE)</f>
        <v>0.48224666714668274</v>
      </c>
      <c r="AH132" s="133">
        <f>VLOOKUP(A132,'2022_PAPI_Indicators'!A127:AG307,32,FALSE)</f>
        <v>0.87229949235916138</v>
      </c>
      <c r="AI132" s="133">
        <f>VLOOKUP(A132,'2022_PAPI_Indicators'!A127:AH307,33,FALSE)</f>
        <v>0.97298151254653931</v>
      </c>
      <c r="AJ132" s="133">
        <f>VLOOKUP(A132,'2022_PAPI_Indicators'!A127:AI307,34,FALSE)</f>
        <v>0.60553103685379028</v>
      </c>
      <c r="AK132" s="133">
        <f>VLOOKUP(A132,'2022_PAPI_Indicators'!A127:AJ307,35,FALSE)</f>
        <v>0.25631570816040039</v>
      </c>
      <c r="AL132" s="133">
        <f>VLOOKUP(A132,'2022_PAPI_Indicators'!A127:AK307,36,FALSE)</f>
        <v>0.29361245036125183</v>
      </c>
      <c r="AM132" s="133">
        <f>VLOOKUP(A132,'2022_PAPI_Indicators'!A127:AL307,37,FALSE)</f>
        <v>0.60570526123046875</v>
      </c>
      <c r="AN132" s="133">
        <f>VLOOKUP(A132,'2022_PAPI_Indicators'!A127:AM307,38,FALSE)</f>
        <v>0.77083027362823486</v>
      </c>
      <c r="AO132" s="133">
        <f>VLOOKUP(A132,'2022_PAPI_Indicators'!A127:AN307,39,FALSE)</f>
        <v>0.96900618076324463</v>
      </c>
      <c r="AP132" s="133">
        <f>VLOOKUP(A132,'2022_PAPI_Indicators'!A127:AO307,40,FALSE)</f>
        <v>0.70131272077560425</v>
      </c>
      <c r="AQ132" s="133">
        <f>VLOOKUP(A132,'2022_PAPI_Indicators'!A127:AP307,41,FALSE)</f>
        <v>0.15034402906894684</v>
      </c>
      <c r="AR132" s="133">
        <f>VLOOKUP(A132,'2022_PAPI_Indicators'!A127:AQ307,42,FALSE)</f>
        <v>0.14797258377075195</v>
      </c>
      <c r="AS132" s="133">
        <f>VLOOKUP(A132,'2022_PAPI_Indicators'!A127:AR307,43,FALSE)</f>
        <v>0.14583146572113037</v>
      </c>
      <c r="AT132" s="133">
        <f>VLOOKUP(A132,'2022_PAPI_Indicators'!A127:AS307,44,FALSE)</f>
        <v>0.15896093845367432</v>
      </c>
      <c r="AU132" s="133">
        <f>VLOOKUP(A132,'2022_PAPI_Indicators'!A127:AT307,45,FALSE)</f>
        <v>0.20845142006874084</v>
      </c>
      <c r="AV132" s="133">
        <f>VLOOKUP(A132,'2022_PAPI_Indicators'!A127:AU307,46,FALSE)</f>
        <v>0.28104743361473083</v>
      </c>
      <c r="AW132" s="133">
        <f>VLOOKUP(A132,'2022_PAPI_Indicators'!A127:AV307,47,FALSE)</f>
        <v>0.20362913608551025</v>
      </c>
      <c r="AX132" s="133">
        <f>VLOOKUP(A132,'2022_PAPI_Indicators'!A127:AW307,48,FALSE)</f>
        <v>0.76975357532501221</v>
      </c>
      <c r="AY132" s="133">
        <f>VLOOKUP(A132,'2022_PAPI_Indicators'!A127:AX307,49,FALSE)</f>
        <v>0.63203895092010498</v>
      </c>
      <c r="AZ132" s="133">
        <f>VLOOKUP(A132,'2022_PAPI_Indicators'!A127:AY307,50,FALSE)</f>
        <v>0.79744982719421387</v>
      </c>
      <c r="BA132" s="133">
        <f>VLOOKUP(A132,'2022_PAPI_Indicators'!A127:AZ307,51,FALSE)</f>
        <v>0.92679733037948608</v>
      </c>
      <c r="BB132" s="133">
        <f>VLOOKUP(A132,'2022_PAPI_Indicators'!A127:BA307,52,FALSE)</f>
        <v>0.29012662172317505</v>
      </c>
      <c r="BC132" s="133">
        <f>VLOOKUP(A132,'2022_PAPI_Indicators'!A127:BB307,53,FALSE)</f>
        <v>0.83910501003265381</v>
      </c>
      <c r="BD132" s="133">
        <f>VLOOKUP(A132,'2022_PAPI_Indicators'!A127:BC307,54,FALSE)</f>
        <v>0.57699120044708252</v>
      </c>
      <c r="BE132" s="133">
        <f>VLOOKUP(A132,'2022_PAPI_Indicators'!A127:BD307,55,FALSE)</f>
        <v>0.71693044900894165</v>
      </c>
      <c r="BF132" s="133">
        <f>VLOOKUP(A132,'2022_PAPI_Indicators'!A127:BE307,56,FALSE)</f>
        <v>0.90373939275741577</v>
      </c>
      <c r="BG132" s="133">
        <f>VLOOKUP(A132,'2022_PAPI_Indicators'!A127:BF307,57,FALSE)</f>
        <v>0.85623115301132202</v>
      </c>
      <c r="BH132" s="133">
        <f>VLOOKUP(A132,'2022_PAPI_Indicators'!A127:BG307,58,FALSE)</f>
        <v>0.88118398189544678</v>
      </c>
      <c r="BI132" s="133">
        <f>VLOOKUP(A132,'2022_PAPI_Indicators'!A127:BH307,59,FALSE)</f>
        <v>0.51254671812057495</v>
      </c>
      <c r="BJ132" s="133">
        <f>VLOOKUP(A132,'2022_PAPI_Indicators'!A127:BI307,60,FALSE)</f>
        <v>0.81403261423110962</v>
      </c>
      <c r="BK132" s="133">
        <f>VLOOKUP(A132,'2022_PAPI_Indicators'!A127:BJ307,61,FALSE)</f>
        <v>0.62942224740982056</v>
      </c>
      <c r="BL132" s="133">
        <f>VLOOKUP(A132,'2022_PAPI_Indicators'!A127:BK307,62,FALSE)</f>
        <v>0.62156820297241211</v>
      </c>
      <c r="BM132" s="133">
        <f>VLOOKUP(A132,'2022_PAPI_Indicators'!A127:BL307,63,FALSE)</f>
        <v>0.78117746114730835</v>
      </c>
      <c r="BN132" s="133">
        <f>VLOOKUP(A132,'2022_PAPI_Indicators'!A127:BM307,64,FALSE)</f>
        <v>0.57673555612564087</v>
      </c>
    </row>
    <row r="133" spans="1:66" x14ac:dyDescent="0.2">
      <c r="A133" s="70" t="s">
        <v>347</v>
      </c>
      <c r="B133" s="70" t="s">
        <v>348</v>
      </c>
      <c r="C133" s="89" t="s">
        <v>90</v>
      </c>
      <c r="D133" s="133">
        <f>VLOOKUP(A133,'2022_PAPI_Indicators'!A128:B308,2,)</f>
        <v>7.2657926939427853E-3</v>
      </c>
      <c r="E133" s="133">
        <f>VLOOKUP(A133,'2022_PAPI_Indicators'!A128:C308,3,FALSE)</f>
        <v>9.0552955865859985E-2</v>
      </c>
      <c r="F133" s="133">
        <f>VLOOKUP(A133,'2022_PAPI_Indicators'!A128:D308,4,FALSE)</f>
        <v>7.3644313961267471E-3</v>
      </c>
      <c r="G133" s="133">
        <f>VLOOKUP(A133,'2022_PAPI_Indicators'!A128:E308,5,FALSE)</f>
        <v>0</v>
      </c>
      <c r="H133" s="133">
        <f>VLOOKUP(A133,'2022_PAPI_Indicators'!A128:F308,6,FALSE)</f>
        <v>0</v>
      </c>
      <c r="I133" s="133">
        <f>VLOOKUP(A133,'2022_PAPI_Indicators'!A128:G308,7,FALSE)</f>
        <v>6.8222279660403728E-3</v>
      </c>
      <c r="J133" s="133">
        <f>VLOOKUP(A133,'2022_PAPI_Indicators'!A128:H308,8,FALSE)</f>
        <v>0</v>
      </c>
      <c r="K133" s="133">
        <f>VLOOKUP(A133,'2022_PAPI_Indicators'!A128:I308,9,FALSE)</f>
        <v>5.4601444862782955E-3</v>
      </c>
      <c r="L133" s="133">
        <f>VLOOKUP(A133,'2022_PAPI_Indicators'!A128:J308,10,FALSE)</f>
        <v>2.3784052580595016E-2</v>
      </c>
      <c r="M133" s="133">
        <f>VLOOKUP(A133,'2022_PAPI_Indicators'!A128:K308,11,FALSE)</f>
        <v>0</v>
      </c>
      <c r="N133" s="133">
        <f>VLOOKUP(A133,'2022_PAPI_Indicators'!A128:L308,12,FALSE)</f>
        <v>5.0126083195209503E-2</v>
      </c>
      <c r="O133" s="133">
        <f>VLOOKUP(A133,'2022_PAPI_Indicators'!A128:M308,13,FALSE)</f>
        <v>4.5032077468931675E-3</v>
      </c>
      <c r="P133" s="133">
        <f>VLOOKUP(A133,'2022_PAPI_Indicators'!A128:N308,14,FALSE)</f>
        <v>3.125E-2</v>
      </c>
      <c r="Q133" s="133">
        <f>VLOOKUP(A133,'2022_PAPI_Indicators'!A128:O308,15,FALSE)</f>
        <v>4.5244969427585602E-2</v>
      </c>
      <c r="R133" s="135">
        <f>VLOOKUP(A133,'2022_PAPI_Indicators'!A128:P308,16,FALSE)</f>
        <v>7.4160834774374962E-3</v>
      </c>
      <c r="S133" s="133">
        <f>VLOOKUP(A133,'2022_PAPI_Indicators'!A128:R308,17,FALSE)</f>
        <v>2.1581828594207764E-2</v>
      </c>
      <c r="T133" s="133">
        <f>VLOOKUP(A133,'2022_PAPI_Indicators'!A128:S308,18,FALSE)</f>
        <v>1.413397304713726E-2</v>
      </c>
      <c r="U133" s="135">
        <f>VLOOKUP(A133,'2022_PAPI_Indicators'!A128:T308,19,FALSE)</f>
        <v>3.3284932374954224E-2</v>
      </c>
      <c r="V133" s="133">
        <f>VLOOKUP(A133,'2022_PAPI_Indicators'!A128:U308,20,FALSE)</f>
        <v>5.6138947606086731E-2</v>
      </c>
      <c r="W133" s="133">
        <f>VLOOKUP(A133,'2022_PAPI_Indicators'!A128:V308,21,FALSE)</f>
        <v>5.0639186054468155E-2</v>
      </c>
      <c r="X133" s="133">
        <f>VLOOKUP(A133,'2022_PAPI_Indicators'!A128:W308,22,FALSE)</f>
        <v>9.6793919801712036E-2</v>
      </c>
      <c r="Y133" s="133">
        <f>VLOOKUP(A133,'2022_PAPI_Indicators'!A128:X308,23,FALSE)</f>
        <v>2.8991717845201492E-2</v>
      </c>
      <c r="Z133" s="133">
        <f>VLOOKUP(A133,'2022_PAPI_Indicators'!A128:Y308,24,FALSE)</f>
        <v>0.37456703186035156</v>
      </c>
      <c r="AA133" s="133">
        <f>VLOOKUP(A133,'2022_PAPI_Indicators'!A128:Z308,25,FALSE)</f>
        <v>0.35560342669487</v>
      </c>
      <c r="AB133" s="133">
        <f>VLOOKUP(A133,'2022_PAPI_Indicators'!A128:AA308,26,FALSE)</f>
        <v>0.1307869553565979</v>
      </c>
      <c r="AC133" s="133">
        <f>VLOOKUP(A133,'2022_PAPI_Indicators'!A128:AB308,27,FALSE)</f>
        <v>2.9661981388926506E-2</v>
      </c>
      <c r="AD133" s="133">
        <f>VLOOKUP(A133,'2022_PAPI_Indicators'!A128:AC308,28,FALSE)</f>
        <v>0.18353621661663055</v>
      </c>
      <c r="AE133" s="133">
        <f>VLOOKUP(A133,'2022_PAPI_Indicators'!A128:AD308,29,FALSE)</f>
        <v>8.232320100069046E-2</v>
      </c>
      <c r="AF133" s="133">
        <f>VLOOKUP(A133,'2022_PAPI_Indicators'!A128:AE308,30,FALSE)</f>
        <v>6.9817476905882359E-3</v>
      </c>
      <c r="AG133" s="133">
        <f>VLOOKUP(A133,'2022_PAPI_Indicators'!A128:AF308,31,FALSE)</f>
        <v>6.455935537815094E-2</v>
      </c>
      <c r="AH133" s="133">
        <f>VLOOKUP(A133,'2022_PAPI_Indicators'!A128:AG308,32,FALSE)</f>
        <v>0</v>
      </c>
      <c r="AI133" s="133">
        <f>VLOOKUP(A133,'2022_PAPI_Indicators'!A128:AH308,33,FALSE)</f>
        <v>0</v>
      </c>
      <c r="AJ133" s="133">
        <f>VLOOKUP(A133,'2022_PAPI_Indicators'!A128:AI308,34,FALSE)</f>
        <v>0</v>
      </c>
      <c r="AK133" s="133">
        <f>VLOOKUP(A133,'2022_PAPI_Indicators'!A128:AJ308,35,FALSE)</f>
        <v>0</v>
      </c>
      <c r="AL133" s="133">
        <f>VLOOKUP(A133,'2022_PAPI_Indicators'!A128:AK308,36,FALSE)</f>
        <v>0</v>
      </c>
      <c r="AM133" s="133">
        <f>VLOOKUP(A133,'2022_PAPI_Indicators'!A128:AL308,37,FALSE)</f>
        <v>0</v>
      </c>
      <c r="AN133" s="133">
        <f>VLOOKUP(A133,'2022_PAPI_Indicators'!A128:AM308,38,FALSE)</f>
        <v>0</v>
      </c>
      <c r="AO133" s="133">
        <f>VLOOKUP(A133,'2022_PAPI_Indicators'!A128:AN308,39,FALSE)</f>
        <v>0</v>
      </c>
      <c r="AP133" s="133">
        <f>VLOOKUP(A133,'2022_PAPI_Indicators'!A128:AO308,40,FALSE)</f>
        <v>2.1059688180685043E-2</v>
      </c>
      <c r="AQ133" s="133">
        <f>VLOOKUP(A133,'2022_PAPI_Indicators'!A128:AP308,41,FALSE)</f>
        <v>0</v>
      </c>
      <c r="AR133" s="133">
        <f>VLOOKUP(A133,'2022_PAPI_Indicators'!A128:AQ308,42,FALSE)</f>
        <v>7.0946067571640015E-3</v>
      </c>
      <c r="AS133" s="133">
        <f>VLOOKUP(A133,'2022_PAPI_Indicators'!A128:AR308,43,FALSE)</f>
        <v>3.2658778131008148E-2</v>
      </c>
      <c r="AT133" s="133">
        <f>VLOOKUP(A133,'2022_PAPI_Indicators'!A128:AS308,44,FALSE)</f>
        <v>5.8500855229794979E-3</v>
      </c>
      <c r="AU133" s="133">
        <f>VLOOKUP(A133,'2022_PAPI_Indicators'!A128:AT308,45,FALSE)</f>
        <v>0</v>
      </c>
      <c r="AV133" s="133">
        <f>VLOOKUP(A133,'2022_PAPI_Indicators'!A128:AU308,46,FALSE)</f>
        <v>7.2545991279184818E-3</v>
      </c>
      <c r="AW133" s="133">
        <f>VLOOKUP(A133,'2022_PAPI_Indicators'!A128:AV308,47,FALSE)</f>
        <v>0</v>
      </c>
      <c r="AX133" s="133">
        <f>VLOOKUP(A133,'2022_PAPI_Indicators'!A128:AW308,48,FALSE)</f>
        <v>0</v>
      </c>
      <c r="AY133" s="133">
        <f>VLOOKUP(A133,'2022_PAPI_Indicators'!A128:AX308,49,FALSE)</f>
        <v>4.3138903565704823E-3</v>
      </c>
      <c r="AZ133" s="133">
        <f>VLOOKUP(A133,'2022_PAPI_Indicators'!A128:AY308,50,FALSE)</f>
        <v>0</v>
      </c>
      <c r="BA133" s="133">
        <f>VLOOKUP(A133,'2022_PAPI_Indicators'!A128:AZ308,51,FALSE)</f>
        <v>0</v>
      </c>
      <c r="BB133" s="133">
        <f>VLOOKUP(A133,'2022_PAPI_Indicators'!A128:BA308,52,FALSE)</f>
        <v>1.8737904727458954E-2</v>
      </c>
      <c r="BC133" s="133">
        <f>VLOOKUP(A133,'2022_PAPI_Indicators'!A128:BB308,53,FALSE)</f>
        <v>4.3009497225284576E-2</v>
      </c>
      <c r="BD133" s="133">
        <f>VLOOKUP(A133,'2022_PAPI_Indicators'!A128:BC308,54,FALSE)</f>
        <v>0.27373665571212769</v>
      </c>
      <c r="BE133" s="133">
        <f>VLOOKUP(A133,'2022_PAPI_Indicators'!A128:BD308,55,FALSE)</f>
        <v>1.5726085752248764E-2</v>
      </c>
      <c r="BF133" s="133">
        <f>VLOOKUP(A133,'2022_PAPI_Indicators'!A128:BE308,56,FALSE)</f>
        <v>2.0627269521355629E-2</v>
      </c>
      <c r="BG133" s="133">
        <f>VLOOKUP(A133,'2022_PAPI_Indicators'!A128:BF308,57,FALSE)</f>
        <v>8.4884639363735914E-4</v>
      </c>
      <c r="BH133" s="133">
        <f>VLOOKUP(A133,'2022_PAPI_Indicators'!A128:BG308,58,FALSE)</f>
        <v>8.9112007990479469E-3</v>
      </c>
      <c r="BI133" s="133">
        <f>VLOOKUP(A133,'2022_PAPI_Indicators'!A128:BH308,59,FALSE)</f>
        <v>0.20871485769748688</v>
      </c>
      <c r="BJ133" s="133">
        <f>VLOOKUP(A133,'2022_PAPI_Indicators'!A128:BI308,60,FALSE)</f>
        <v>8.396591991186142E-2</v>
      </c>
      <c r="BK133" s="133">
        <f>VLOOKUP(A133,'2022_PAPI_Indicators'!A128:BJ308,61,FALSE)</f>
        <v>6.350553035736084E-2</v>
      </c>
      <c r="BL133" s="133">
        <f>VLOOKUP(A133,'2022_PAPI_Indicators'!A128:BK308,62,FALSE)</f>
        <v>7.6060250401496887E-2</v>
      </c>
      <c r="BM133" s="133">
        <f>VLOOKUP(A133,'2022_PAPI_Indicators'!A128:BL308,63,FALSE)</f>
        <v>5.9916682541370392E-2</v>
      </c>
      <c r="BN133" s="133">
        <f>VLOOKUP(A133,'2022_PAPI_Indicators'!A128:BM308,64,FALSE)</f>
        <v>7.1085475385189056E-2</v>
      </c>
    </row>
    <row r="134" spans="1:66" s="112" customFormat="1" x14ac:dyDescent="0.2">
      <c r="A134" s="77" t="s">
        <v>349</v>
      </c>
      <c r="B134" s="77" t="s">
        <v>350</v>
      </c>
      <c r="C134" s="92" t="s">
        <v>448</v>
      </c>
      <c r="D134" s="131">
        <f>VLOOKUP(A134,'2022_PAPI_Indicators'!A129:B309,2,)</f>
        <v>1.9537707567214966</v>
      </c>
      <c r="E134" s="131">
        <f>VLOOKUP(A134,'2022_PAPI_Indicators'!A129:C309,3,FALSE)</f>
        <v>1.8855080604553223</v>
      </c>
      <c r="F134" s="131">
        <f>VLOOKUP(A134,'2022_PAPI_Indicators'!A129:D309,4,FALSE)</f>
        <v>1.8594188690185547</v>
      </c>
      <c r="G134" s="131">
        <f>VLOOKUP(A134,'2022_PAPI_Indicators'!A129:E309,5,FALSE)</f>
        <v>1.8635988235473633</v>
      </c>
      <c r="H134" s="131">
        <f>VLOOKUP(A134,'2022_PAPI_Indicators'!A129:F309,6,FALSE)</f>
        <v>2.0232570171356201</v>
      </c>
      <c r="I134" s="131">
        <f>VLOOKUP(A134,'2022_PAPI_Indicators'!A129:G309,7,FALSE)</f>
        <v>1.8759266138076782</v>
      </c>
      <c r="J134" s="131">
        <f>VLOOKUP(A134,'2022_PAPI_Indicators'!A129:H309,8,FALSE)</f>
        <v>1.9523000717163086</v>
      </c>
      <c r="K134" s="131">
        <f>VLOOKUP(A134,'2022_PAPI_Indicators'!A129:I309,9,FALSE)</f>
        <v>1.8683407306671143</v>
      </c>
      <c r="L134" s="131">
        <f>VLOOKUP(A134,'2022_PAPI_Indicators'!A129:J309,10,FALSE)</f>
        <v>1.9437782764434814</v>
      </c>
      <c r="M134" s="131">
        <f>VLOOKUP(A134,'2022_PAPI_Indicators'!A129:K309,11,FALSE)</f>
        <v>1.9820832014083862</v>
      </c>
      <c r="N134" s="131">
        <f>VLOOKUP(A134,'2022_PAPI_Indicators'!A129:L309,12,FALSE)</f>
        <v>1.9493649005889893</v>
      </c>
      <c r="O134" s="131">
        <f>VLOOKUP(A134,'2022_PAPI_Indicators'!A129:M309,13,FALSE)</f>
        <v>1.9175695180892944</v>
      </c>
      <c r="P134" s="131">
        <f>VLOOKUP(A134,'2022_PAPI_Indicators'!A129:N309,14,FALSE)</f>
        <v>2.0014450550079346</v>
      </c>
      <c r="Q134" s="131">
        <f>VLOOKUP(A134,'2022_PAPI_Indicators'!A129:O309,15,FALSE)</f>
        <v>2.1236240863800049</v>
      </c>
      <c r="R134" s="132">
        <f>VLOOKUP(A134,'2022_PAPI_Indicators'!A129:P309,16,FALSE)</f>
        <v>2.0145294666290283</v>
      </c>
      <c r="S134" s="131">
        <f>VLOOKUP(A134,'2022_PAPI_Indicators'!A129:R309,17,FALSE)</f>
        <v>2.0047931671142578</v>
      </c>
      <c r="T134" s="131">
        <f>VLOOKUP(A134,'2022_PAPI_Indicators'!A129:S309,18,FALSE)</f>
        <v>2.0142176151275635</v>
      </c>
      <c r="U134" s="132">
        <f>VLOOKUP(A134,'2022_PAPI_Indicators'!A129:T309,19,FALSE)</f>
        <v>2.052344799041748</v>
      </c>
      <c r="V134" s="131">
        <f>VLOOKUP(A134,'2022_PAPI_Indicators'!A129:U309,20,FALSE)</f>
        <v>1.9829500913619995</v>
      </c>
      <c r="W134" s="131">
        <f>VLOOKUP(A134,'2022_PAPI_Indicators'!A129:V309,21,FALSE)</f>
        <v>1.9469059705734253</v>
      </c>
      <c r="X134" s="131">
        <f>VLOOKUP(A134,'2022_PAPI_Indicators'!A129:W309,22,FALSE)</f>
        <v>2.0073015689849854</v>
      </c>
      <c r="Y134" s="131">
        <f>VLOOKUP(A134,'2022_PAPI_Indicators'!A129:X309,23,FALSE)</f>
        <v>1.9301048517227173</v>
      </c>
      <c r="Z134" s="131">
        <f>VLOOKUP(A134,'2022_PAPI_Indicators'!A129:Y309,24,FALSE)</f>
        <v>1.9957367181777954</v>
      </c>
      <c r="AA134" s="131">
        <f>VLOOKUP(A134,'2022_PAPI_Indicators'!A129:Z309,25,FALSE)</f>
        <v>2.0154573917388916</v>
      </c>
      <c r="AB134" s="131">
        <f>VLOOKUP(A134,'2022_PAPI_Indicators'!A129:AA309,26,FALSE)</f>
        <v>1.9831421375274658</v>
      </c>
      <c r="AC134" s="131">
        <f>VLOOKUP(A134,'2022_PAPI_Indicators'!A129:AB309,27,FALSE)</f>
        <v>2.0254886150360107</v>
      </c>
      <c r="AD134" s="131">
        <f>VLOOKUP(A134,'2022_PAPI_Indicators'!A129:AC309,28,FALSE)</f>
        <v>1.9331841468811035</v>
      </c>
      <c r="AE134" s="131">
        <f>VLOOKUP(A134,'2022_PAPI_Indicators'!A129:AD309,29,FALSE)</f>
        <v>1.928753137588501</v>
      </c>
      <c r="AF134" s="131">
        <f>VLOOKUP(A134,'2022_PAPI_Indicators'!A129:AE309,30,FALSE)</f>
        <v>1.8849678039550781</v>
      </c>
      <c r="AG134" s="131">
        <f>VLOOKUP(A134,'2022_PAPI_Indicators'!A129:AF309,31,FALSE)</f>
        <v>1.820213794708252</v>
      </c>
      <c r="AH134" s="131">
        <f>VLOOKUP(A134,'2022_PAPI_Indicators'!A129:AG309,32,FALSE)</f>
        <v>1.9848809242248535</v>
      </c>
      <c r="AI134" s="131">
        <f>VLOOKUP(A134,'2022_PAPI_Indicators'!A129:AH309,33,FALSE)</f>
        <v>1.961504340171814</v>
      </c>
      <c r="AJ134" s="131">
        <f>VLOOKUP(A134,'2022_PAPI_Indicators'!A129:AI309,34,FALSE)</f>
        <v>1.9670665264129639</v>
      </c>
      <c r="AK134" s="131">
        <f>VLOOKUP(A134,'2022_PAPI_Indicators'!A129:AJ309,35,FALSE)</f>
        <v>1.9615547657012939</v>
      </c>
      <c r="AL134" s="131">
        <f>VLOOKUP(A134,'2022_PAPI_Indicators'!A129:AK309,36,FALSE)</f>
        <v>1.9832892417907715</v>
      </c>
      <c r="AM134" s="131">
        <f>VLOOKUP(A134,'2022_PAPI_Indicators'!A129:AL309,37,FALSE)</f>
        <v>1.9331841468811035</v>
      </c>
      <c r="AN134" s="131">
        <f>VLOOKUP(A134,'2022_PAPI_Indicators'!A129:AM309,38,FALSE)</f>
        <v>1.9161394834518433</v>
      </c>
      <c r="AO134" s="131">
        <f>VLOOKUP(A134,'2022_PAPI_Indicators'!A129:AN309,39,FALSE)</f>
        <v>2.0091907978057861</v>
      </c>
      <c r="AP134" s="131">
        <f>VLOOKUP(A134,'2022_PAPI_Indicators'!A129:AO309,40,FALSE)</f>
        <v>1.9084172248840332</v>
      </c>
      <c r="AQ134" s="131">
        <f>VLOOKUP(A134,'2022_PAPI_Indicators'!A129:AP309,41,FALSE)</f>
        <v>1.8737856149673462</v>
      </c>
      <c r="AR134" s="131">
        <f>VLOOKUP(A134,'2022_PAPI_Indicators'!A129:AQ309,42,FALSE)</f>
        <v>1.8553966283798218</v>
      </c>
      <c r="AS134" s="131">
        <f>VLOOKUP(A134,'2022_PAPI_Indicators'!A129:AR309,43,FALSE)</f>
        <v>1.9018833637237549</v>
      </c>
      <c r="AT134" s="131">
        <f>VLOOKUP(A134,'2022_PAPI_Indicators'!A129:AS309,44,FALSE)</f>
        <v>1.905882716178894</v>
      </c>
      <c r="AU134" s="131">
        <f>VLOOKUP(A134,'2022_PAPI_Indicators'!A129:AT309,45,FALSE)</f>
        <v>1.8765957355499268</v>
      </c>
      <c r="AV134" s="131">
        <f>VLOOKUP(A134,'2022_PAPI_Indicators'!A129:AU309,46,FALSE)</f>
        <v>1.8958709239959717</v>
      </c>
      <c r="AW134" s="131">
        <f>VLOOKUP(A134,'2022_PAPI_Indicators'!A129:AV309,47,FALSE)</f>
        <v>1.9130433797836304</v>
      </c>
      <c r="AX134" s="131">
        <f>VLOOKUP(A134,'2022_PAPI_Indicators'!A129:AW309,48,FALSE)</f>
        <v>1.9944062232971191</v>
      </c>
      <c r="AY134" s="131">
        <f>VLOOKUP(A134,'2022_PAPI_Indicators'!A129:AX309,49,FALSE)</f>
        <v>1.9003217220306396</v>
      </c>
      <c r="AZ134" s="131">
        <f>VLOOKUP(A134,'2022_PAPI_Indicators'!A129:AY309,50,FALSE)</f>
        <v>1.9311609268188477</v>
      </c>
      <c r="BA134" s="131">
        <f>VLOOKUP(A134,'2022_PAPI_Indicators'!A129:AZ309,51,FALSE)</f>
        <v>1.889246940612793</v>
      </c>
      <c r="BB134" s="131">
        <f>VLOOKUP(A134,'2022_PAPI_Indicators'!A129:BA309,52,FALSE)</f>
        <v>1.8602426052093506</v>
      </c>
      <c r="BC134" s="131">
        <f>VLOOKUP(A134,'2022_PAPI_Indicators'!A129:BB309,53,FALSE)</f>
        <v>1.8517671823501587</v>
      </c>
      <c r="BD134" s="131">
        <f>VLOOKUP(A134,'2022_PAPI_Indicators'!A129:BC309,54,FALSE)</f>
        <v>1.9003561735153198</v>
      </c>
      <c r="BE134" s="131">
        <f>VLOOKUP(A134,'2022_PAPI_Indicators'!A129:BD309,55,FALSE)</f>
        <v>1.927021861076355</v>
      </c>
      <c r="BF134" s="131">
        <f>VLOOKUP(A134,'2022_PAPI_Indicators'!A129:BE309,56,FALSE)</f>
        <v>2.0256626605987549</v>
      </c>
      <c r="BG134" s="131">
        <f>VLOOKUP(A134,'2022_PAPI_Indicators'!A129:BF309,57,FALSE)</f>
        <v>1.9031001329421997</v>
      </c>
      <c r="BH134" s="131">
        <f>VLOOKUP(A134,'2022_PAPI_Indicators'!A129:BG309,58,FALSE)</f>
        <v>1.9347922801971436</v>
      </c>
      <c r="BI134" s="131">
        <f>VLOOKUP(A134,'2022_PAPI_Indicators'!A129:BH309,59,FALSE)</f>
        <v>1.935734748840332</v>
      </c>
      <c r="BJ134" s="131">
        <f>VLOOKUP(A134,'2022_PAPI_Indicators'!A129:BI309,60,FALSE)</f>
        <v>1.8950333595275879</v>
      </c>
      <c r="BK134" s="131">
        <f>VLOOKUP(A134,'2022_PAPI_Indicators'!A129:BJ309,61,FALSE)</f>
        <v>1.9445886611938477</v>
      </c>
      <c r="BL134" s="131">
        <f>VLOOKUP(A134,'2022_PAPI_Indicators'!A129:BK309,62,FALSE)</f>
        <v>1.9752192497253418</v>
      </c>
      <c r="BM134" s="131">
        <f>VLOOKUP(A134,'2022_PAPI_Indicators'!A129:BL309,63,FALSE)</f>
        <v>2.0093402862548828</v>
      </c>
      <c r="BN134" s="131">
        <f>VLOOKUP(A134,'2022_PAPI_Indicators'!A129:BM309,64,FALSE)</f>
        <v>1.9243777990341187</v>
      </c>
    </row>
    <row r="135" spans="1:66" x14ac:dyDescent="0.2">
      <c r="A135" s="70" t="s">
        <v>351</v>
      </c>
      <c r="B135" s="70" t="s">
        <v>352</v>
      </c>
      <c r="C135" s="89" t="s">
        <v>175</v>
      </c>
      <c r="D135" s="124">
        <f>VLOOKUP(A135,'2022_PAPI_Indicators'!A130:B310,2,)</f>
        <v>2.3222136497497559</v>
      </c>
      <c r="E135" s="124">
        <f>VLOOKUP(A135,'2022_PAPI_Indicators'!A130:C310,3,FALSE)</f>
        <v>2.2874689102172852</v>
      </c>
      <c r="F135" s="124">
        <f>VLOOKUP(A135,'2022_PAPI_Indicators'!A130:D310,4,FALSE)</f>
        <v>2.1066808700561523</v>
      </c>
      <c r="G135" s="124">
        <f>VLOOKUP(A135,'2022_PAPI_Indicators'!A130:E310,5,FALSE)</f>
        <v>2.1401174068450928</v>
      </c>
      <c r="H135" s="124">
        <f>VLOOKUP(A135,'2022_PAPI_Indicators'!A130:F310,6,FALSE)</f>
        <v>2.4444444179534912</v>
      </c>
      <c r="I135" s="124">
        <f>VLOOKUP(A135,'2022_PAPI_Indicators'!A130:G310,7,FALSE)</f>
        <v>2.2048814296722412</v>
      </c>
      <c r="J135" s="124">
        <f>VLOOKUP(A135,'2022_PAPI_Indicators'!A130:H310,8,FALSE)</f>
        <v>2.3711421489715576</v>
      </c>
      <c r="K135" s="124">
        <f>VLOOKUP(A135,'2022_PAPI_Indicators'!A130:I310,9,FALSE)</f>
        <v>2.1678032875061035</v>
      </c>
      <c r="L135" s="124">
        <f>VLOOKUP(A135,'2022_PAPI_Indicators'!A130:J310,10,FALSE)</f>
        <v>2.3223891258239746</v>
      </c>
      <c r="M135" s="124">
        <f>VLOOKUP(A135,'2022_PAPI_Indicators'!A130:K310,11,FALSE)</f>
        <v>2.357621431350708</v>
      </c>
      <c r="N135" s="124">
        <f>VLOOKUP(A135,'2022_PAPI_Indicators'!A130:L310,12,FALSE)</f>
        <v>2.2862393856048584</v>
      </c>
      <c r="O135" s="124">
        <f>VLOOKUP(A135,'2022_PAPI_Indicators'!A130:M310,13,FALSE)</f>
        <v>2.2434065341949463</v>
      </c>
      <c r="P135" s="124">
        <f>VLOOKUP(A135,'2022_PAPI_Indicators'!A130:N310,14,FALSE)</f>
        <v>2.4007234573364258</v>
      </c>
      <c r="Q135" s="124">
        <f>VLOOKUP(A135,'2022_PAPI_Indicators'!A130:O310,15,FALSE)</f>
        <v>2.6585400104522705</v>
      </c>
      <c r="R135" s="125">
        <f>VLOOKUP(A135,'2022_PAPI_Indicators'!A130:P310,16,FALSE)</f>
        <v>2.4610533714294434</v>
      </c>
      <c r="S135" s="124">
        <f>VLOOKUP(A135,'2022_PAPI_Indicators'!A130:R310,17,FALSE)</f>
        <v>2.371164083480835</v>
      </c>
      <c r="T135" s="124">
        <f>VLOOKUP(A135,'2022_PAPI_Indicators'!A130:S310,18,FALSE)</f>
        <v>2.4468603134155273</v>
      </c>
      <c r="U135" s="125">
        <f>VLOOKUP(A135,'2022_PAPI_Indicators'!A130:T310,19,FALSE)</f>
        <v>2.5198967456817627</v>
      </c>
      <c r="V135" s="124">
        <f>VLOOKUP(A135,'2022_PAPI_Indicators'!A130:U310,20,FALSE)</f>
        <v>2.3255095481872559</v>
      </c>
      <c r="W135" s="124">
        <f>VLOOKUP(A135,'2022_PAPI_Indicators'!A130:V310,21,FALSE)</f>
        <v>2.2921617031097412</v>
      </c>
      <c r="X135" s="124">
        <f>VLOOKUP(A135,'2022_PAPI_Indicators'!A130:W310,22,FALSE)</f>
        <v>2.3826098442077637</v>
      </c>
      <c r="Y135" s="124">
        <f>VLOOKUP(A135,'2022_PAPI_Indicators'!A130:X310,23,FALSE)</f>
        <v>2.1983485221862793</v>
      </c>
      <c r="Z135" s="124">
        <f>VLOOKUP(A135,'2022_PAPI_Indicators'!A130:Y310,24,FALSE)</f>
        <v>2.4445490837097168</v>
      </c>
      <c r="AA135" s="124">
        <f>VLOOKUP(A135,'2022_PAPI_Indicators'!A130:Z310,25,FALSE)</f>
        <v>2.4201204776763916</v>
      </c>
      <c r="AB135" s="124">
        <f>VLOOKUP(A135,'2022_PAPI_Indicators'!A130:AA310,26,FALSE)</f>
        <v>2.3517715930938721</v>
      </c>
      <c r="AC135" s="124">
        <f>VLOOKUP(A135,'2022_PAPI_Indicators'!A130:AB310,27,FALSE)</f>
        <v>2.4591107368469238</v>
      </c>
      <c r="AD135" s="124">
        <f>VLOOKUP(A135,'2022_PAPI_Indicators'!A130:AC310,28,FALSE)</f>
        <v>2.236337423324585</v>
      </c>
      <c r="AE135" s="124">
        <f>VLOOKUP(A135,'2022_PAPI_Indicators'!A130:AD310,29,FALSE)</f>
        <v>2.2851929664611816</v>
      </c>
      <c r="AF135" s="124">
        <f>VLOOKUP(A135,'2022_PAPI_Indicators'!A130:AE310,30,FALSE)</f>
        <v>2.0927002429962158</v>
      </c>
      <c r="AG135" s="124">
        <f>VLOOKUP(A135,'2022_PAPI_Indicators'!A130:AF310,31,FALSE)</f>
        <v>2.0735599994659424</v>
      </c>
      <c r="AH135" s="124">
        <f>VLOOKUP(A135,'2022_PAPI_Indicators'!A130:AG310,32,FALSE)</f>
        <v>2.367701530456543</v>
      </c>
      <c r="AI135" s="124">
        <f>VLOOKUP(A135,'2022_PAPI_Indicators'!A130:AH310,33,FALSE)</f>
        <v>2.3462560176849365</v>
      </c>
      <c r="AJ135" s="124">
        <f>VLOOKUP(A135,'2022_PAPI_Indicators'!A130:AI310,34,FALSE)</f>
        <v>2.3475656509399414</v>
      </c>
      <c r="AK135" s="124">
        <f>VLOOKUP(A135,'2022_PAPI_Indicators'!A130:AJ310,35,FALSE)</f>
        <v>2.392298698425293</v>
      </c>
      <c r="AL135" s="124">
        <f>VLOOKUP(A135,'2022_PAPI_Indicators'!A130:AK310,36,FALSE)</f>
        <v>2.3955135345458984</v>
      </c>
      <c r="AM135" s="124">
        <f>VLOOKUP(A135,'2022_PAPI_Indicators'!A130:AL310,37,FALSE)</f>
        <v>2.3261752128601074</v>
      </c>
      <c r="AN135" s="124">
        <f>VLOOKUP(A135,'2022_PAPI_Indicators'!A130:AM310,38,FALSE)</f>
        <v>2.2756185531616211</v>
      </c>
      <c r="AO135" s="124">
        <f>VLOOKUP(A135,'2022_PAPI_Indicators'!A130:AN310,39,FALSE)</f>
        <v>2.4442110061645508</v>
      </c>
      <c r="AP135" s="124">
        <f>VLOOKUP(A135,'2022_PAPI_Indicators'!A130:AO310,40,FALSE)</f>
        <v>2.2649459838867188</v>
      </c>
      <c r="AQ135" s="124">
        <f>VLOOKUP(A135,'2022_PAPI_Indicators'!A130:AP310,41,FALSE)</f>
        <v>2.2393991947174072</v>
      </c>
      <c r="AR135" s="124">
        <f>VLOOKUP(A135,'2022_PAPI_Indicators'!A130:AQ310,42,FALSE)</f>
        <v>2.1293916702270508</v>
      </c>
      <c r="AS135" s="124">
        <f>VLOOKUP(A135,'2022_PAPI_Indicators'!A130:AR310,43,FALSE)</f>
        <v>2.209280252456665</v>
      </c>
      <c r="AT135" s="124">
        <f>VLOOKUP(A135,'2022_PAPI_Indicators'!A130:AS310,44,FALSE)</f>
        <v>2.2680830955505371</v>
      </c>
      <c r="AU135" s="124">
        <f>VLOOKUP(A135,'2022_PAPI_Indicators'!A130:AT310,45,FALSE)</f>
        <v>2.206852912902832</v>
      </c>
      <c r="AV135" s="124">
        <f>VLOOKUP(A135,'2022_PAPI_Indicators'!A130:AU310,46,FALSE)</f>
        <v>2.2173542976379395</v>
      </c>
      <c r="AW135" s="124">
        <f>VLOOKUP(A135,'2022_PAPI_Indicators'!A130:AV310,47,FALSE)</f>
        <v>2.2542827129364014</v>
      </c>
      <c r="AX135" s="124">
        <f>VLOOKUP(A135,'2022_PAPI_Indicators'!A130:AW310,48,FALSE)</f>
        <v>2.4150362014770508</v>
      </c>
      <c r="AY135" s="124">
        <f>VLOOKUP(A135,'2022_PAPI_Indicators'!A130:AX310,49,FALSE)</f>
        <v>2.2536027431488037</v>
      </c>
      <c r="AZ135" s="124">
        <f>VLOOKUP(A135,'2022_PAPI_Indicators'!A130:AY310,50,FALSE)</f>
        <v>2.3564577102661133</v>
      </c>
      <c r="BA135" s="124">
        <f>VLOOKUP(A135,'2022_PAPI_Indicators'!A130:AZ310,51,FALSE)</f>
        <v>2.2407989501953125</v>
      </c>
      <c r="BB135" s="124">
        <f>VLOOKUP(A135,'2022_PAPI_Indicators'!A130:BA310,52,FALSE)</f>
        <v>2.1728839874267578</v>
      </c>
      <c r="BC135" s="124">
        <f>VLOOKUP(A135,'2022_PAPI_Indicators'!A130:BB310,53,FALSE)</f>
        <v>2.1449706554412842</v>
      </c>
      <c r="BD135" s="124">
        <f>VLOOKUP(A135,'2022_PAPI_Indicators'!A130:BC310,54,FALSE)</f>
        <v>2.2379529476165771</v>
      </c>
      <c r="BE135" s="124">
        <f>VLOOKUP(A135,'2022_PAPI_Indicators'!A130:BD310,55,FALSE)</f>
        <v>2.2907950878143311</v>
      </c>
      <c r="BF135" s="124">
        <f>VLOOKUP(A135,'2022_PAPI_Indicators'!A130:BE310,56,FALSE)</f>
        <v>2.5085322856903076</v>
      </c>
      <c r="BG135" s="124">
        <f>VLOOKUP(A135,'2022_PAPI_Indicators'!A130:BF310,57,FALSE)</f>
        <v>2.3093562126159668</v>
      </c>
      <c r="BH135" s="124">
        <f>VLOOKUP(A135,'2022_PAPI_Indicators'!A130:BG310,58,FALSE)</f>
        <v>2.3669307231903076</v>
      </c>
      <c r="BI135" s="124">
        <f>VLOOKUP(A135,'2022_PAPI_Indicators'!A130:BH310,59,FALSE)</f>
        <v>2.3321242332458496</v>
      </c>
      <c r="BJ135" s="124">
        <f>VLOOKUP(A135,'2022_PAPI_Indicators'!A130:BI310,60,FALSE)</f>
        <v>2.2546865940093994</v>
      </c>
      <c r="BK135" s="124">
        <f>VLOOKUP(A135,'2022_PAPI_Indicators'!A130:BJ310,61,FALSE)</f>
        <v>2.374596118927002</v>
      </c>
      <c r="BL135" s="124">
        <f>VLOOKUP(A135,'2022_PAPI_Indicators'!A130:BK310,62,FALSE)</f>
        <v>2.4176127910614014</v>
      </c>
      <c r="BM135" s="124">
        <f>VLOOKUP(A135,'2022_PAPI_Indicators'!A130:BL310,63,FALSE)</f>
        <v>2.5394828319549561</v>
      </c>
      <c r="BN135" s="124">
        <f>VLOOKUP(A135,'2022_PAPI_Indicators'!A130:BM310,64,FALSE)</f>
        <v>2.3131284713745117</v>
      </c>
    </row>
    <row r="136" spans="1:66" x14ac:dyDescent="0.2">
      <c r="A136" s="70" t="s">
        <v>353</v>
      </c>
      <c r="B136" s="70" t="s">
        <v>354</v>
      </c>
      <c r="C136" s="89" t="s">
        <v>90</v>
      </c>
      <c r="D136" s="133">
        <f>VLOOKUP(A136,'2022_PAPI_Indicators'!A131:B311,2,)</f>
        <v>0.15314038097858429</v>
      </c>
      <c r="E136" s="133">
        <f>VLOOKUP(A136,'2022_PAPI_Indicators'!A131:C311,3,FALSE)</f>
        <v>8.3264186978340149E-2</v>
      </c>
      <c r="F136" s="133">
        <f>VLOOKUP(A136,'2022_PAPI_Indicators'!A131:D311,4,FALSE)</f>
        <v>0.16401058435440063</v>
      </c>
      <c r="G136" s="133">
        <f>VLOOKUP(A136,'2022_PAPI_Indicators'!A131:E311,5,FALSE)</f>
        <v>0.17430287599563599</v>
      </c>
      <c r="H136" s="133">
        <f>VLOOKUP(A136,'2022_PAPI_Indicators'!A131:F311,6,FALSE)</f>
        <v>0.17546749114990234</v>
      </c>
      <c r="I136" s="133">
        <f>VLOOKUP(A136,'2022_PAPI_Indicators'!A131:G311,7,FALSE)</f>
        <v>0.1157536581158638</v>
      </c>
      <c r="J136" s="133">
        <f>VLOOKUP(A136,'2022_PAPI_Indicators'!A131:H311,8,FALSE)</f>
        <v>0.13562923669815063</v>
      </c>
      <c r="K136" s="133">
        <f>VLOOKUP(A136,'2022_PAPI_Indicators'!A131:I311,9,FALSE)</f>
        <v>2.4729695171117783E-2</v>
      </c>
      <c r="L136" s="133">
        <f>VLOOKUP(A136,'2022_PAPI_Indicators'!A131:J311,10,FALSE)</f>
        <v>7.729562371969223E-2</v>
      </c>
      <c r="M136" s="133">
        <f>VLOOKUP(A136,'2022_PAPI_Indicators'!A131:K311,11,FALSE)</f>
        <v>0.19237756729125977</v>
      </c>
      <c r="N136" s="133">
        <f>VLOOKUP(A136,'2022_PAPI_Indicators'!A131:L311,12,FALSE)</f>
        <v>0.25411310791969299</v>
      </c>
      <c r="O136" s="133">
        <f>VLOOKUP(A136,'2022_PAPI_Indicators'!A131:M311,13,FALSE)</f>
        <v>0.17126695811748505</v>
      </c>
      <c r="P136" s="133">
        <f>VLOOKUP(A136,'2022_PAPI_Indicators'!A131:N311,14,FALSE)</f>
        <v>0.18086801469326019</v>
      </c>
      <c r="Q136" s="145">
        <f>VLOOKUP(A136,'2022_PAPI_Indicators'!A131:O311,15,FALSE)</f>
        <v>0.17616155743598938</v>
      </c>
      <c r="R136" s="135">
        <f>VLOOKUP(A136,'2022_PAPI_Indicators'!A131:P311,16,FALSE)</f>
        <v>0.15704283118247986</v>
      </c>
      <c r="S136" s="133">
        <f>VLOOKUP(A136,'2022_PAPI_Indicators'!A131:R311,17,FALSE)</f>
        <v>0.19592452049255371</v>
      </c>
      <c r="T136" s="133">
        <f>VLOOKUP(A136,'2022_PAPI_Indicators'!A131:S311,18,FALSE)</f>
        <v>0.15737996995449066</v>
      </c>
      <c r="U136" s="135">
        <f>VLOOKUP(A136,'2022_PAPI_Indicators'!A131:T311,19,FALSE)</f>
        <v>0.1286228746175766</v>
      </c>
      <c r="V136" s="133">
        <f>VLOOKUP(A136,'2022_PAPI_Indicators'!A131:U311,20,FALSE)</f>
        <v>0.24388515949249268</v>
      </c>
      <c r="W136" s="133">
        <f>VLOOKUP(A136,'2022_PAPI_Indicators'!A131:V311,21,FALSE)</f>
        <v>0.16477395594120026</v>
      </c>
      <c r="X136" s="133">
        <f>VLOOKUP(A136,'2022_PAPI_Indicators'!A131:W311,22,FALSE)</f>
        <v>0.31633120775222778</v>
      </c>
      <c r="Y136" s="133">
        <f>VLOOKUP(A136,'2022_PAPI_Indicators'!A131:X311,23,FALSE)</f>
        <v>0.10773821175098419</v>
      </c>
      <c r="Z136" s="133">
        <f>VLOOKUP(A136,'2022_PAPI_Indicators'!A131:Y311,24,FALSE)</f>
        <v>0.27711346745491028</v>
      </c>
      <c r="AA136" s="133">
        <f>VLOOKUP(A136,'2022_PAPI_Indicators'!A131:Z311,25,FALSE)</f>
        <v>0.1720660924911499</v>
      </c>
      <c r="AB136" s="133">
        <f>VLOOKUP(A136,'2022_PAPI_Indicators'!A131:AA311,26,FALSE)</f>
        <v>0.16370870172977448</v>
      </c>
      <c r="AC136" s="133">
        <f>VLOOKUP(A136,'2022_PAPI_Indicators'!A131:AB311,27,FALSE)</f>
        <v>0.26062947511672974</v>
      </c>
      <c r="AD136" s="133">
        <f>VLOOKUP(A136,'2022_PAPI_Indicators'!A131:AC311,28,FALSE)</f>
        <v>0.14305028319358826</v>
      </c>
      <c r="AE136" s="133">
        <f>VLOOKUP(A136,'2022_PAPI_Indicators'!A131:AD311,29,FALSE)</f>
        <v>0.2855236828327179</v>
      </c>
      <c r="AF136" s="133">
        <f>VLOOKUP(A136,'2022_PAPI_Indicators'!A131:AE311,30,FALSE)</f>
        <v>0.14035046100616455</v>
      </c>
      <c r="AG136" s="133">
        <f>VLOOKUP(A136,'2022_PAPI_Indicators'!A131:AF311,31,FALSE)</f>
        <v>3.268544003367424E-2</v>
      </c>
      <c r="AH136" s="133">
        <f>VLOOKUP(A136,'2022_PAPI_Indicators'!A131:AG311,32,FALSE)</f>
        <v>0.11463283747434616</v>
      </c>
      <c r="AI136" s="133">
        <f>VLOOKUP(A136,'2022_PAPI_Indicators'!A131:AH311,33,FALSE)</f>
        <v>7.5714573264122009E-2</v>
      </c>
      <c r="AJ136" s="133">
        <f>VLOOKUP(A136,'2022_PAPI_Indicators'!A131:AI311,34,FALSE)</f>
        <v>0.22824232280254364</v>
      </c>
      <c r="AK136" s="133">
        <f>VLOOKUP(A136,'2022_PAPI_Indicators'!A131:AJ311,35,FALSE)</f>
        <v>0.11804940551519394</v>
      </c>
      <c r="AL136" s="133">
        <f>VLOOKUP(A136,'2022_PAPI_Indicators'!A131:AK311,36,FALSE)</f>
        <v>4.8056267201900482E-2</v>
      </c>
      <c r="AM136" s="133">
        <f>VLOOKUP(A136,'2022_PAPI_Indicators'!A131:AL311,37,FALSE)</f>
        <v>5.8514945209026337E-2</v>
      </c>
      <c r="AN136" s="133">
        <f>VLOOKUP(A136,'2022_PAPI_Indicators'!A131:AM311,38,FALSE)</f>
        <v>4.191993921995163E-2</v>
      </c>
      <c r="AO136" s="133">
        <f>VLOOKUP(A136,'2022_PAPI_Indicators'!A131:AN311,39,FALSE)</f>
        <v>0.18814677000045776</v>
      </c>
      <c r="AP136" s="133">
        <f>VLOOKUP(A136,'2022_PAPI_Indicators'!A131:AO311,40,FALSE)</f>
        <v>7.7080890536308289E-2</v>
      </c>
      <c r="AQ136" s="133">
        <f>VLOOKUP(A136,'2022_PAPI_Indicators'!A131:AP311,41,FALSE)</f>
        <v>9.0902643278241158E-3</v>
      </c>
      <c r="AR136" s="133">
        <f>VLOOKUP(A136,'2022_PAPI_Indicators'!A131:AQ311,42,FALSE)</f>
        <v>8.1496685743331909E-2</v>
      </c>
      <c r="AS136" s="133">
        <f>VLOOKUP(A136,'2022_PAPI_Indicators'!A131:AR311,43,FALSE)</f>
        <v>0.13078603148460388</v>
      </c>
      <c r="AT136" s="133">
        <f>VLOOKUP(A136,'2022_PAPI_Indicators'!A131:AS311,44,FALSE)</f>
        <v>0.13266730308532715</v>
      </c>
      <c r="AU136" s="133">
        <f>VLOOKUP(A136,'2022_PAPI_Indicators'!A131:AT311,45,FALSE)</f>
        <v>0.110783651471138</v>
      </c>
      <c r="AV136" s="133">
        <f>VLOOKUP(A136,'2022_PAPI_Indicators'!A131:AU311,46,FALSE)</f>
        <v>4.9653574824333191E-2</v>
      </c>
      <c r="AW136" s="133">
        <f>VLOOKUP(A136,'2022_PAPI_Indicators'!A131:AV311,47,FALSE)</f>
        <v>5.7337395846843719E-2</v>
      </c>
      <c r="AX136" s="133">
        <f>VLOOKUP(A136,'2022_PAPI_Indicators'!A131:AW311,48,FALSE)</f>
        <v>0.12323529273271561</v>
      </c>
      <c r="AY136" s="133">
        <f>VLOOKUP(A136,'2022_PAPI_Indicators'!A131:AX311,49,FALSE)</f>
        <v>0.13630278408527374</v>
      </c>
      <c r="AZ136" s="133">
        <f>VLOOKUP(A136,'2022_PAPI_Indicators'!A131:AY311,50,FALSE)</f>
        <v>0.10722269862890244</v>
      </c>
      <c r="BA136" s="133">
        <f>VLOOKUP(A136,'2022_PAPI_Indicators'!A131:AZ311,51,FALSE)</f>
        <v>0.10416445136070251</v>
      </c>
      <c r="BB136" s="133">
        <f>VLOOKUP(A136,'2022_PAPI_Indicators'!A131:BA311,52,FALSE)</f>
        <v>4.341018944978714E-2</v>
      </c>
      <c r="BC136" s="133">
        <f>VLOOKUP(A136,'2022_PAPI_Indicators'!A131:BB311,53,FALSE)</f>
        <v>0.11827027052640915</v>
      </c>
      <c r="BD136" s="133">
        <f>VLOOKUP(A136,'2022_PAPI_Indicators'!A131:BC311,54,FALSE)</f>
        <v>5.9768833220005035E-2</v>
      </c>
      <c r="BE136" s="133">
        <f>VLOOKUP(A136,'2022_PAPI_Indicators'!A131:BD311,55,FALSE)</f>
        <v>7.8191056847572327E-2</v>
      </c>
      <c r="BF136" s="133">
        <f>VLOOKUP(A136,'2022_PAPI_Indicators'!A131:BE311,56,FALSE)</f>
        <v>0.11260108649730682</v>
      </c>
      <c r="BG136" s="133">
        <f>VLOOKUP(A136,'2022_PAPI_Indicators'!A131:BF311,57,FALSE)</f>
        <v>8.4439225494861603E-2</v>
      </c>
      <c r="BH136" s="133">
        <f>VLOOKUP(A136,'2022_PAPI_Indicators'!A131:BG311,58,FALSE)</f>
        <v>7.4182532727718353E-2</v>
      </c>
      <c r="BI136" s="133">
        <f>VLOOKUP(A136,'2022_PAPI_Indicators'!A131:BH311,59,FALSE)</f>
        <v>0.11422616988420486</v>
      </c>
      <c r="BJ136" s="133">
        <f>VLOOKUP(A136,'2022_PAPI_Indicators'!A131:BI311,60,FALSE)</f>
        <v>9.260404109954834E-2</v>
      </c>
      <c r="BK136" s="133">
        <f>VLOOKUP(A136,'2022_PAPI_Indicators'!A131:BJ311,61,FALSE)</f>
        <v>0.17003847658634186</v>
      </c>
      <c r="BL136" s="133">
        <f>VLOOKUP(A136,'2022_PAPI_Indicators'!A131:BK311,62,FALSE)</f>
        <v>9.4950124621391296E-2</v>
      </c>
      <c r="BM136" s="133">
        <f>VLOOKUP(A136,'2022_PAPI_Indicators'!A131:BL311,63,FALSE)</f>
        <v>0.16846849024295807</v>
      </c>
      <c r="BN136" s="133">
        <f>VLOOKUP(A136,'2022_PAPI_Indicators'!A131:BM311,64,FALSE)</f>
        <v>6.3683167099952698E-2</v>
      </c>
    </row>
    <row r="137" spans="1:66" x14ac:dyDescent="0.2">
      <c r="A137" s="70" t="s">
        <v>355</v>
      </c>
      <c r="B137" s="70" t="s">
        <v>356</v>
      </c>
      <c r="C137" s="89" t="s">
        <v>90</v>
      </c>
      <c r="D137" s="124">
        <f>VLOOKUP(A137,'2022_PAPI_Indicators'!A132:B312,2,)</f>
        <v>3.7803468704223633</v>
      </c>
      <c r="E137" s="124">
        <f>VLOOKUP(A137,'2022_PAPI_Indicators'!A132:C312,3,FALSE)</f>
        <v>4.5595545768737793</v>
      </c>
      <c r="F137" s="124">
        <f>VLOOKUP(A137,'2022_PAPI_Indicators'!A132:D312,4,FALSE)</f>
        <v>5.1820921897888184</v>
      </c>
      <c r="G137" s="124">
        <f>VLOOKUP(A137,'2022_PAPI_Indicators'!A132:E312,5,FALSE)</f>
        <v>5.8665051460266113</v>
      </c>
      <c r="H137" s="124">
        <f>VLOOKUP(A137,'2022_PAPI_Indicators'!A132:F312,6,FALSE)</f>
        <v>2.2552235126495361</v>
      </c>
      <c r="I137" s="124">
        <f>VLOOKUP(A137,'2022_PAPI_Indicators'!A132:G312,7,FALSE)</f>
        <v>13.438055992126465</v>
      </c>
      <c r="J137" s="124">
        <f>VLOOKUP(A137,'2022_PAPI_Indicators'!A132:H312,8,FALSE)</f>
        <v>10.536181449890137</v>
      </c>
      <c r="K137" s="124">
        <f>VLOOKUP(A137,'2022_PAPI_Indicators'!A132:I312,9,FALSE)</f>
        <v>12.753863334655762</v>
      </c>
      <c r="L137" s="124">
        <f>VLOOKUP(A137,'2022_PAPI_Indicators'!A132:J312,10,FALSE)</f>
        <v>8.4204730987548828</v>
      </c>
      <c r="M137" s="124">
        <f>VLOOKUP(A137,'2022_PAPI_Indicators'!A132:K312,11,FALSE)</f>
        <v>6.8813953399658203</v>
      </c>
      <c r="N137" s="124">
        <f>VLOOKUP(A137,'2022_PAPI_Indicators'!A132:L312,12,FALSE)</f>
        <v>2.9611072540283203</v>
      </c>
      <c r="O137" s="124">
        <f>VLOOKUP(A137,'2022_PAPI_Indicators'!A132:M312,13,FALSE)</f>
        <v>5.0240159034729004</v>
      </c>
      <c r="P137" s="124">
        <f>VLOOKUP(A137,'2022_PAPI_Indicators'!A132:N312,14,FALSE)</f>
        <v>0.72598344087600708</v>
      </c>
      <c r="Q137" s="124">
        <f>VLOOKUP(A137,'2022_PAPI_Indicators'!A132:O312,15,FALSE)</f>
        <v>0</v>
      </c>
      <c r="R137" s="125">
        <f>VLOOKUP(A137,'2022_PAPI_Indicators'!A132:P312,16,FALSE)</f>
        <v>4.4496502876281738</v>
      </c>
      <c r="S137" s="124">
        <f>VLOOKUP(A137,'2022_PAPI_Indicators'!A132:R312,17,FALSE)</f>
        <v>0.7193942666053772</v>
      </c>
      <c r="T137" s="124">
        <f>VLOOKUP(A137,'2022_PAPI_Indicators'!A132:S312,18,FALSE)</f>
        <v>5.1916160583496094</v>
      </c>
      <c r="U137" s="125">
        <f>VLOOKUP(A137,'2022_PAPI_Indicators'!A132:T312,19,FALSE)</f>
        <v>2.1670770645141602</v>
      </c>
      <c r="V137" s="124">
        <f>VLOOKUP(A137,'2022_PAPI_Indicators'!A132:U312,20,FALSE)</f>
        <v>3.8164842128753662</v>
      </c>
      <c r="W137" s="124">
        <f>VLOOKUP(A137,'2022_PAPI_Indicators'!A132:V312,21,FALSE)</f>
        <v>7.3061294555664063</v>
      </c>
      <c r="X137" s="124">
        <f>VLOOKUP(A137,'2022_PAPI_Indicators'!A132:W312,22,FALSE)</f>
        <v>6.4977498054504395</v>
      </c>
      <c r="Y137" s="124">
        <f>VLOOKUP(A137,'2022_PAPI_Indicators'!A132:X312,23,FALSE)</f>
        <v>3.0797004699707031</v>
      </c>
      <c r="Z137" s="124">
        <f>VLOOKUP(A137,'2022_PAPI_Indicators'!A132:Y312,24,FALSE)</f>
        <v>5.3813815116882324</v>
      </c>
      <c r="AA137" s="124">
        <f>VLOOKUP(A137,'2022_PAPI_Indicators'!A132:Z312,25,FALSE)</f>
        <v>2.2976047992706299</v>
      </c>
      <c r="AB137" s="124">
        <f>VLOOKUP(A137,'2022_PAPI_Indicators'!A132:AA312,26,FALSE)</f>
        <v>3.234311580657959</v>
      </c>
      <c r="AC137" s="124">
        <f>VLOOKUP(A137,'2022_PAPI_Indicators'!A132:AB312,27,FALSE)</f>
        <v>3.3604545593261719</v>
      </c>
      <c r="AD137" s="124">
        <f>VLOOKUP(A137,'2022_PAPI_Indicators'!A132:AC312,28,FALSE)</f>
        <v>6.8757796287536621</v>
      </c>
      <c r="AE137" s="124">
        <f>VLOOKUP(A137,'2022_PAPI_Indicators'!A132:AD312,29,FALSE)</f>
        <v>3.1289181709289551</v>
      </c>
      <c r="AF137" s="124">
        <f>VLOOKUP(A137,'2022_PAPI_Indicators'!A132:AE312,30,FALSE)</f>
        <v>5.2547669410705566</v>
      </c>
      <c r="AG137" s="124">
        <f>VLOOKUP(A137,'2022_PAPI_Indicators'!A132:AF312,31,FALSE)</f>
        <v>22.543472290039063</v>
      </c>
      <c r="AH137" s="124">
        <f>VLOOKUP(A137,'2022_PAPI_Indicators'!A132:AG312,32,FALSE)</f>
        <v>2.6563482284545898</v>
      </c>
      <c r="AI137" s="124">
        <f>VLOOKUP(A137,'2022_PAPI_Indicators'!A132:AH312,33,FALSE)</f>
        <v>4.8632302284240723</v>
      </c>
      <c r="AJ137" s="124">
        <f>VLOOKUP(A137,'2022_PAPI_Indicators'!A132:AI312,34,FALSE)</f>
        <v>3.7417316436767578</v>
      </c>
      <c r="AK137" s="124">
        <f>VLOOKUP(A137,'2022_PAPI_Indicators'!A132:AJ312,35,FALSE)</f>
        <v>1.3288888931274414</v>
      </c>
      <c r="AL137" s="124">
        <f>VLOOKUP(A137,'2022_PAPI_Indicators'!A132:AK312,36,FALSE)</f>
        <v>2.9052112102508545</v>
      </c>
      <c r="AM137" s="124">
        <f>VLOOKUP(A137,'2022_PAPI_Indicators'!A132:AL312,37,FALSE)</f>
        <v>16.268157958984375</v>
      </c>
      <c r="AN137" s="124">
        <f>VLOOKUP(A137,'2022_PAPI_Indicators'!A132:AM312,38,FALSE)</f>
        <v>14.358132362365723</v>
      </c>
      <c r="AO137" s="124">
        <f>VLOOKUP(A137,'2022_PAPI_Indicators'!A132:AN312,39,FALSE)</f>
        <v>10.408552169799805</v>
      </c>
      <c r="AP137" s="124">
        <f>VLOOKUP(A137,'2022_PAPI_Indicators'!A132:AO312,40,FALSE)</f>
        <v>8.6730108261108398</v>
      </c>
      <c r="AQ137" s="124">
        <f>VLOOKUP(A137,'2022_PAPI_Indicators'!A132:AP312,41,FALSE)</f>
        <v>7.6712074279785156</v>
      </c>
      <c r="AR137" s="124">
        <f>VLOOKUP(A137,'2022_PAPI_Indicators'!A132:AQ312,42,FALSE)</f>
        <v>17.341218948364258</v>
      </c>
      <c r="AS137" s="124">
        <f>VLOOKUP(A137,'2022_PAPI_Indicators'!A132:AR312,43,FALSE)</f>
        <v>8.9877662658691406</v>
      </c>
      <c r="AT137" s="124">
        <f>VLOOKUP(A137,'2022_PAPI_Indicators'!A132:AS312,44,FALSE)</f>
        <v>12.659138679504395</v>
      </c>
      <c r="AU137" s="124">
        <f>VLOOKUP(A137,'2022_PAPI_Indicators'!A132:AT312,45,FALSE)</f>
        <v>10.275426864624023</v>
      </c>
      <c r="AV137" s="124">
        <f>VLOOKUP(A137,'2022_PAPI_Indicators'!A132:AU312,46,FALSE)</f>
        <v>7.0663552284240723</v>
      </c>
      <c r="AW137" s="124">
        <f>VLOOKUP(A137,'2022_PAPI_Indicators'!A132:AV312,47,FALSE)</f>
        <v>6.7496323585510254</v>
      </c>
      <c r="AX137" s="124">
        <f>VLOOKUP(A137,'2022_PAPI_Indicators'!A132:AW312,48,FALSE)</f>
        <v>5.3174853324890137</v>
      </c>
      <c r="AY137" s="124">
        <f>VLOOKUP(A137,'2022_PAPI_Indicators'!A132:AX312,49,FALSE)</f>
        <v>8.7488870620727539</v>
      </c>
      <c r="AZ137" s="124">
        <f>VLOOKUP(A137,'2022_PAPI_Indicators'!A132:AY312,50,FALSE)</f>
        <v>3.9625775814056396</v>
      </c>
      <c r="BA137" s="124">
        <f>VLOOKUP(A137,'2022_PAPI_Indicators'!A132:AZ312,51,FALSE)</f>
        <v>8.0112104415893555</v>
      </c>
      <c r="BB137" s="124">
        <f>VLOOKUP(A137,'2022_PAPI_Indicators'!A132:BA312,52,FALSE)</f>
        <v>6.630704402923584</v>
      </c>
      <c r="BC137" s="124">
        <f>VLOOKUP(A137,'2022_PAPI_Indicators'!A132:BB312,53,FALSE)</f>
        <v>8.329442024230957</v>
      </c>
      <c r="BD137" s="124">
        <f>VLOOKUP(A137,'2022_PAPI_Indicators'!A132:BC312,54,FALSE)</f>
        <v>8.3755159378051758</v>
      </c>
      <c r="BE137" s="124">
        <f>VLOOKUP(A137,'2022_PAPI_Indicators'!A132:BD312,55,FALSE)</f>
        <v>3.6097333431243896</v>
      </c>
      <c r="BF137" s="124">
        <f>VLOOKUP(A137,'2022_PAPI_Indicators'!A132:BE312,56,FALSE)</f>
        <v>6.043065071105957</v>
      </c>
      <c r="BG137" s="124">
        <f>VLOOKUP(A137,'2022_PAPI_Indicators'!A132:BF312,57,FALSE)</f>
        <v>9.8668899536132813</v>
      </c>
      <c r="BH137" s="124">
        <f>VLOOKUP(A137,'2022_PAPI_Indicators'!A132:BG312,58,FALSE)</f>
        <v>4.1087818145751953</v>
      </c>
      <c r="BI137" s="124">
        <f>VLOOKUP(A137,'2022_PAPI_Indicators'!A132:BH312,59,FALSE)</f>
        <v>9.2450418472290039</v>
      </c>
      <c r="BJ137" s="124">
        <f>VLOOKUP(A137,'2022_PAPI_Indicators'!A132:BI312,60,FALSE)</f>
        <v>8.0828704833984375</v>
      </c>
      <c r="BK137" s="124">
        <f>VLOOKUP(A137,'2022_PAPI_Indicators'!A132:BJ312,61,FALSE)</f>
        <v>5.5466828346252441</v>
      </c>
      <c r="BL137" s="124">
        <f>VLOOKUP(A137,'2022_PAPI_Indicators'!A132:BK312,62,FALSE)</f>
        <v>2.8389394283294678</v>
      </c>
      <c r="BM137" s="124">
        <f>VLOOKUP(A137,'2022_PAPI_Indicators'!A132:BL312,63,FALSE)</f>
        <v>10.855315208435059</v>
      </c>
      <c r="BN137" s="124">
        <f>VLOOKUP(A137,'2022_PAPI_Indicators'!A132:BM312,64,FALSE)</f>
        <v>6.9533615112304688</v>
      </c>
    </row>
    <row r="138" spans="1:66" x14ac:dyDescent="0.2">
      <c r="A138" s="70" t="s">
        <v>357</v>
      </c>
      <c r="B138" s="70" t="s">
        <v>358</v>
      </c>
      <c r="C138" s="89" t="s">
        <v>175</v>
      </c>
      <c r="D138" s="124">
        <f>VLOOKUP(A138,'2022_PAPI_Indicators'!A133:B313,2,)</f>
        <v>2.3218538761138916</v>
      </c>
      <c r="E138" s="124">
        <f>VLOOKUP(A138,'2022_PAPI_Indicators'!A133:C313,3,FALSE)</f>
        <v>2.231952428817749</v>
      </c>
      <c r="F138" s="124">
        <f>VLOOKUP(A138,'2022_PAPI_Indicators'!A133:D313,4,FALSE)</f>
        <v>2.1605033874511719</v>
      </c>
      <c r="G138" s="124">
        <f>VLOOKUP(A138,'2022_PAPI_Indicators'!A133:E313,5,FALSE)</f>
        <v>2.2162911891937256</v>
      </c>
      <c r="H138" s="124">
        <f>VLOOKUP(A138,'2022_PAPI_Indicators'!A133:F313,6,FALSE)</f>
        <v>2.5346534252166748</v>
      </c>
      <c r="I138" s="124">
        <f>VLOOKUP(A138,'2022_PAPI_Indicators'!A133:G313,7,FALSE)</f>
        <v>2.2383761405944824</v>
      </c>
      <c r="J138" s="124">
        <f>VLOOKUP(A138,'2022_PAPI_Indicators'!A133:H313,8,FALSE)</f>
        <v>2.3725705146789551</v>
      </c>
      <c r="K138" s="124">
        <f>VLOOKUP(A138,'2022_PAPI_Indicators'!A133:I313,9,FALSE)</f>
        <v>2.2106900215148926</v>
      </c>
      <c r="L138" s="124">
        <f>VLOOKUP(A138,'2022_PAPI_Indicators'!A133:J313,10,FALSE)</f>
        <v>2.4291708469390869</v>
      </c>
      <c r="M138" s="124">
        <f>VLOOKUP(A138,'2022_PAPI_Indicators'!A133:K313,11,FALSE)</f>
        <v>2.4786772727966309</v>
      </c>
      <c r="N138" s="124">
        <f>VLOOKUP(A138,'2022_PAPI_Indicators'!A133:L313,12,FALSE)</f>
        <v>2.3793306350708008</v>
      </c>
      <c r="O138" s="124">
        <f>VLOOKUP(A138,'2022_PAPI_Indicators'!A133:M313,13,FALSE)</f>
        <v>2.2441167831420898</v>
      </c>
      <c r="P138" s="124">
        <f>VLOOKUP(A138,'2022_PAPI_Indicators'!A133:N313,14,FALSE)</f>
        <v>2.4911572933197021</v>
      </c>
      <c r="Q138" s="124">
        <f>VLOOKUP(A138,'2022_PAPI_Indicators'!A133:O313,15,FALSE)</f>
        <v>2.6714670658111572</v>
      </c>
      <c r="R138" s="125">
        <f>VLOOKUP(A138,'2022_PAPI_Indicators'!A133:P313,16,FALSE)</f>
        <v>2.5145516395568848</v>
      </c>
      <c r="S138" s="124">
        <f>VLOOKUP(A138,'2022_PAPI_Indicators'!A133:R313,17,FALSE)</f>
        <v>2.4521167278289795</v>
      </c>
      <c r="T138" s="124">
        <f>VLOOKUP(A138,'2022_PAPI_Indicators'!A133:S313,18,FALSE)</f>
        <v>2.567814826965332</v>
      </c>
      <c r="U138" s="125">
        <f>VLOOKUP(A138,'2022_PAPI_Indicators'!A133:T313,19,FALSE)</f>
        <v>2.5534200668334961</v>
      </c>
      <c r="V138" s="124">
        <f>VLOOKUP(A138,'2022_PAPI_Indicators'!A133:U313,20,FALSE)</f>
        <v>2.4126312732696533</v>
      </c>
      <c r="W138" s="124">
        <f>VLOOKUP(A138,'2022_PAPI_Indicators'!A133:V313,21,FALSE)</f>
        <v>2.3332133293151855</v>
      </c>
      <c r="X138" s="124">
        <f>VLOOKUP(A138,'2022_PAPI_Indicators'!A133:W313,22,FALSE)</f>
        <v>2.4792258739471436</v>
      </c>
      <c r="Y138" s="124">
        <f>VLOOKUP(A138,'2022_PAPI_Indicators'!A133:X313,23,FALSE)</f>
        <v>2.3369617462158203</v>
      </c>
      <c r="Z138" s="124">
        <f>VLOOKUP(A138,'2022_PAPI_Indicators'!A133:Y313,24,FALSE)</f>
        <v>2.4205315113067627</v>
      </c>
      <c r="AA138" s="124">
        <f>VLOOKUP(A138,'2022_PAPI_Indicators'!A133:Z313,25,FALSE)</f>
        <v>2.4944472312927246</v>
      </c>
      <c r="AB138" s="124">
        <f>VLOOKUP(A138,'2022_PAPI_Indicators'!A133:AA313,26,FALSE)</f>
        <v>2.4240612983703613</v>
      </c>
      <c r="AC138" s="124">
        <f>VLOOKUP(A138,'2022_PAPI_Indicators'!A133:AB313,27,FALSE)</f>
        <v>2.4899623394012451</v>
      </c>
      <c r="AD138" s="124">
        <f>VLOOKUP(A138,'2022_PAPI_Indicators'!A133:AC313,28,FALSE)</f>
        <v>2.3303940296173096</v>
      </c>
      <c r="AE138" s="124">
        <f>VLOOKUP(A138,'2022_PAPI_Indicators'!A133:AD313,29,FALSE)</f>
        <v>2.2471160888671875</v>
      </c>
      <c r="AF138" s="124">
        <f>VLOOKUP(A138,'2022_PAPI_Indicators'!A133:AE313,30,FALSE)</f>
        <v>2.1603567600250244</v>
      </c>
      <c r="AG138" s="124">
        <f>VLOOKUP(A138,'2022_PAPI_Indicators'!A133:AF313,31,FALSE)</f>
        <v>2.1149022579193115</v>
      </c>
      <c r="AH138" s="124">
        <f>VLOOKUP(A138,'2022_PAPI_Indicators'!A133:AG313,32,FALSE)</f>
        <v>2.4122240543365479</v>
      </c>
      <c r="AI138" s="124">
        <f>VLOOKUP(A138,'2022_PAPI_Indicators'!A133:AH313,33,FALSE)</f>
        <v>2.3655538558959961</v>
      </c>
      <c r="AJ138" s="124">
        <f>VLOOKUP(A138,'2022_PAPI_Indicators'!A133:AI313,34,FALSE)</f>
        <v>2.3551528453826904</v>
      </c>
      <c r="AK138" s="124">
        <f>VLOOKUP(A138,'2022_PAPI_Indicators'!A133:AJ313,35,FALSE)</f>
        <v>2.3890244960784912</v>
      </c>
      <c r="AL138" s="124">
        <f>VLOOKUP(A138,'2022_PAPI_Indicators'!A133:AK313,36,FALSE)</f>
        <v>2.4181370735168457</v>
      </c>
      <c r="AM138" s="124">
        <f>VLOOKUP(A138,'2022_PAPI_Indicators'!A133:AL313,37,FALSE)</f>
        <v>2.3899922370910645</v>
      </c>
      <c r="AN138" s="124">
        <f>VLOOKUP(A138,'2022_PAPI_Indicators'!A133:AM313,38,FALSE)</f>
        <v>2.3316435813903809</v>
      </c>
      <c r="AO138" s="124">
        <f>VLOOKUP(A138,'2022_PAPI_Indicators'!A133:AN313,39,FALSE)</f>
        <v>2.4962539672851563</v>
      </c>
      <c r="AP138" s="124">
        <f>VLOOKUP(A138,'2022_PAPI_Indicators'!A133:AO313,40,FALSE)</f>
        <v>2.3509693145751953</v>
      </c>
      <c r="AQ138" s="124">
        <f>VLOOKUP(A138,'2022_PAPI_Indicators'!A133:AP313,41,FALSE)</f>
        <v>2.2264063358306885</v>
      </c>
      <c r="AR138" s="124">
        <f>VLOOKUP(A138,'2022_PAPI_Indicators'!A133:AQ313,42,FALSE)</f>
        <v>2.2330236434936523</v>
      </c>
      <c r="AS138" s="124">
        <f>VLOOKUP(A138,'2022_PAPI_Indicators'!A133:AR313,43,FALSE)</f>
        <v>2.3274235725402832</v>
      </c>
      <c r="AT138" s="124">
        <f>VLOOKUP(A138,'2022_PAPI_Indicators'!A133:AS313,44,FALSE)</f>
        <v>2.2909564971923828</v>
      </c>
      <c r="AU138" s="124">
        <f>VLOOKUP(A138,'2022_PAPI_Indicators'!A133:AT313,45,FALSE)</f>
        <v>2.177424430847168</v>
      </c>
      <c r="AV138" s="124">
        <f>VLOOKUP(A138,'2022_PAPI_Indicators'!A133:AU313,46,FALSE)</f>
        <v>2.2608819007873535</v>
      </c>
      <c r="AW138" s="124">
        <f>VLOOKUP(A138,'2022_PAPI_Indicators'!A133:AV313,47,FALSE)</f>
        <v>2.3162691593170166</v>
      </c>
      <c r="AX138" s="124">
        <f>VLOOKUP(A138,'2022_PAPI_Indicators'!A133:AW313,48,FALSE)</f>
        <v>2.4444019794464111</v>
      </c>
      <c r="AY138" s="124">
        <f>VLOOKUP(A138,'2022_PAPI_Indicators'!A133:AX313,49,FALSE)</f>
        <v>2.2857916355133057</v>
      </c>
      <c r="AZ138" s="124">
        <f>VLOOKUP(A138,'2022_PAPI_Indicators'!A133:AY313,50,FALSE)</f>
        <v>2.3185651302337646</v>
      </c>
      <c r="BA138" s="124">
        <f>VLOOKUP(A138,'2022_PAPI_Indicators'!A133:AZ313,51,FALSE)</f>
        <v>2.2173149585723877</v>
      </c>
      <c r="BB138" s="124">
        <f>VLOOKUP(A138,'2022_PAPI_Indicators'!A133:BA313,52,FALSE)</f>
        <v>2.1966936588287354</v>
      </c>
      <c r="BC138" s="124">
        <f>VLOOKUP(A138,'2022_PAPI_Indicators'!A133:BB313,53,FALSE)</f>
        <v>2.1810297966003418</v>
      </c>
      <c r="BD138" s="124">
        <f>VLOOKUP(A138,'2022_PAPI_Indicators'!A133:BC313,54,FALSE)</f>
        <v>2.3496909141540527</v>
      </c>
      <c r="BE138" s="124">
        <f>VLOOKUP(A138,'2022_PAPI_Indicators'!A133:BD313,55,FALSE)</f>
        <v>2.296971321105957</v>
      </c>
      <c r="BF138" s="124">
        <f>VLOOKUP(A138,'2022_PAPI_Indicators'!A133:BE313,56,FALSE)</f>
        <v>2.5803837776184082</v>
      </c>
      <c r="BG138" s="124">
        <f>VLOOKUP(A138,'2022_PAPI_Indicators'!A133:BF313,57,FALSE)</f>
        <v>2.3414309024810791</v>
      </c>
      <c r="BH138" s="124">
        <f>VLOOKUP(A138,'2022_PAPI_Indicators'!A133:BG313,58,FALSE)</f>
        <v>2.3333311080932617</v>
      </c>
      <c r="BI138" s="124">
        <f>VLOOKUP(A138,'2022_PAPI_Indicators'!A133:BH313,59,FALSE)</f>
        <v>2.360187292098999</v>
      </c>
      <c r="BJ138" s="124">
        <f>VLOOKUP(A138,'2022_PAPI_Indicators'!A133:BI313,60,FALSE)</f>
        <v>2.2151451110839844</v>
      </c>
      <c r="BK138" s="124">
        <f>VLOOKUP(A138,'2022_PAPI_Indicators'!A133:BJ313,61,FALSE)</f>
        <v>2.3697736263275146</v>
      </c>
      <c r="BL138" s="124">
        <f>VLOOKUP(A138,'2022_PAPI_Indicators'!A133:BK313,62,FALSE)</f>
        <v>2.5151398181915283</v>
      </c>
      <c r="BM138" s="124">
        <f>VLOOKUP(A138,'2022_PAPI_Indicators'!A133:BL313,63,FALSE)</f>
        <v>2.5426826477050781</v>
      </c>
      <c r="BN138" s="124">
        <f>VLOOKUP(A138,'2022_PAPI_Indicators'!A133:BM313,64,FALSE)</f>
        <v>2.3576045036315918</v>
      </c>
    </row>
    <row r="139" spans="1:66" x14ac:dyDescent="0.2">
      <c r="A139" s="70" t="s">
        <v>359</v>
      </c>
      <c r="B139" s="70" t="s">
        <v>360</v>
      </c>
      <c r="C139" s="89" t="s">
        <v>175</v>
      </c>
      <c r="D139" s="124">
        <f>VLOOKUP(A139,'2022_PAPI_Indicators'!A134:B314,2,)</f>
        <v>2.1576709747314453</v>
      </c>
      <c r="E139" s="124">
        <f>VLOOKUP(A139,'2022_PAPI_Indicators'!A134:C314,3,FALSE)</f>
        <v>1.8624064922332764</v>
      </c>
      <c r="F139" s="124">
        <f>VLOOKUP(A139,'2022_PAPI_Indicators'!A134:D314,4,FALSE)</f>
        <v>1.8680844306945801</v>
      </c>
      <c r="G139" s="124">
        <f>VLOOKUP(A139,'2022_PAPI_Indicators'!A134:E314,5,FALSE)</f>
        <v>1.8491847515106201</v>
      </c>
      <c r="H139" s="124">
        <f>VLOOKUP(A139,'2022_PAPI_Indicators'!A134:F314,6,FALSE)</f>
        <v>2.2717752456665039</v>
      </c>
      <c r="I139" s="124">
        <f>VLOOKUP(A139,'2022_PAPI_Indicators'!A134:G314,7,FALSE)</f>
        <v>1.9207888841629028</v>
      </c>
      <c r="J139" s="124">
        <f>VLOOKUP(A139,'2022_PAPI_Indicators'!A134:H314,8,FALSE)</f>
        <v>2.0905730724334717</v>
      </c>
      <c r="K139" s="124">
        <f>VLOOKUP(A139,'2022_PAPI_Indicators'!A134:I314,9,FALSE)</f>
        <v>1.9753948450088501</v>
      </c>
      <c r="L139" s="124">
        <f>VLOOKUP(A139,'2022_PAPI_Indicators'!A134:J314,10,FALSE)</f>
        <v>2.042011022567749</v>
      </c>
      <c r="M139" s="124">
        <f>VLOOKUP(A139,'2022_PAPI_Indicators'!A134:K314,11,FALSE)</f>
        <v>2.1649539470672607</v>
      </c>
      <c r="N139" s="124">
        <f>VLOOKUP(A139,'2022_PAPI_Indicators'!A134:L314,12,FALSE)</f>
        <v>2.0587892532348633</v>
      </c>
      <c r="O139" s="124">
        <f>VLOOKUP(A139,'2022_PAPI_Indicators'!A134:M314,13,FALSE)</f>
        <v>2.0622849464416504</v>
      </c>
      <c r="P139" s="124">
        <f>VLOOKUP(A139,'2022_PAPI_Indicators'!A134:N314,14,FALSE)</f>
        <v>2.199836254119873</v>
      </c>
      <c r="Q139" s="124">
        <f>VLOOKUP(A139,'2022_PAPI_Indicators'!A134:O314,15,FALSE)</f>
        <v>2.5586521625518799</v>
      </c>
      <c r="R139" s="125">
        <f>VLOOKUP(A139,'2022_PAPI_Indicators'!A134:P314,16,FALSE)</f>
        <v>2.2425162792205811</v>
      </c>
      <c r="S139" s="124">
        <f>VLOOKUP(A139,'2022_PAPI_Indicators'!A134:R314,17,FALSE)</f>
        <v>2.2666385173797607</v>
      </c>
      <c r="T139" s="124">
        <f>VLOOKUP(A139,'2022_PAPI_Indicators'!A134:S314,18,FALSE)</f>
        <v>2.207188606262207</v>
      </c>
      <c r="U139" s="125">
        <f>VLOOKUP(A139,'2022_PAPI_Indicators'!A134:T314,19,FALSE)</f>
        <v>2.3804159164428711</v>
      </c>
      <c r="V139" s="124">
        <f>VLOOKUP(A139,'2022_PAPI_Indicators'!A134:U314,20,FALSE)</f>
        <v>2.2211358547210693</v>
      </c>
      <c r="W139" s="124">
        <f>VLOOKUP(A139,'2022_PAPI_Indicators'!A134:V314,21,FALSE)</f>
        <v>2.1453864574432373</v>
      </c>
      <c r="X139" s="124">
        <f>VLOOKUP(A139,'2022_PAPI_Indicators'!A134:W314,22,FALSE)</f>
        <v>2.228339672088623</v>
      </c>
      <c r="Y139" s="124">
        <f>VLOOKUP(A139,'2022_PAPI_Indicators'!A134:X314,23,FALSE)</f>
        <v>2.1302089691162109</v>
      </c>
      <c r="Z139" s="124">
        <f>VLOOKUP(A139,'2022_PAPI_Indicators'!A134:Y314,24,FALSE)</f>
        <v>2.1633715629577637</v>
      </c>
      <c r="AA139" s="124">
        <f>VLOOKUP(A139,'2022_PAPI_Indicators'!A134:Z314,25,FALSE)</f>
        <v>2.2858102321624756</v>
      </c>
      <c r="AB139" s="124">
        <f>VLOOKUP(A139,'2022_PAPI_Indicators'!A134:AA314,26,FALSE)</f>
        <v>2.2083740234375</v>
      </c>
      <c r="AC139" s="124">
        <f>VLOOKUP(A139,'2022_PAPI_Indicators'!A134:AB314,27,FALSE)</f>
        <v>2.2775921821594238</v>
      </c>
      <c r="AD139" s="124">
        <f>VLOOKUP(A139,'2022_PAPI_Indicators'!A134:AC314,28,FALSE)</f>
        <v>2.1299934387207031</v>
      </c>
      <c r="AE139" s="124">
        <f>VLOOKUP(A139,'2022_PAPI_Indicators'!A134:AD314,29,FALSE)</f>
        <v>2.0309946537017822</v>
      </c>
      <c r="AF139" s="124">
        <f>VLOOKUP(A139,'2022_PAPI_Indicators'!A134:AE314,30,FALSE)</f>
        <v>2.0983545780181885</v>
      </c>
      <c r="AG139" s="124">
        <f>VLOOKUP(A139,'2022_PAPI_Indicators'!A134:AF314,31,FALSE)</f>
        <v>1.9091249704360962</v>
      </c>
      <c r="AH139" s="124">
        <f>VLOOKUP(A139,'2022_PAPI_Indicators'!A134:AG314,32,FALSE)</f>
        <v>2.234670877456665</v>
      </c>
      <c r="AI139" s="124">
        <f>VLOOKUP(A139,'2022_PAPI_Indicators'!A134:AH314,33,FALSE)</f>
        <v>2.1750967502593994</v>
      </c>
      <c r="AJ139" s="124">
        <f>VLOOKUP(A139,'2022_PAPI_Indicators'!A134:AI314,34,FALSE)</f>
        <v>2.1522104740142822</v>
      </c>
      <c r="AK139" s="124">
        <f>VLOOKUP(A139,'2022_PAPI_Indicators'!A134:AJ314,35,FALSE)</f>
        <v>2.0727119445800781</v>
      </c>
      <c r="AL139" s="124">
        <f>VLOOKUP(A139,'2022_PAPI_Indicators'!A134:AK314,36,FALSE)</f>
        <v>2.2331798076629639</v>
      </c>
      <c r="AM139" s="124">
        <f>VLOOKUP(A139,'2022_PAPI_Indicators'!A134:AL314,37,FALSE)</f>
        <v>2.0853900909423828</v>
      </c>
      <c r="AN139" s="124">
        <f>VLOOKUP(A139,'2022_PAPI_Indicators'!A134:AM314,38,FALSE)</f>
        <v>2.0781447887420654</v>
      </c>
      <c r="AO139" s="124">
        <f>VLOOKUP(A139,'2022_PAPI_Indicators'!A134:AN314,39,FALSE)</f>
        <v>2.271195650100708</v>
      </c>
      <c r="AP139" s="124">
        <f>VLOOKUP(A139,'2022_PAPI_Indicators'!A134:AO314,40,FALSE)</f>
        <v>1.9603809118270874</v>
      </c>
      <c r="AQ139" s="124">
        <f>VLOOKUP(A139,'2022_PAPI_Indicators'!A134:AP314,41,FALSE)</f>
        <v>1.9044747352600098</v>
      </c>
      <c r="AR139" s="124">
        <f>VLOOKUP(A139,'2022_PAPI_Indicators'!A134:AQ314,42,FALSE)</f>
        <v>1.9240990877151489</v>
      </c>
      <c r="AS139" s="124">
        <f>VLOOKUP(A139,'2022_PAPI_Indicators'!A134:AR314,43,FALSE)</f>
        <v>1.9768548011779785</v>
      </c>
      <c r="AT139" s="124">
        <f>VLOOKUP(A139,'2022_PAPI_Indicators'!A134:AS314,44,FALSE)</f>
        <v>1.9983878135681152</v>
      </c>
      <c r="AU139" s="124">
        <f>VLOOKUP(A139,'2022_PAPI_Indicators'!A134:AT314,45,FALSE)</f>
        <v>1.9808148145675659</v>
      </c>
      <c r="AV139" s="124">
        <f>VLOOKUP(A139,'2022_PAPI_Indicators'!A134:AU314,46,FALSE)</f>
        <v>2.0222237110137939</v>
      </c>
      <c r="AW139" s="124">
        <f>VLOOKUP(A139,'2022_PAPI_Indicators'!A134:AV314,47,FALSE)</f>
        <v>2.0382020473480225</v>
      </c>
      <c r="AX139" s="124">
        <f>VLOOKUP(A139,'2022_PAPI_Indicators'!A134:AW314,48,FALSE)</f>
        <v>2.2316689491271973</v>
      </c>
      <c r="AY139" s="124">
        <f>VLOOKUP(A139,'2022_PAPI_Indicators'!A134:AX314,49,FALSE)</f>
        <v>1.9497534036636353</v>
      </c>
      <c r="AZ139" s="124">
        <f>VLOOKUP(A139,'2022_PAPI_Indicators'!A134:AY314,50,FALSE)</f>
        <v>1.9887814521789551</v>
      </c>
      <c r="BA139" s="124">
        <f>VLOOKUP(A139,'2022_PAPI_Indicators'!A134:AZ314,51,FALSE)</f>
        <v>1.9595842361450195</v>
      </c>
      <c r="BB139" s="124">
        <f>VLOOKUP(A139,'2022_PAPI_Indicators'!A134:BA314,52,FALSE)</f>
        <v>1.8836237192153931</v>
      </c>
      <c r="BC139" s="124">
        <f>VLOOKUP(A139,'2022_PAPI_Indicators'!A134:BB314,53,FALSE)</f>
        <v>1.8438141345977783</v>
      </c>
      <c r="BD139" s="124">
        <f>VLOOKUP(A139,'2022_PAPI_Indicators'!A134:BC314,54,FALSE)</f>
        <v>1.9200599193572998</v>
      </c>
      <c r="BE139" s="124">
        <f>VLOOKUP(A139,'2022_PAPI_Indicators'!A134:BD314,55,FALSE)</f>
        <v>2.0569279193878174</v>
      </c>
      <c r="BF139" s="124">
        <f>VLOOKUP(A139,'2022_PAPI_Indicators'!A134:BE314,56,FALSE)</f>
        <v>2.2359950542449951</v>
      </c>
      <c r="BG139" s="124">
        <f>VLOOKUP(A139,'2022_PAPI_Indicators'!A134:BF314,57,FALSE)</f>
        <v>1.8924429416656494</v>
      </c>
      <c r="BH139" s="124">
        <f>VLOOKUP(A139,'2022_PAPI_Indicators'!A134:BG314,58,FALSE)</f>
        <v>2.0183901786804199</v>
      </c>
      <c r="BI139" s="124">
        <f>VLOOKUP(A139,'2022_PAPI_Indicators'!A134:BH314,59,FALSE)</f>
        <v>2.0493264198303223</v>
      </c>
      <c r="BJ139" s="124">
        <f>VLOOKUP(A139,'2022_PAPI_Indicators'!A134:BI314,60,FALSE)</f>
        <v>1.9912222623825073</v>
      </c>
      <c r="BK139" s="124">
        <f>VLOOKUP(A139,'2022_PAPI_Indicators'!A134:BJ314,61,FALSE)</f>
        <v>2.0050861835479736</v>
      </c>
      <c r="BL139" s="124">
        <f>VLOOKUP(A139,'2022_PAPI_Indicators'!A134:BK314,62,FALSE)</f>
        <v>2.0385589599609375</v>
      </c>
      <c r="BM139" s="124">
        <f>VLOOKUP(A139,'2022_PAPI_Indicators'!A134:BL314,63,FALSE)</f>
        <v>2.1366393566131592</v>
      </c>
      <c r="BN139" s="124">
        <f>VLOOKUP(A139,'2022_PAPI_Indicators'!A134:BM314,64,FALSE)</f>
        <v>2.0054280757904053</v>
      </c>
    </row>
    <row r="140" spans="1:66" s="83" customFormat="1" x14ac:dyDescent="0.2">
      <c r="A140" s="75" t="s">
        <v>361</v>
      </c>
      <c r="B140" s="76" t="s">
        <v>362</v>
      </c>
      <c r="C140" s="91" t="s">
        <v>447</v>
      </c>
      <c r="D140" s="129">
        <f>VLOOKUP(A140,'2022_PAPI_Indicators'!A135:B315,2,)</f>
        <v>2.9338438510894775</v>
      </c>
      <c r="E140" s="129">
        <f>VLOOKUP(A140,'2022_PAPI_Indicators'!A135:C315,3,FALSE)</f>
        <v>3.4070343971252441</v>
      </c>
      <c r="F140" s="129">
        <f>VLOOKUP(A140,'2022_PAPI_Indicators'!A135:D315,4,FALSE)</f>
        <v>3.3074367046356201</v>
      </c>
      <c r="G140" s="129">
        <f>VLOOKUP(A140,'2022_PAPI_Indicators'!A135:E315,5,FALSE)</f>
        <v>3.3577826023101807</v>
      </c>
      <c r="H140" s="129">
        <f>VLOOKUP(A140,'2022_PAPI_Indicators'!A135:F315,6,FALSE)</f>
        <v>3.5237131118774414</v>
      </c>
      <c r="I140" s="129">
        <f>VLOOKUP(A140,'2022_PAPI_Indicators'!A135:G315,7,FALSE)</f>
        <v>3.097465991973877</v>
      </c>
      <c r="J140" s="129">
        <f>VLOOKUP(A140,'2022_PAPI_Indicators'!A135:H315,8,FALSE)</f>
        <v>3.8075313568115234</v>
      </c>
      <c r="K140" s="129">
        <f>VLOOKUP(A140,'2022_PAPI_Indicators'!A135:I315,9,FALSE)</f>
        <v>3.7025070190429688</v>
      </c>
      <c r="L140" s="129">
        <f>VLOOKUP(A140,'2022_PAPI_Indicators'!A135:J315,10,FALSE)</f>
        <v>3.4020705223083496</v>
      </c>
      <c r="M140" s="129">
        <f>VLOOKUP(A140,'2022_PAPI_Indicators'!A135:K315,11,FALSE)</f>
        <v>3.4248044490814209</v>
      </c>
      <c r="N140" s="129">
        <f>VLOOKUP(A140,'2022_PAPI_Indicators'!A135:L315,12,FALSE)</f>
        <v>3.425501823425293</v>
      </c>
      <c r="O140" s="129">
        <f>VLOOKUP(A140,'2022_PAPI_Indicators'!A135:M315,13,FALSE)</f>
        <v>3.0424830913543701</v>
      </c>
      <c r="P140" s="129">
        <f>VLOOKUP(A140,'2022_PAPI_Indicators'!A135:N315,14,FALSE)</f>
        <v>3.4365346431732178</v>
      </c>
      <c r="Q140" s="129">
        <f>VLOOKUP(A140,'2022_PAPI_Indicators'!A135:O315,15,FALSE)</f>
        <v>4.121368408203125</v>
      </c>
      <c r="R140" s="130">
        <f>VLOOKUP(A140,'2022_PAPI_Indicators'!A135:P315,16,FALSE)</f>
        <v>4.2021245956420898</v>
      </c>
      <c r="S140" s="129">
        <f>VLOOKUP(A140,'2022_PAPI_Indicators'!A135:R315,17,FALSE)</f>
        <v>3.390373706817627</v>
      </c>
      <c r="T140" s="129">
        <f>VLOOKUP(A140,'2022_PAPI_Indicators'!A135:S315,18,FALSE)</f>
        <v>3.0371861457824707</v>
      </c>
      <c r="U140" s="130">
        <f>VLOOKUP(A140,'2022_PAPI_Indicators'!A135:T315,19,FALSE)</f>
        <v>3.7651064395904541</v>
      </c>
      <c r="V140" s="129">
        <f>VLOOKUP(A140,'2022_PAPI_Indicators'!A135:U315,20,FALSE)</f>
        <v>2.8194525241851807</v>
      </c>
      <c r="W140" s="129">
        <f>VLOOKUP(A140,'2022_PAPI_Indicators'!A135:V315,21,FALSE)</f>
        <v>3.3740978240966797</v>
      </c>
      <c r="X140" s="129">
        <f>VLOOKUP(A140,'2022_PAPI_Indicators'!A135:W315,22,FALSE)</f>
        <v>3.3398995399475098</v>
      </c>
      <c r="Y140" s="129">
        <f>VLOOKUP(A140,'2022_PAPI_Indicators'!A135:X315,23,FALSE)</f>
        <v>3.0780808925628662</v>
      </c>
      <c r="Z140" s="129">
        <f>VLOOKUP(A140,'2022_PAPI_Indicators'!A135:Y315,24,FALSE)</f>
        <v>3.3729515075683594</v>
      </c>
      <c r="AA140" s="129">
        <f>VLOOKUP(A140,'2022_PAPI_Indicators'!A135:Z315,25,FALSE)</f>
        <v>3.3993537425994873</v>
      </c>
      <c r="AB140" s="129">
        <f>VLOOKUP(A140,'2022_PAPI_Indicators'!A135:AA315,26,FALSE)</f>
        <v>3.4722006320953369</v>
      </c>
      <c r="AC140" s="129">
        <f>VLOOKUP(A140,'2022_PAPI_Indicators'!A135:AB315,27,FALSE)</f>
        <v>3.653627872467041</v>
      </c>
      <c r="AD140" s="129">
        <f>VLOOKUP(A140,'2022_PAPI_Indicators'!A135:AC315,28,FALSE)</f>
        <v>3.5745954513549805</v>
      </c>
      <c r="AE140" s="129">
        <f>VLOOKUP(A140,'2022_PAPI_Indicators'!A135:AD315,29,FALSE)</f>
        <v>3.4548671245574951</v>
      </c>
      <c r="AF140" s="129">
        <f>VLOOKUP(A140,'2022_PAPI_Indicators'!A135:AE315,30,FALSE)</f>
        <v>3.5246858596801758</v>
      </c>
      <c r="AG140" s="129">
        <f>VLOOKUP(A140,'2022_PAPI_Indicators'!A135:AF315,31,FALSE)</f>
        <v>3.4237380027770996</v>
      </c>
      <c r="AH140" s="129">
        <f>VLOOKUP(A140,'2022_PAPI_Indicators'!A135:AG315,32,FALSE)</f>
        <v>4.0340089797973633</v>
      </c>
      <c r="AI140" s="129">
        <f>VLOOKUP(A140,'2022_PAPI_Indicators'!A135:AH315,33,FALSE)</f>
        <v>3.1666641235351563</v>
      </c>
      <c r="AJ140" s="129">
        <f>VLOOKUP(A140,'2022_PAPI_Indicators'!A135:AI315,34,FALSE)</f>
        <v>3.2182512283325195</v>
      </c>
      <c r="AK140" s="129">
        <f>VLOOKUP(A140,'2022_PAPI_Indicators'!A135:AJ315,35,FALSE)</f>
        <v>3.4405572414398193</v>
      </c>
      <c r="AL140" s="129">
        <f>VLOOKUP(A140,'2022_PAPI_Indicators'!A135:AK315,36,FALSE)</f>
        <v>3.3643603324890137</v>
      </c>
      <c r="AM140" s="129">
        <f>VLOOKUP(A140,'2022_PAPI_Indicators'!A135:AL315,37,FALSE)</f>
        <v>3.5093333721160889</v>
      </c>
      <c r="AN140" s="129">
        <f>VLOOKUP(A140,'2022_PAPI_Indicators'!A135:AM315,38,FALSE)</f>
        <v>3.4284279346466064</v>
      </c>
      <c r="AO140" s="129">
        <f>VLOOKUP(A140,'2022_PAPI_Indicators'!A135:AN315,39,FALSE)</f>
        <v>3.7320575714111328</v>
      </c>
      <c r="AP140" s="129">
        <f>VLOOKUP(A140,'2022_PAPI_Indicators'!A135:AO315,40,FALSE)</f>
        <v>3.3535516262054443</v>
      </c>
      <c r="AQ140" s="129">
        <f>VLOOKUP(A140,'2022_PAPI_Indicators'!A135:AP315,41,FALSE)</f>
        <v>3.2518341541290283</v>
      </c>
      <c r="AR140" s="129">
        <f>VLOOKUP(A140,'2022_PAPI_Indicators'!A135:AQ315,42,FALSE)</f>
        <v>3.0916309356689453</v>
      </c>
      <c r="AS140" s="129">
        <f>VLOOKUP(A140,'2022_PAPI_Indicators'!A135:AR315,43,FALSE)</f>
        <v>2.983391284942627</v>
      </c>
      <c r="AT140" s="129">
        <f>VLOOKUP(A140,'2022_PAPI_Indicators'!A135:AS315,44,FALSE)</f>
        <v>3.4648630619049072</v>
      </c>
      <c r="AU140" s="129">
        <f>VLOOKUP(A140,'2022_PAPI_Indicators'!A135:AT315,45,FALSE)</f>
        <v>3.0538578033447266</v>
      </c>
      <c r="AV140" s="129">
        <f>VLOOKUP(A140,'2022_PAPI_Indicators'!A135:AU315,46,FALSE)</f>
        <v>2.9016163349151611</v>
      </c>
      <c r="AW140" s="129">
        <f>VLOOKUP(A140,'2022_PAPI_Indicators'!A135:AV315,47,FALSE)</f>
        <v>2.9814994335174561</v>
      </c>
      <c r="AX140" s="129">
        <f>VLOOKUP(A140,'2022_PAPI_Indicators'!A135:AW315,48,FALSE)</f>
        <v>3.4685208797454834</v>
      </c>
      <c r="AY140" s="129">
        <f>VLOOKUP(A140,'2022_PAPI_Indicators'!A135:AX315,49,FALSE)</f>
        <v>2.8300046920776367</v>
      </c>
      <c r="AZ140" s="129">
        <f>VLOOKUP(A140,'2022_PAPI_Indicators'!A135:AY315,50,FALSE)</f>
        <v>3.1973371505737305</v>
      </c>
      <c r="BA140" s="129">
        <f>VLOOKUP(A140,'2022_PAPI_Indicators'!A135:AZ315,51,FALSE)</f>
        <v>2.9737110137939453</v>
      </c>
      <c r="BB140" s="129">
        <f>VLOOKUP(A140,'2022_PAPI_Indicators'!A135:BA315,52,FALSE)</f>
        <v>3.1518628597259521</v>
      </c>
      <c r="BC140" s="129">
        <f>VLOOKUP(A140,'2022_PAPI_Indicators'!A135:BB315,53,FALSE)</f>
        <v>4.1798210144042969</v>
      </c>
      <c r="BD140" s="129">
        <f>VLOOKUP(A140,'2022_PAPI_Indicators'!A135:BC315,54,FALSE)</f>
        <v>3.2557671070098877</v>
      </c>
      <c r="BE140" s="129">
        <f>VLOOKUP(A140,'2022_PAPI_Indicators'!A135:BD315,55,FALSE)</f>
        <v>3.1573424339294434</v>
      </c>
      <c r="BF140" s="129">
        <f>VLOOKUP(A140,'2022_PAPI_Indicators'!A135:BE315,56,FALSE)</f>
        <v>3.6535098552703857</v>
      </c>
      <c r="BG140" s="129">
        <f>VLOOKUP(A140,'2022_PAPI_Indicators'!A135:BF315,57,FALSE)</f>
        <v>4.6263718605041504</v>
      </c>
      <c r="BH140" s="129">
        <f>VLOOKUP(A140,'2022_PAPI_Indicators'!A135:BG315,58,FALSE)</f>
        <v>4.1011533737182617</v>
      </c>
      <c r="BI140" s="129">
        <f>VLOOKUP(A140,'2022_PAPI_Indicators'!A135:BH315,59,FALSE)</f>
        <v>3.8778781890869141</v>
      </c>
      <c r="BJ140" s="129">
        <f>VLOOKUP(A140,'2022_PAPI_Indicators'!A135:BI315,60,FALSE)</f>
        <v>4.0716800689697266</v>
      </c>
      <c r="BK140" s="129">
        <f>VLOOKUP(A140,'2022_PAPI_Indicators'!A135:BJ315,61,FALSE)</f>
        <v>4.3719363212585449</v>
      </c>
      <c r="BL140" s="129">
        <f>VLOOKUP(A140,'2022_PAPI_Indicators'!A135:BK315,62,FALSE)</f>
        <v>3.8119652271270752</v>
      </c>
      <c r="BM140" s="129">
        <f>VLOOKUP(A140,'2022_PAPI_Indicators'!A135:BL315,63,FALSE)</f>
        <v>3.6757824420928955</v>
      </c>
      <c r="BN140" s="129">
        <f>VLOOKUP(A140,'2022_PAPI_Indicators'!A135:BM315,64,FALSE)</f>
        <v>3.4748649597167969</v>
      </c>
    </row>
    <row r="141" spans="1:66" s="112" customFormat="1" x14ac:dyDescent="0.2">
      <c r="A141" s="77" t="s">
        <v>363</v>
      </c>
      <c r="B141" s="77" t="s">
        <v>364</v>
      </c>
      <c r="C141" s="92" t="s">
        <v>449</v>
      </c>
      <c r="D141" s="131">
        <f>VLOOKUP(A141,'2022_PAPI_Indicators'!A136:B316,2,)</f>
        <v>0.89827799797058105</v>
      </c>
      <c r="E141" s="131">
        <f>VLOOKUP(A141,'2022_PAPI_Indicators'!A136:C316,3,FALSE)</f>
        <v>0.88144361972808838</v>
      </c>
      <c r="F141" s="131">
        <f>VLOOKUP(A141,'2022_PAPI_Indicators'!A136:D316,4,FALSE)</f>
        <v>0.77283000946044922</v>
      </c>
      <c r="G141" s="131">
        <f>VLOOKUP(A141,'2022_PAPI_Indicators'!A136:E316,5,FALSE)</f>
        <v>0.79655879735946655</v>
      </c>
      <c r="H141" s="131">
        <f>VLOOKUP(A141,'2022_PAPI_Indicators'!A136:F316,6,FALSE)</f>
        <v>0.98520916700363159</v>
      </c>
      <c r="I141" s="131">
        <f>VLOOKUP(A141,'2022_PAPI_Indicators'!A136:G316,7,FALSE)</f>
        <v>0.72581744194030762</v>
      </c>
      <c r="J141" s="131">
        <f>VLOOKUP(A141,'2022_PAPI_Indicators'!A136:H316,8,FALSE)</f>
        <v>0.75208532810211182</v>
      </c>
      <c r="K141" s="131">
        <f>VLOOKUP(A141,'2022_PAPI_Indicators'!A136:I316,9,FALSE)</f>
        <v>0.8317338228225708</v>
      </c>
      <c r="L141" s="131">
        <f>VLOOKUP(A141,'2022_PAPI_Indicators'!A136:J316,10,FALSE)</f>
        <v>0.879494309425354</v>
      </c>
      <c r="M141" s="131">
        <f>VLOOKUP(A141,'2022_PAPI_Indicators'!A136:K316,11,FALSE)</f>
        <v>0.9636802077293396</v>
      </c>
      <c r="N141" s="131">
        <f>VLOOKUP(A141,'2022_PAPI_Indicators'!A136:L316,12,FALSE)</f>
        <v>0.91230839490890503</v>
      </c>
      <c r="O141" s="131">
        <f>VLOOKUP(A141,'2022_PAPI_Indicators'!A136:M316,13,FALSE)</f>
        <v>0.91094589233398438</v>
      </c>
      <c r="P141" s="131">
        <f>VLOOKUP(A141,'2022_PAPI_Indicators'!A136:N316,14,FALSE)</f>
        <v>0.96289467811584473</v>
      </c>
      <c r="Q141" s="131">
        <f>VLOOKUP(A141,'2022_PAPI_Indicators'!A136:O316,15,FALSE)</f>
        <v>1.2234944105148315</v>
      </c>
      <c r="R141" s="132">
        <f>VLOOKUP(A141,'2022_PAPI_Indicators'!A136:P316,16,FALSE)</f>
        <v>1.3215136528015137</v>
      </c>
      <c r="S141" s="131">
        <f>VLOOKUP(A141,'2022_PAPI_Indicators'!A136:R316,17,FALSE)</f>
        <v>0.96550470590591431</v>
      </c>
      <c r="T141" s="131">
        <f>VLOOKUP(A141,'2022_PAPI_Indicators'!A136:S316,18,FALSE)</f>
        <v>0.93316489458084106</v>
      </c>
      <c r="U141" s="132">
        <f>VLOOKUP(A141,'2022_PAPI_Indicators'!A136:T316,19,FALSE)</f>
        <v>1.1697560548782349</v>
      </c>
      <c r="V141" s="131">
        <f>VLOOKUP(A141,'2022_PAPI_Indicators'!A136:U316,20,FALSE)</f>
        <v>0.83979123830795288</v>
      </c>
      <c r="W141" s="131">
        <f>VLOOKUP(A141,'2022_PAPI_Indicators'!A136:V316,21,FALSE)</f>
        <v>1.0749346017837524</v>
      </c>
      <c r="X141" s="131">
        <f>VLOOKUP(A141,'2022_PAPI_Indicators'!A136:W316,22,FALSE)</f>
        <v>0.90989094972610474</v>
      </c>
      <c r="Y141" s="131">
        <f>VLOOKUP(A141,'2022_PAPI_Indicators'!A136:X316,23,FALSE)</f>
        <v>0.84798800945281982</v>
      </c>
      <c r="Z141" s="131">
        <f>VLOOKUP(A141,'2022_PAPI_Indicators'!A136:Y316,24,FALSE)</f>
        <v>0.95835524797439575</v>
      </c>
      <c r="AA141" s="131">
        <f>VLOOKUP(A141,'2022_PAPI_Indicators'!A136:Z316,25,FALSE)</f>
        <v>0.8738289475440979</v>
      </c>
      <c r="AB141" s="131">
        <f>VLOOKUP(A141,'2022_PAPI_Indicators'!A136:AA316,26,FALSE)</f>
        <v>0.97014307975769043</v>
      </c>
      <c r="AC141" s="131">
        <f>VLOOKUP(A141,'2022_PAPI_Indicators'!A136:AB316,27,FALSE)</f>
        <v>1.0357593297958374</v>
      </c>
      <c r="AD141" s="131">
        <f>VLOOKUP(A141,'2022_PAPI_Indicators'!A136:AC316,28,FALSE)</f>
        <v>1.053169846534729</v>
      </c>
      <c r="AE141" s="131">
        <f>VLOOKUP(A141,'2022_PAPI_Indicators'!A136:AD316,29,FALSE)</f>
        <v>0.93671113252639771</v>
      </c>
      <c r="AF141" s="131">
        <f>VLOOKUP(A141,'2022_PAPI_Indicators'!A136:AE316,30,FALSE)</f>
        <v>1.0759298801422119</v>
      </c>
      <c r="AG141" s="131">
        <f>VLOOKUP(A141,'2022_PAPI_Indicators'!A136:AF316,31,FALSE)</f>
        <v>0.95068055391311646</v>
      </c>
      <c r="AH141" s="131">
        <f>VLOOKUP(A141,'2022_PAPI_Indicators'!A136:AG316,32,FALSE)</f>
        <v>1.0827826261520386</v>
      </c>
      <c r="AI141" s="131">
        <f>VLOOKUP(A141,'2022_PAPI_Indicators'!A136:AH316,33,FALSE)</f>
        <v>0.94415497779846191</v>
      </c>
      <c r="AJ141" s="131">
        <f>VLOOKUP(A141,'2022_PAPI_Indicators'!A136:AI316,34,FALSE)</f>
        <v>0.96729648113250732</v>
      </c>
      <c r="AK141" s="131">
        <f>VLOOKUP(A141,'2022_PAPI_Indicators'!A136:AJ316,35,FALSE)</f>
        <v>1.0392613410949707</v>
      </c>
      <c r="AL141" s="131">
        <f>VLOOKUP(A141,'2022_PAPI_Indicators'!A136:AK316,36,FALSE)</f>
        <v>1.065814733505249</v>
      </c>
      <c r="AM141" s="131">
        <f>VLOOKUP(A141,'2022_PAPI_Indicators'!A136:AL316,37,FALSE)</f>
        <v>0.92478311061859131</v>
      </c>
      <c r="AN141" s="131">
        <f>VLOOKUP(A141,'2022_PAPI_Indicators'!A136:AM316,38,FALSE)</f>
        <v>0.99374222755432129</v>
      </c>
      <c r="AO141" s="131">
        <f>VLOOKUP(A141,'2022_PAPI_Indicators'!A136:AN316,39,FALSE)</f>
        <v>1.0626693964004517</v>
      </c>
      <c r="AP141" s="131">
        <f>VLOOKUP(A141,'2022_PAPI_Indicators'!A136:AO316,40,FALSE)</f>
        <v>1.010027289390564</v>
      </c>
      <c r="AQ141" s="131">
        <f>VLOOKUP(A141,'2022_PAPI_Indicators'!A136:AP316,41,FALSE)</f>
        <v>0.79076123237609863</v>
      </c>
      <c r="AR141" s="131">
        <f>VLOOKUP(A141,'2022_PAPI_Indicators'!A136:AQ316,42,FALSE)</f>
        <v>0.77006572484970093</v>
      </c>
      <c r="AS141" s="131">
        <f>VLOOKUP(A141,'2022_PAPI_Indicators'!A136:AR316,43,FALSE)</f>
        <v>0.90984922647476196</v>
      </c>
      <c r="AT141" s="131">
        <f>VLOOKUP(A141,'2022_PAPI_Indicators'!A136:AS316,44,FALSE)</f>
        <v>0.87775969505310059</v>
      </c>
      <c r="AU141" s="131">
        <f>VLOOKUP(A141,'2022_PAPI_Indicators'!A136:AT316,45,FALSE)</f>
        <v>0.89204740524291992</v>
      </c>
      <c r="AV141" s="131">
        <f>VLOOKUP(A141,'2022_PAPI_Indicators'!A136:AU316,46,FALSE)</f>
        <v>0.96798580884933472</v>
      </c>
      <c r="AW141" s="131">
        <f>VLOOKUP(A141,'2022_PAPI_Indicators'!A136:AV316,47,FALSE)</f>
        <v>0.82879513502120972</v>
      </c>
      <c r="AX141" s="131">
        <f>VLOOKUP(A141,'2022_PAPI_Indicators'!A136:AW316,48,FALSE)</f>
        <v>1.212091326713562</v>
      </c>
      <c r="AY141" s="131">
        <f>VLOOKUP(A141,'2022_PAPI_Indicators'!A136:AX316,49,FALSE)</f>
        <v>0.85271435976028442</v>
      </c>
      <c r="AZ141" s="131">
        <f>VLOOKUP(A141,'2022_PAPI_Indicators'!A136:AY316,50,FALSE)</f>
        <v>1.0330663919448853</v>
      </c>
      <c r="BA141" s="131">
        <f>VLOOKUP(A141,'2022_PAPI_Indicators'!A136:AZ316,51,FALSE)</f>
        <v>0.90048432350158691</v>
      </c>
      <c r="BB141" s="131">
        <f>VLOOKUP(A141,'2022_PAPI_Indicators'!A136:BA316,52,FALSE)</f>
        <v>0.86823534965515137</v>
      </c>
      <c r="BC141" s="131">
        <f>VLOOKUP(A141,'2022_PAPI_Indicators'!A136:BB316,53,FALSE)</f>
        <v>1.2097439765930176</v>
      </c>
      <c r="BD141" s="131">
        <f>VLOOKUP(A141,'2022_PAPI_Indicators'!A136:BC316,54,FALSE)</f>
        <v>1.007599949836731</v>
      </c>
      <c r="BE141" s="131">
        <f>VLOOKUP(A141,'2022_PAPI_Indicators'!A136:BD316,55,FALSE)</f>
        <v>0.94669842720031738</v>
      </c>
      <c r="BF141" s="131">
        <f>VLOOKUP(A141,'2022_PAPI_Indicators'!A136:BE316,56,FALSE)</f>
        <v>0.98031651973724365</v>
      </c>
      <c r="BG141" s="131">
        <f>VLOOKUP(A141,'2022_PAPI_Indicators'!A136:BF316,57,FALSE)</f>
        <v>0.98746556043624878</v>
      </c>
      <c r="BH141" s="131">
        <f>VLOOKUP(A141,'2022_PAPI_Indicators'!A136:BG316,58,FALSE)</f>
        <v>0.97854816913604736</v>
      </c>
      <c r="BI141" s="131">
        <f>VLOOKUP(A141,'2022_PAPI_Indicators'!A136:BH316,59,FALSE)</f>
        <v>1.0127719640731812</v>
      </c>
      <c r="BJ141" s="131">
        <f>VLOOKUP(A141,'2022_PAPI_Indicators'!A136:BI316,60,FALSE)</f>
        <v>1.0167237520217896</v>
      </c>
      <c r="BK141" s="131">
        <f>VLOOKUP(A141,'2022_PAPI_Indicators'!A136:BJ316,61,FALSE)</f>
        <v>1.1482001543045044</v>
      </c>
      <c r="BL141" s="131">
        <f>VLOOKUP(A141,'2022_PAPI_Indicators'!A136:BK316,62,FALSE)</f>
        <v>1.2286390066146851</v>
      </c>
      <c r="BM141" s="131">
        <f>VLOOKUP(A141,'2022_PAPI_Indicators'!A136:BL316,63,FALSE)</f>
        <v>1.1242616176605225</v>
      </c>
      <c r="BN141" s="131">
        <f>VLOOKUP(A141,'2022_PAPI_Indicators'!A136:BM316,64,FALSE)</f>
        <v>1.0395975112915039</v>
      </c>
    </row>
    <row r="142" spans="1:66" x14ac:dyDescent="0.2">
      <c r="A142" s="70" t="s">
        <v>365</v>
      </c>
      <c r="B142" s="70" t="s">
        <v>366</v>
      </c>
      <c r="C142" s="89" t="s">
        <v>90</v>
      </c>
      <c r="D142" s="133">
        <f>VLOOKUP(A142,'2022_PAPI_Indicators'!A137:B317,2,)</f>
        <v>0.48078575730323792</v>
      </c>
      <c r="E142" s="133">
        <f>VLOOKUP(A142,'2022_PAPI_Indicators'!A137:C317,3,FALSE)</f>
        <v>0.47709944844245911</v>
      </c>
      <c r="F142" s="133">
        <f>VLOOKUP(A142,'2022_PAPI_Indicators'!A137:D317,4,FALSE)</f>
        <v>0.39050120115280151</v>
      </c>
      <c r="G142" s="133">
        <f>VLOOKUP(A142,'2022_PAPI_Indicators'!A137:E317,5,FALSE)</f>
        <v>0.41801801323890686</v>
      </c>
      <c r="H142" s="133">
        <f>VLOOKUP(A142,'2022_PAPI_Indicators'!A137:F317,6,FALSE)</f>
        <v>0.55170482397079468</v>
      </c>
      <c r="I142" s="133">
        <f>VLOOKUP(A142,'2022_PAPI_Indicators'!A137:G317,7,FALSE)</f>
        <v>0.39280790090560913</v>
      </c>
      <c r="J142" s="133">
        <f>VLOOKUP(A142,'2022_PAPI_Indicators'!A137:H317,8,FALSE)</f>
        <v>0.38241118192672729</v>
      </c>
      <c r="K142" s="133">
        <f>VLOOKUP(A142,'2022_PAPI_Indicators'!A137:I317,9,FALSE)</f>
        <v>0.43368971347808838</v>
      </c>
      <c r="L142" s="133">
        <f>VLOOKUP(A142,'2022_PAPI_Indicators'!A137:J317,10,FALSE)</f>
        <v>0.515625</v>
      </c>
      <c r="M142" s="133">
        <f>VLOOKUP(A142,'2022_PAPI_Indicators'!A137:K317,11,FALSE)</f>
        <v>0.53902053833007813</v>
      </c>
      <c r="N142" s="133">
        <f>VLOOKUP(A142,'2022_PAPI_Indicators'!A137:L317,12,FALSE)</f>
        <v>0.52158033847808838</v>
      </c>
      <c r="O142" s="133">
        <f>VLOOKUP(A142,'2022_PAPI_Indicators'!A137:M317,13,FALSE)</f>
        <v>0.47392547130584717</v>
      </c>
      <c r="P142" s="133">
        <f>VLOOKUP(A142,'2022_PAPI_Indicators'!A137:N317,14,FALSE)</f>
        <v>0.54134833812713623</v>
      </c>
      <c r="Q142" s="133">
        <f>VLOOKUP(A142,'2022_PAPI_Indicators'!A137:O317,15,FALSE)</f>
        <v>0.70009249448776245</v>
      </c>
      <c r="R142" s="135">
        <f>VLOOKUP(A142,'2022_PAPI_Indicators'!A137:P317,16,FALSE)</f>
        <v>0.77145540714263916</v>
      </c>
      <c r="S142" s="133">
        <f>VLOOKUP(A142,'2022_PAPI_Indicators'!A137:R317,17,FALSE)</f>
        <v>0.515625</v>
      </c>
      <c r="T142" s="133">
        <f>VLOOKUP(A142,'2022_PAPI_Indicators'!A137:S317,18,FALSE)</f>
        <v>0.50122362375259399</v>
      </c>
      <c r="U142" s="135">
        <f>VLOOKUP(A142,'2022_PAPI_Indicators'!A137:T317,19,FALSE)</f>
        <v>0.66560566425323486</v>
      </c>
      <c r="V142" s="133">
        <f>VLOOKUP(A142,'2022_PAPI_Indicators'!A137:U317,20,FALSE)</f>
        <v>0.48091757297515869</v>
      </c>
      <c r="W142" s="133">
        <f>VLOOKUP(A142,'2022_PAPI_Indicators'!A137:V317,21,FALSE)</f>
        <v>0.60471552610397339</v>
      </c>
      <c r="X142" s="133">
        <f>VLOOKUP(A142,'2022_PAPI_Indicators'!A137:W317,22,FALSE)</f>
        <v>0.46857219934463501</v>
      </c>
      <c r="Y142" s="133">
        <f>VLOOKUP(A142,'2022_PAPI_Indicators'!A137:X317,23,FALSE)</f>
        <v>0.47647771239280701</v>
      </c>
      <c r="Z142" s="133">
        <f>VLOOKUP(A142,'2022_PAPI_Indicators'!A137:Y317,24,FALSE)</f>
        <v>0.53572505712509155</v>
      </c>
      <c r="AA142" s="133">
        <f>VLOOKUP(A142,'2022_PAPI_Indicators'!A137:Z317,25,FALSE)</f>
        <v>0.46319714188575745</v>
      </c>
      <c r="AB142" s="133">
        <f>VLOOKUP(A142,'2022_PAPI_Indicators'!A137:AA317,26,FALSE)</f>
        <v>0.51234567165374756</v>
      </c>
      <c r="AC142" s="133">
        <f>VLOOKUP(A142,'2022_PAPI_Indicators'!A137:AB317,27,FALSE)</f>
        <v>0.55091357231140137</v>
      </c>
      <c r="AD142" s="133">
        <f>VLOOKUP(A142,'2022_PAPI_Indicators'!A137:AC317,28,FALSE)</f>
        <v>0.59324824810028076</v>
      </c>
      <c r="AE142" s="133">
        <f>VLOOKUP(A142,'2022_PAPI_Indicators'!A137:AD317,29,FALSE)</f>
        <v>0.52796429395675659</v>
      </c>
      <c r="AF142" s="133">
        <f>VLOOKUP(A142,'2022_PAPI_Indicators'!A137:AE317,30,FALSE)</f>
        <v>0.62689661979675293</v>
      </c>
      <c r="AG142" s="133">
        <f>VLOOKUP(A142,'2022_PAPI_Indicators'!A137:AF317,31,FALSE)</f>
        <v>0.58018434047698975</v>
      </c>
      <c r="AH142" s="133">
        <f>VLOOKUP(A142,'2022_PAPI_Indicators'!A137:AG317,32,FALSE)</f>
        <v>0.60539865493774414</v>
      </c>
      <c r="AI142" s="133">
        <f>VLOOKUP(A142,'2022_PAPI_Indicators'!A137:AH317,33,FALSE)</f>
        <v>0.53473615646362305</v>
      </c>
      <c r="AJ142" s="133">
        <f>VLOOKUP(A142,'2022_PAPI_Indicators'!A137:AI317,34,FALSE)</f>
        <v>0.53103888034820557</v>
      </c>
      <c r="AK142" s="133">
        <f>VLOOKUP(A142,'2022_PAPI_Indicators'!A137:AJ317,35,FALSE)</f>
        <v>0.57401573657989502</v>
      </c>
      <c r="AL142" s="133">
        <f>VLOOKUP(A142,'2022_PAPI_Indicators'!A137:AK317,36,FALSE)</f>
        <v>0.6250307559967041</v>
      </c>
      <c r="AM142" s="133">
        <f>VLOOKUP(A142,'2022_PAPI_Indicators'!A137:AL317,37,FALSE)</f>
        <v>0.48774212598800659</v>
      </c>
      <c r="AN142" s="133">
        <f>VLOOKUP(A142,'2022_PAPI_Indicators'!A137:AM317,38,FALSE)</f>
        <v>0.53955674171447754</v>
      </c>
      <c r="AO142" s="133">
        <f>VLOOKUP(A142,'2022_PAPI_Indicators'!A137:AN317,39,FALSE)</f>
        <v>0.57670336961746216</v>
      </c>
      <c r="AP142" s="133">
        <f>VLOOKUP(A142,'2022_PAPI_Indicators'!A137:AO317,40,FALSE)</f>
        <v>0.57359647750854492</v>
      </c>
      <c r="AQ142" s="133">
        <f>VLOOKUP(A142,'2022_PAPI_Indicators'!A137:AP317,41,FALSE)</f>
        <v>0.42474517226219177</v>
      </c>
      <c r="AR142" s="133">
        <f>VLOOKUP(A142,'2022_PAPI_Indicators'!A137:AQ317,42,FALSE)</f>
        <v>0.40219563245773315</v>
      </c>
      <c r="AS142" s="133">
        <f>VLOOKUP(A142,'2022_PAPI_Indicators'!A137:AR317,43,FALSE)</f>
        <v>0.50970333814620972</v>
      </c>
      <c r="AT142" s="133">
        <f>VLOOKUP(A142,'2022_PAPI_Indicators'!A137:AS317,44,FALSE)</f>
        <v>0.46994704008102417</v>
      </c>
      <c r="AU142" s="133">
        <f>VLOOKUP(A142,'2022_PAPI_Indicators'!A137:AT317,45,FALSE)</f>
        <v>0.46127310395240784</v>
      </c>
      <c r="AV142" s="133">
        <f>VLOOKUP(A142,'2022_PAPI_Indicators'!A137:AU317,46,FALSE)</f>
        <v>0.51554012298583984</v>
      </c>
      <c r="AW142" s="133">
        <f>VLOOKUP(A142,'2022_PAPI_Indicators'!A137:AV317,47,FALSE)</f>
        <v>0.46514412760734558</v>
      </c>
      <c r="AX142" s="133">
        <f>VLOOKUP(A142,'2022_PAPI_Indicators'!A137:AW317,48,FALSE)</f>
        <v>0.69682526588439941</v>
      </c>
      <c r="AY142" s="133">
        <f>VLOOKUP(A142,'2022_PAPI_Indicators'!A137:AX317,49,FALSE)</f>
        <v>0.47789916396141052</v>
      </c>
      <c r="AZ142" s="133">
        <f>VLOOKUP(A142,'2022_PAPI_Indicators'!A137:AY317,50,FALSE)</f>
        <v>0.60785353183746338</v>
      </c>
      <c r="BA142" s="133">
        <f>VLOOKUP(A142,'2022_PAPI_Indicators'!A137:AZ317,51,FALSE)</f>
        <v>0.48738959431648254</v>
      </c>
      <c r="BB142" s="133">
        <f>VLOOKUP(A142,'2022_PAPI_Indicators'!A137:BA317,52,FALSE)</f>
        <v>0.50074887275695801</v>
      </c>
      <c r="BC142" s="133">
        <f>VLOOKUP(A142,'2022_PAPI_Indicators'!A137:BB317,53,FALSE)</f>
        <v>0.74293917417526245</v>
      </c>
      <c r="BD142" s="133">
        <f>VLOOKUP(A142,'2022_PAPI_Indicators'!A137:BC317,54,FALSE)</f>
        <v>0.58177685737609863</v>
      </c>
      <c r="BE142" s="133">
        <f>VLOOKUP(A142,'2022_PAPI_Indicators'!A137:BD317,55,FALSE)</f>
        <v>0.52732211351394653</v>
      </c>
      <c r="BF142" s="133">
        <f>VLOOKUP(A142,'2022_PAPI_Indicators'!A137:BE317,56,FALSE)</f>
        <v>0.54049474000930786</v>
      </c>
      <c r="BG142" s="133">
        <f>VLOOKUP(A142,'2022_PAPI_Indicators'!A137:BF317,57,FALSE)</f>
        <v>0.54602617025375366</v>
      </c>
      <c r="BH142" s="133">
        <f>VLOOKUP(A142,'2022_PAPI_Indicators'!A137:BG317,58,FALSE)</f>
        <v>0.541087806224823</v>
      </c>
      <c r="BI142" s="133">
        <f>VLOOKUP(A142,'2022_PAPI_Indicators'!A137:BH317,59,FALSE)</f>
        <v>0.57864564657211304</v>
      </c>
      <c r="BJ142" s="133">
        <f>VLOOKUP(A142,'2022_PAPI_Indicators'!A137:BI317,60,FALSE)</f>
        <v>0.58457982540130615</v>
      </c>
      <c r="BK142" s="133">
        <f>VLOOKUP(A142,'2022_PAPI_Indicators'!A137:BJ317,61,FALSE)</f>
        <v>0.67926043272018433</v>
      </c>
      <c r="BL142" s="133">
        <f>VLOOKUP(A142,'2022_PAPI_Indicators'!A137:BK317,62,FALSE)</f>
        <v>0.71160131692886353</v>
      </c>
      <c r="BM142" s="133">
        <f>VLOOKUP(A142,'2022_PAPI_Indicators'!A137:BL317,63,FALSE)</f>
        <v>0.64257144927978516</v>
      </c>
      <c r="BN142" s="133">
        <f>VLOOKUP(A142,'2022_PAPI_Indicators'!A137:BM317,64,FALSE)</f>
        <v>0.5622904896736145</v>
      </c>
    </row>
    <row r="143" spans="1:66" x14ac:dyDescent="0.2">
      <c r="A143" s="70" t="s">
        <v>367</v>
      </c>
      <c r="B143" s="70" t="s">
        <v>368</v>
      </c>
      <c r="C143" s="89" t="s">
        <v>90</v>
      </c>
      <c r="D143" s="133">
        <f>VLOOKUP(A143,'2022_PAPI_Indicators'!A138:B318,2,)</f>
        <v>0.77882188558578491</v>
      </c>
      <c r="E143" s="133">
        <f>VLOOKUP(A143,'2022_PAPI_Indicators'!A138:C318,3,FALSE)</f>
        <v>0.69678395986557007</v>
      </c>
      <c r="F143" s="133">
        <f>VLOOKUP(A143,'2022_PAPI_Indicators'!A138:D318,4,FALSE)</f>
        <v>0.48761090636253357</v>
      </c>
      <c r="G143" s="133">
        <f>VLOOKUP(A143,'2022_PAPI_Indicators'!A138:E318,5,FALSE)</f>
        <v>0.65271419286727905</v>
      </c>
      <c r="H143" s="133">
        <f>VLOOKUP(A143,'2022_PAPI_Indicators'!A138:F318,6,FALSE)</f>
        <v>0.81188106536865234</v>
      </c>
      <c r="I143" s="133">
        <f>VLOOKUP(A143,'2022_PAPI_Indicators'!A138:G318,7,FALSE)</f>
        <v>0.6867939829826355</v>
      </c>
      <c r="J143" s="133">
        <f>VLOOKUP(A143,'2022_PAPI_Indicators'!A138:H318,8,FALSE)</f>
        <v>0.40908566117286682</v>
      </c>
      <c r="K143" s="133">
        <f>VLOOKUP(A143,'2022_PAPI_Indicators'!A138:I318,9,FALSE)</f>
        <v>0.6344752311706543</v>
      </c>
      <c r="L143" s="133">
        <f>VLOOKUP(A143,'2022_PAPI_Indicators'!A138:J318,10,FALSE)</f>
        <v>0.61561292409896851</v>
      </c>
      <c r="M143" s="133">
        <f>VLOOKUP(A143,'2022_PAPI_Indicators'!A138:K318,11,FALSE)</f>
        <v>0.71860277652740479</v>
      </c>
      <c r="N143" s="133">
        <f>VLOOKUP(A143,'2022_PAPI_Indicators'!A138:L318,12,FALSE)</f>
        <v>0.70292168855667114</v>
      </c>
      <c r="O143" s="133">
        <f>VLOOKUP(A143,'2022_PAPI_Indicators'!A138:M318,13,FALSE)</f>
        <v>0.77713006734848022</v>
      </c>
      <c r="P143" s="133">
        <f>VLOOKUP(A143,'2022_PAPI_Indicators'!A138:N318,14,FALSE)</f>
        <v>0.74778932332992554</v>
      </c>
      <c r="Q143" s="133">
        <f>VLOOKUP(A143,'2022_PAPI_Indicators'!A138:O318,15,FALSE)</f>
        <v>0.82012921571731567</v>
      </c>
      <c r="R143" s="135">
        <f>VLOOKUP(A143,'2022_PAPI_Indicators'!A138:P318,16,FALSE)</f>
        <v>0.77859091758728027</v>
      </c>
      <c r="S143" s="133">
        <f>VLOOKUP(A143,'2022_PAPI_Indicators'!A138:R318,17,FALSE)</f>
        <v>0.765625</v>
      </c>
      <c r="T143" s="133">
        <f>VLOOKUP(A143,'2022_PAPI_Indicators'!A138:S318,18,FALSE)</f>
        <v>0.75536894798278809</v>
      </c>
      <c r="U143" s="135">
        <f>VLOOKUP(A143,'2022_PAPI_Indicators'!A138:T318,19,FALSE)</f>
        <v>0.86377352476119995</v>
      </c>
      <c r="V143" s="133">
        <f>VLOOKUP(A143,'2022_PAPI_Indicators'!A138:U318,20,FALSE)</f>
        <v>0.81516718864440918</v>
      </c>
      <c r="W143" s="133">
        <f>VLOOKUP(A143,'2022_PAPI_Indicators'!A138:V318,21,FALSE)</f>
        <v>0.77541905641555786</v>
      </c>
      <c r="X143" s="133">
        <f>VLOOKUP(A143,'2022_PAPI_Indicators'!A138:W318,22,FALSE)</f>
        <v>0.76942992210388184</v>
      </c>
      <c r="Y143" s="133">
        <f>VLOOKUP(A143,'2022_PAPI_Indicators'!A138:X318,23,FALSE)</f>
        <v>0.78171306848526001</v>
      </c>
      <c r="Z143" s="133">
        <f>VLOOKUP(A143,'2022_PAPI_Indicators'!A138:Y318,24,FALSE)</f>
        <v>0.71875470876693726</v>
      </c>
      <c r="AA143" s="133">
        <f>VLOOKUP(A143,'2022_PAPI_Indicators'!A138:Z318,25,FALSE)</f>
        <v>0.77510339021682739</v>
      </c>
      <c r="AB143" s="133">
        <f>VLOOKUP(A143,'2022_PAPI_Indicators'!A138:AA318,26,FALSE)</f>
        <v>0.76273149251937866</v>
      </c>
      <c r="AC143" s="133">
        <f>VLOOKUP(A143,'2022_PAPI_Indicators'!A138:AB318,27,FALSE)</f>
        <v>0.76310378313064575</v>
      </c>
      <c r="AD143" s="133">
        <f>VLOOKUP(A143,'2022_PAPI_Indicators'!A138:AC318,28,FALSE)</f>
        <v>0.76082783937454224</v>
      </c>
      <c r="AE143" s="133">
        <f>VLOOKUP(A143,'2022_PAPI_Indicators'!A138:AD318,29,FALSE)</f>
        <v>0.73017680644989014</v>
      </c>
      <c r="AF143" s="133">
        <f>VLOOKUP(A143,'2022_PAPI_Indicators'!A138:AE318,30,FALSE)</f>
        <v>0.66009330749511719</v>
      </c>
      <c r="AG143" s="133">
        <f>VLOOKUP(A143,'2022_PAPI_Indicators'!A138:AF318,31,FALSE)</f>
        <v>0.69850867986679077</v>
      </c>
      <c r="AH143" s="133">
        <f>VLOOKUP(A143,'2022_PAPI_Indicators'!A138:AG318,32,FALSE)</f>
        <v>0.74190443754196167</v>
      </c>
      <c r="AI143" s="133">
        <f>VLOOKUP(A143,'2022_PAPI_Indicators'!A138:AH318,33,FALSE)</f>
        <v>0.70254784822463989</v>
      </c>
      <c r="AJ143" s="133">
        <f>VLOOKUP(A143,'2022_PAPI_Indicators'!A138:AI318,34,FALSE)</f>
        <v>0.70057916641235352</v>
      </c>
      <c r="AK143" s="133">
        <f>VLOOKUP(A143,'2022_PAPI_Indicators'!A138:AJ318,35,FALSE)</f>
        <v>0.68857449293136597</v>
      </c>
      <c r="AL143" s="133">
        <f>VLOOKUP(A143,'2022_PAPI_Indicators'!A138:AK318,36,FALSE)</f>
        <v>0.63290929794311523</v>
      </c>
      <c r="AM143" s="133">
        <f>VLOOKUP(A143,'2022_PAPI_Indicators'!A138:AL318,37,FALSE)</f>
        <v>0.68413287401199341</v>
      </c>
      <c r="AN143" s="133">
        <f>VLOOKUP(A143,'2022_PAPI_Indicators'!A138:AM318,38,FALSE)</f>
        <v>0.64203059673309326</v>
      </c>
      <c r="AO143" s="133">
        <f>VLOOKUP(A143,'2022_PAPI_Indicators'!A138:AN318,39,FALSE)</f>
        <v>0.70286250114440918</v>
      </c>
      <c r="AP143" s="133">
        <f>VLOOKUP(A143,'2022_PAPI_Indicators'!A138:AO318,40,FALSE)</f>
        <v>0.73369592428207397</v>
      </c>
      <c r="AQ143" s="133">
        <f>VLOOKUP(A143,'2022_PAPI_Indicators'!A138:AP318,41,FALSE)</f>
        <v>0.5740697979927063</v>
      </c>
      <c r="AR143" s="133">
        <f>VLOOKUP(A143,'2022_PAPI_Indicators'!A138:AQ318,42,FALSE)</f>
        <v>0.65481418371200562</v>
      </c>
      <c r="AS143" s="133">
        <f>VLOOKUP(A143,'2022_PAPI_Indicators'!A138:AR318,43,FALSE)</f>
        <v>0.65691304206848145</v>
      </c>
      <c r="AT143" s="133">
        <f>VLOOKUP(A143,'2022_PAPI_Indicators'!A138:AS318,44,FALSE)</f>
        <v>0.65458130836486816</v>
      </c>
      <c r="AU143" s="133">
        <f>VLOOKUP(A143,'2022_PAPI_Indicators'!A138:AT318,45,FALSE)</f>
        <v>0.67415511608123779</v>
      </c>
      <c r="AV143" s="133">
        <f>VLOOKUP(A143,'2022_PAPI_Indicators'!A138:AU318,46,FALSE)</f>
        <v>0.73556172847747803</v>
      </c>
      <c r="AW143" s="133">
        <f>VLOOKUP(A143,'2022_PAPI_Indicators'!A138:AV318,47,FALSE)</f>
        <v>0.62456625699996948</v>
      </c>
      <c r="AX143" s="133">
        <f>VLOOKUP(A143,'2022_PAPI_Indicators'!A138:AW318,48,FALSE)</f>
        <v>0.76099592447280884</v>
      </c>
      <c r="AY143" s="133">
        <f>VLOOKUP(A143,'2022_PAPI_Indicators'!A138:AX318,49,FALSE)</f>
        <v>0.69589084386825562</v>
      </c>
      <c r="AZ143" s="133">
        <f>VLOOKUP(A143,'2022_PAPI_Indicators'!A138:AY318,50,FALSE)</f>
        <v>0.66088682413101196</v>
      </c>
      <c r="BA143" s="133">
        <f>VLOOKUP(A143,'2022_PAPI_Indicators'!A138:AZ318,51,FALSE)</f>
        <v>0.62993007898330688</v>
      </c>
      <c r="BB143" s="133">
        <f>VLOOKUP(A143,'2022_PAPI_Indicators'!A138:BA318,52,FALSE)</f>
        <v>0.57700186967849731</v>
      </c>
      <c r="BC143" s="133">
        <f>VLOOKUP(A143,'2022_PAPI_Indicators'!A138:BB318,53,FALSE)</f>
        <v>0.59240597486495972</v>
      </c>
      <c r="BD143" s="133">
        <f>VLOOKUP(A143,'2022_PAPI_Indicators'!A138:BC318,54,FALSE)</f>
        <v>0.63910418748855591</v>
      </c>
      <c r="BE143" s="133">
        <f>VLOOKUP(A143,'2022_PAPI_Indicators'!A138:BD318,55,FALSE)</f>
        <v>0.71228528022766113</v>
      </c>
      <c r="BF143" s="133">
        <f>VLOOKUP(A143,'2022_PAPI_Indicators'!A138:BE318,56,FALSE)</f>
        <v>0.68398898839950562</v>
      </c>
      <c r="BG143" s="133">
        <f>VLOOKUP(A143,'2022_PAPI_Indicators'!A138:BF318,57,FALSE)</f>
        <v>0.58092308044433594</v>
      </c>
      <c r="BH143" s="133">
        <f>VLOOKUP(A143,'2022_PAPI_Indicators'!A138:BG318,58,FALSE)</f>
        <v>0.59158790111541748</v>
      </c>
      <c r="BI143" s="133">
        <f>VLOOKUP(A143,'2022_PAPI_Indicators'!A138:BH318,59,FALSE)</f>
        <v>0.71234214305877686</v>
      </c>
      <c r="BJ143" s="133">
        <f>VLOOKUP(A143,'2022_PAPI_Indicators'!A138:BI318,60,FALSE)</f>
        <v>0.56066125631332397</v>
      </c>
      <c r="BK143" s="133">
        <f>VLOOKUP(A143,'2022_PAPI_Indicators'!A138:BJ318,61,FALSE)</f>
        <v>0.63424456119537354</v>
      </c>
      <c r="BL143" s="133">
        <f>VLOOKUP(A143,'2022_PAPI_Indicators'!A138:BK318,62,FALSE)</f>
        <v>0.64326459169387817</v>
      </c>
      <c r="BM143" s="133">
        <f>VLOOKUP(A143,'2022_PAPI_Indicators'!A138:BL318,63,FALSE)</f>
        <v>0.69491255283355713</v>
      </c>
      <c r="BN143" s="133">
        <f>VLOOKUP(A143,'2022_PAPI_Indicators'!A138:BM318,64,FALSE)</f>
        <v>0.66513460874557495</v>
      </c>
    </row>
    <row r="144" spans="1:66" x14ac:dyDescent="0.2">
      <c r="A144" s="70" t="s">
        <v>369</v>
      </c>
      <c r="B144" s="70" t="s">
        <v>370</v>
      </c>
      <c r="C144" s="89" t="s">
        <v>90</v>
      </c>
      <c r="D144" s="133">
        <f>VLOOKUP(A144,'2022_PAPI_Indicators'!A139:B319,2,)</f>
        <v>0.89974194765090942</v>
      </c>
      <c r="E144" s="133">
        <f>VLOOKUP(A144,'2022_PAPI_Indicators'!A139:C319,3,FALSE)</f>
        <v>0.81349146366119385</v>
      </c>
      <c r="F144" s="133">
        <f>VLOOKUP(A144,'2022_PAPI_Indicators'!A139:D319,4,FALSE)</f>
        <v>0.67878365516662598</v>
      </c>
      <c r="G144" s="133">
        <f>VLOOKUP(A144,'2022_PAPI_Indicators'!A139:E319,5,FALSE)</f>
        <v>0.85531061887741089</v>
      </c>
      <c r="H144" s="133">
        <f>VLOOKUP(A144,'2022_PAPI_Indicators'!A139:F319,6,FALSE)</f>
        <v>0.85921633243560791</v>
      </c>
      <c r="I144" s="133">
        <f>VLOOKUP(A144,'2022_PAPI_Indicators'!A139:G319,7,FALSE)</f>
        <v>0.78768080472946167</v>
      </c>
      <c r="J144" s="133">
        <f>VLOOKUP(A144,'2022_PAPI_Indicators'!A139:H319,8,FALSE)</f>
        <v>0.74257171154022217</v>
      </c>
      <c r="K144" s="133">
        <f>VLOOKUP(A144,'2022_PAPI_Indicators'!A139:I319,9,FALSE)</f>
        <v>0.8067125678062439</v>
      </c>
      <c r="L144" s="133">
        <f>VLOOKUP(A144,'2022_PAPI_Indicators'!A139:J319,10,FALSE)</f>
        <v>0.81071752309799194</v>
      </c>
      <c r="M144" s="133">
        <f>VLOOKUP(A144,'2022_PAPI_Indicators'!A139:K319,11,FALSE)</f>
        <v>0.86821401119232178</v>
      </c>
      <c r="N144" s="133">
        <f>VLOOKUP(A144,'2022_PAPI_Indicators'!A139:L319,12,FALSE)</f>
        <v>0.88404768705368042</v>
      </c>
      <c r="O144" s="133">
        <f>VLOOKUP(A144,'2022_PAPI_Indicators'!A139:M319,13,FALSE)</f>
        <v>0.90951555967330933</v>
      </c>
      <c r="P144" s="133">
        <f>VLOOKUP(A144,'2022_PAPI_Indicators'!A139:N319,14,FALSE)</f>
        <v>0.89961802959442139</v>
      </c>
      <c r="Q144" s="133">
        <f>VLOOKUP(A144,'2022_PAPI_Indicators'!A139:O319,15,FALSE)</f>
        <v>0.84717881679534912</v>
      </c>
      <c r="R144" s="135">
        <f>VLOOKUP(A144,'2022_PAPI_Indicators'!A139:P319,16,FALSE)</f>
        <v>0.98690277338027954</v>
      </c>
      <c r="S144" s="133">
        <f>VLOOKUP(A144,'2022_PAPI_Indicators'!A139:R319,17,FALSE)</f>
        <v>0.94221723079681396</v>
      </c>
      <c r="T144" s="133">
        <f>VLOOKUP(A144,'2022_PAPI_Indicators'!A139:S319,18,FALSE)</f>
        <v>0.78343981504440308</v>
      </c>
      <c r="U144" s="135">
        <f>VLOOKUP(A144,'2022_PAPI_Indicators'!A139:T319,19,FALSE)</f>
        <v>0.94698596000671387</v>
      </c>
      <c r="V144" s="133">
        <f>VLOOKUP(A144,'2022_PAPI_Indicators'!A139:U319,20,FALSE)</f>
        <v>0.65536916255950928</v>
      </c>
      <c r="W144" s="133">
        <f>VLOOKUP(A144,'2022_PAPI_Indicators'!A139:V319,21,FALSE)</f>
        <v>0.84011662006378174</v>
      </c>
      <c r="X144" s="133">
        <f>VLOOKUP(A144,'2022_PAPI_Indicators'!A139:W319,22,FALSE)</f>
        <v>0.92912012338638306</v>
      </c>
      <c r="Y144" s="133">
        <f>VLOOKUP(A144,'2022_PAPI_Indicators'!A139:X319,23,FALSE)</f>
        <v>0.85789775848388672</v>
      </c>
      <c r="Z144" s="133">
        <f>VLOOKUP(A144,'2022_PAPI_Indicators'!A139:Y319,24,FALSE)</f>
        <v>0.72743397951126099</v>
      </c>
      <c r="AA144" s="133">
        <f>VLOOKUP(A144,'2022_PAPI_Indicators'!A139:Z319,25,FALSE)</f>
        <v>0.83751076459884644</v>
      </c>
      <c r="AB144" s="133">
        <f>VLOOKUP(A144,'2022_PAPI_Indicators'!A139:AA319,26,FALSE)</f>
        <v>0.92312091588973999</v>
      </c>
      <c r="AC144" s="133">
        <f>VLOOKUP(A144,'2022_PAPI_Indicators'!A139:AB319,27,FALSE)</f>
        <v>0.8882257342338562</v>
      </c>
      <c r="AD144" s="133">
        <f>VLOOKUP(A144,'2022_PAPI_Indicators'!A139:AC319,28,FALSE)</f>
        <v>0.88341003656387329</v>
      </c>
      <c r="AE144" s="133">
        <f>VLOOKUP(A144,'2022_PAPI_Indicators'!A139:AD319,29,FALSE)</f>
        <v>0.90752732753753662</v>
      </c>
      <c r="AF144" s="133">
        <f>VLOOKUP(A144,'2022_PAPI_Indicators'!A139:AE319,30,FALSE)</f>
        <v>0.83574783802032471</v>
      </c>
      <c r="AG144" s="133">
        <f>VLOOKUP(A144,'2022_PAPI_Indicators'!A139:AF319,31,FALSE)</f>
        <v>0.82936888933181763</v>
      </c>
      <c r="AH144" s="133">
        <f>VLOOKUP(A144,'2022_PAPI_Indicators'!A139:AG319,32,FALSE)</f>
        <v>0.93579781055450439</v>
      </c>
      <c r="AI144" s="133">
        <f>VLOOKUP(A144,'2022_PAPI_Indicators'!A139:AH319,33,FALSE)</f>
        <v>0.86523687839508057</v>
      </c>
      <c r="AJ144" s="133">
        <f>VLOOKUP(A144,'2022_PAPI_Indicators'!A139:AI319,34,FALSE)</f>
        <v>0.96350985765457153</v>
      </c>
      <c r="AK144" s="133">
        <f>VLOOKUP(A144,'2022_PAPI_Indicators'!A139:AJ319,35,FALSE)</f>
        <v>0.79370659589767456</v>
      </c>
      <c r="AL144" s="133">
        <f>VLOOKUP(A144,'2022_PAPI_Indicators'!A139:AK319,36,FALSE)</f>
        <v>0.86617952585220337</v>
      </c>
      <c r="AM144" s="133">
        <f>VLOOKUP(A144,'2022_PAPI_Indicators'!A139:AL319,37,FALSE)</f>
        <v>0.89904022216796875</v>
      </c>
      <c r="AN144" s="133">
        <f>VLOOKUP(A144,'2022_PAPI_Indicators'!A139:AM319,38,FALSE)</f>
        <v>0.90545666217803955</v>
      </c>
      <c r="AO144" s="133">
        <f>VLOOKUP(A144,'2022_PAPI_Indicators'!A139:AN319,39,FALSE)</f>
        <v>0.83713990449905396</v>
      </c>
      <c r="AP144" s="133">
        <f>VLOOKUP(A144,'2022_PAPI_Indicators'!A139:AO319,40,FALSE)</f>
        <v>0.75832682847976685</v>
      </c>
      <c r="AQ144" s="133">
        <f>VLOOKUP(A144,'2022_PAPI_Indicators'!A139:AP319,41,FALSE)</f>
        <v>0.68095457553863525</v>
      </c>
      <c r="AR144" s="133">
        <f>VLOOKUP(A144,'2022_PAPI_Indicators'!A139:AQ319,42,FALSE)</f>
        <v>0.68736833333969116</v>
      </c>
      <c r="AS144" s="133">
        <f>VLOOKUP(A144,'2022_PAPI_Indicators'!A139:AR319,43,FALSE)</f>
        <v>0.75866645574569702</v>
      </c>
      <c r="AT144" s="133">
        <f>VLOOKUP(A144,'2022_PAPI_Indicators'!A139:AS319,44,FALSE)</f>
        <v>0.8578650951385498</v>
      </c>
      <c r="AU144" s="133">
        <f>VLOOKUP(A144,'2022_PAPI_Indicators'!A139:AT319,45,FALSE)</f>
        <v>0.82890331745147705</v>
      </c>
      <c r="AV144" s="133">
        <f>VLOOKUP(A144,'2022_PAPI_Indicators'!A139:AU319,46,FALSE)</f>
        <v>0.82227134704589844</v>
      </c>
      <c r="AW144" s="133">
        <f>VLOOKUP(A144,'2022_PAPI_Indicators'!A139:AV319,47,FALSE)</f>
        <v>0.88850343227386475</v>
      </c>
      <c r="AX144" s="133">
        <f>VLOOKUP(A144,'2022_PAPI_Indicators'!A139:AW319,48,FALSE)</f>
        <v>0.98076063394546509</v>
      </c>
      <c r="AY144" s="133">
        <f>VLOOKUP(A144,'2022_PAPI_Indicators'!A139:AX319,49,FALSE)</f>
        <v>0.72941124439239502</v>
      </c>
      <c r="AZ144" s="133">
        <f>VLOOKUP(A144,'2022_PAPI_Indicators'!A139:AY319,50,FALSE)</f>
        <v>0.69059520959854126</v>
      </c>
      <c r="BA144" s="133">
        <f>VLOOKUP(A144,'2022_PAPI_Indicators'!A139:AZ319,51,FALSE)</f>
        <v>0.9005589485168457</v>
      </c>
      <c r="BB144" s="133">
        <f>VLOOKUP(A144,'2022_PAPI_Indicators'!A139:BA319,52,FALSE)</f>
        <v>0.83102303743362427</v>
      </c>
      <c r="BC144" s="133">
        <f>VLOOKUP(A144,'2022_PAPI_Indicators'!A139:BB319,53,FALSE)</f>
        <v>0.89069980382919312</v>
      </c>
      <c r="BD144" s="133">
        <f>VLOOKUP(A144,'2022_PAPI_Indicators'!A139:BC319,54,FALSE)</f>
        <v>0.82923388481140137</v>
      </c>
      <c r="BE144" s="133">
        <f>VLOOKUP(A144,'2022_PAPI_Indicators'!A139:BD319,55,FALSE)</f>
        <v>0.81019240617752075</v>
      </c>
      <c r="BF144" s="133">
        <f>VLOOKUP(A144,'2022_PAPI_Indicators'!A139:BE319,56,FALSE)</f>
        <v>0.87146735191345215</v>
      </c>
      <c r="BG144" s="133">
        <f>VLOOKUP(A144,'2022_PAPI_Indicators'!A139:BF319,57,FALSE)</f>
        <v>0.88934904336929321</v>
      </c>
      <c r="BH144" s="133">
        <f>VLOOKUP(A144,'2022_PAPI_Indicators'!A139:BG319,58,FALSE)</f>
        <v>0.72818297147750854</v>
      </c>
      <c r="BI144" s="133">
        <f>VLOOKUP(A144,'2022_PAPI_Indicators'!A139:BH319,59,FALSE)</f>
        <v>0.71954083442687988</v>
      </c>
      <c r="BJ144" s="133">
        <f>VLOOKUP(A144,'2022_PAPI_Indicators'!A139:BI319,60,FALSE)</f>
        <v>0.7168692946434021</v>
      </c>
      <c r="BK144" s="133">
        <f>VLOOKUP(A144,'2022_PAPI_Indicators'!A139:BJ319,61,FALSE)</f>
        <v>0.87189269065856934</v>
      </c>
      <c r="BL144" s="133">
        <f>VLOOKUP(A144,'2022_PAPI_Indicators'!A139:BK319,62,FALSE)</f>
        <v>0.74099093675613403</v>
      </c>
      <c r="BM144" s="133">
        <f>VLOOKUP(A144,'2022_PAPI_Indicators'!A139:BL319,63,FALSE)</f>
        <v>0.8682437539100647</v>
      </c>
      <c r="BN144" s="133">
        <f>VLOOKUP(A144,'2022_PAPI_Indicators'!A139:BM319,64,FALSE)</f>
        <v>0.9725455641746521</v>
      </c>
    </row>
    <row r="145" spans="1:66" x14ac:dyDescent="0.2">
      <c r="A145" s="70" t="s">
        <v>371</v>
      </c>
      <c r="B145" s="70" t="s">
        <v>372</v>
      </c>
      <c r="C145" s="89" t="s">
        <v>90</v>
      </c>
      <c r="D145" s="133">
        <f>VLOOKUP(A145,'2022_PAPI_Indicators'!A140:B320,2,)</f>
        <v>0.57263165712356567</v>
      </c>
      <c r="E145" s="133">
        <f>VLOOKUP(A145,'2022_PAPI_Indicators'!A140:C320,3,FALSE)</f>
        <v>0.6227649450302124</v>
      </c>
      <c r="F145" s="133">
        <f>VLOOKUP(A145,'2022_PAPI_Indicators'!A140:D320,4,FALSE)</f>
        <v>0.72471100091934204</v>
      </c>
      <c r="G145" s="133">
        <f>VLOOKUP(A145,'2022_PAPI_Indicators'!A140:E320,5,FALSE)</f>
        <v>0.44715267419815063</v>
      </c>
      <c r="H145" s="133">
        <f>VLOOKUP(A145,'2022_PAPI_Indicators'!A140:F320,6,FALSE)</f>
        <v>0.54054117202758789</v>
      </c>
      <c r="I145" s="133">
        <f>VLOOKUP(A145,'2022_PAPI_Indicators'!A140:G320,7,FALSE)</f>
        <v>0.40918636322021484</v>
      </c>
      <c r="J145" s="133">
        <f>VLOOKUP(A145,'2022_PAPI_Indicators'!A140:H320,8,FALSE)</f>
        <v>0.54160505533218384</v>
      </c>
      <c r="K145" s="133">
        <f>VLOOKUP(A145,'2022_PAPI_Indicators'!A140:I320,9,FALSE)</f>
        <v>0.52852070331573486</v>
      </c>
      <c r="L145" s="133">
        <f>VLOOKUP(A145,'2022_PAPI_Indicators'!A140:J320,10,FALSE)</f>
        <v>0.40340891480445862</v>
      </c>
      <c r="M145" s="133">
        <f>VLOOKUP(A145,'2022_PAPI_Indicators'!A140:K320,11,FALSE)</f>
        <v>0.5094638466835022</v>
      </c>
      <c r="N145" s="133">
        <f>VLOOKUP(A145,'2022_PAPI_Indicators'!A140:L320,12,FALSE)</f>
        <v>0.51804530620574951</v>
      </c>
      <c r="O145" s="133">
        <f>VLOOKUP(A145,'2022_PAPI_Indicators'!A140:M320,13,FALSE)</f>
        <v>0.5831722617149353</v>
      </c>
      <c r="P145" s="133">
        <f>VLOOKUP(A145,'2022_PAPI_Indicators'!A140:N320,14,FALSE)</f>
        <v>0.62526535987854004</v>
      </c>
      <c r="Q145" s="133">
        <f>VLOOKUP(A145,'2022_PAPI_Indicators'!A140:O320,15,FALSE)</f>
        <v>0.67070120573043823</v>
      </c>
      <c r="R145" s="135">
        <f>VLOOKUP(A145,'2022_PAPI_Indicators'!A140:P320,16,FALSE)</f>
        <v>0.81278645992279053</v>
      </c>
      <c r="S145" s="133">
        <f>VLOOKUP(A145,'2022_PAPI_Indicators'!A140:R320,17,FALSE)</f>
        <v>0.64348536729812622</v>
      </c>
      <c r="T145" s="133">
        <f>VLOOKUP(A145,'2022_PAPI_Indicators'!A140:S320,18,FALSE)</f>
        <v>0.51219981908798218</v>
      </c>
      <c r="U145" s="135">
        <f>VLOOKUP(A145,'2022_PAPI_Indicators'!A140:T320,19,FALSE)</f>
        <v>0.78946506977081299</v>
      </c>
      <c r="V145" s="133">
        <f>VLOOKUP(A145,'2022_PAPI_Indicators'!A140:U320,20,FALSE)</f>
        <v>0.345206618309021</v>
      </c>
      <c r="W145" s="133">
        <f>VLOOKUP(A145,'2022_PAPI_Indicators'!A140:V320,21,FALSE)</f>
        <v>0.63806217908859253</v>
      </c>
      <c r="X145" s="133">
        <f>VLOOKUP(A145,'2022_PAPI_Indicators'!A140:W320,22,FALSE)</f>
        <v>0.69830089807510376</v>
      </c>
      <c r="Y145" s="133">
        <f>VLOOKUP(A145,'2022_PAPI_Indicators'!A140:X320,23,FALSE)</f>
        <v>0.50299221277236938</v>
      </c>
      <c r="Z145" s="133">
        <f>VLOOKUP(A145,'2022_PAPI_Indicators'!A140:Y320,24,FALSE)</f>
        <v>0.54321318864822388</v>
      </c>
      <c r="AA145" s="133">
        <f>VLOOKUP(A145,'2022_PAPI_Indicators'!A140:Z320,25,FALSE)</f>
        <v>0.5</v>
      </c>
      <c r="AB145" s="133">
        <f>VLOOKUP(A145,'2022_PAPI_Indicators'!A140:AA320,26,FALSE)</f>
        <v>0.62313896417617798</v>
      </c>
      <c r="AC145" s="133">
        <f>VLOOKUP(A145,'2022_PAPI_Indicators'!A140:AB320,27,FALSE)</f>
        <v>0.65813982486724854</v>
      </c>
      <c r="AD145" s="133">
        <f>VLOOKUP(A145,'2022_PAPI_Indicators'!A140:AC320,28,FALSE)</f>
        <v>0.59286218881607056</v>
      </c>
      <c r="AE145" s="133">
        <f>VLOOKUP(A145,'2022_PAPI_Indicators'!A140:AD320,29,FALSE)</f>
        <v>0.63071531057357788</v>
      </c>
      <c r="AF145" s="133">
        <f>VLOOKUP(A145,'2022_PAPI_Indicators'!A140:AE320,30,FALSE)</f>
        <v>0.68027210235595703</v>
      </c>
      <c r="AG145" s="133">
        <f>VLOOKUP(A145,'2022_PAPI_Indicators'!A140:AF320,31,FALSE)</f>
        <v>0.38344940543174744</v>
      </c>
      <c r="AH145" s="133">
        <f>VLOOKUP(A145,'2022_PAPI_Indicators'!A140:AG320,32,FALSE)</f>
        <v>0.6733088493347168</v>
      </c>
      <c r="AI145" s="133">
        <f>VLOOKUP(A145,'2022_PAPI_Indicators'!A140:AH320,33,FALSE)</f>
        <v>0.42436656355857849</v>
      </c>
      <c r="AJ145" s="133">
        <f>VLOOKUP(A145,'2022_PAPI_Indicators'!A140:AI320,34,FALSE)</f>
        <v>0.51351392269134521</v>
      </c>
      <c r="AK145" s="133">
        <f>VLOOKUP(A145,'2022_PAPI_Indicators'!A140:AJ320,35,FALSE)</f>
        <v>0.73579877614974976</v>
      </c>
      <c r="AL145" s="133">
        <f>VLOOKUP(A145,'2022_PAPI_Indicators'!A140:AK320,36,FALSE)</f>
        <v>0.51583582162857056</v>
      </c>
      <c r="AM145" s="133">
        <f>VLOOKUP(A145,'2022_PAPI_Indicators'!A140:AL320,37,FALSE)</f>
        <v>0.57100671529769897</v>
      </c>
      <c r="AN145" s="133">
        <f>VLOOKUP(A145,'2022_PAPI_Indicators'!A140:AM320,38,FALSE)</f>
        <v>0.59848350286483765</v>
      </c>
      <c r="AO145" s="133">
        <f>VLOOKUP(A145,'2022_PAPI_Indicators'!A140:AN320,39,FALSE)</f>
        <v>0.83484905958175659</v>
      </c>
      <c r="AP145" s="133">
        <f>VLOOKUP(A145,'2022_PAPI_Indicators'!A140:AO320,40,FALSE)</f>
        <v>0.53378576040267944</v>
      </c>
      <c r="AQ145" s="133">
        <f>VLOOKUP(A145,'2022_PAPI_Indicators'!A140:AP320,41,FALSE)</f>
        <v>0.41537946462631226</v>
      </c>
      <c r="AR145" s="133">
        <f>VLOOKUP(A145,'2022_PAPI_Indicators'!A140:AQ320,42,FALSE)</f>
        <v>0.53215932846069336</v>
      </c>
      <c r="AS145" s="133">
        <f>VLOOKUP(A145,'2022_PAPI_Indicators'!A140:AR320,43,FALSE)</f>
        <v>0.49982506036758423</v>
      </c>
      <c r="AT145" s="133">
        <f>VLOOKUP(A145,'2022_PAPI_Indicators'!A140:AS320,44,FALSE)</f>
        <v>0.53651720285415649</v>
      </c>
      <c r="AU145" s="133">
        <f>VLOOKUP(A145,'2022_PAPI_Indicators'!A140:AT320,45,FALSE)</f>
        <v>0.65293216705322266</v>
      </c>
      <c r="AV145" s="133">
        <f>VLOOKUP(A145,'2022_PAPI_Indicators'!A140:AU320,46,FALSE)</f>
        <v>0.60058075189590454</v>
      </c>
      <c r="AW145" s="133">
        <f>VLOOKUP(A145,'2022_PAPI_Indicators'!A140:AV320,47,FALSE)</f>
        <v>0.33091863989830017</v>
      </c>
      <c r="AX145" s="133">
        <f>VLOOKUP(A145,'2022_PAPI_Indicators'!A140:AW320,48,FALSE)</f>
        <v>0.67729312181472778</v>
      </c>
      <c r="AY145" s="133">
        <f>VLOOKUP(A145,'2022_PAPI_Indicators'!A140:AX320,49,FALSE)</f>
        <v>0.36539256572723389</v>
      </c>
      <c r="AZ145" s="133">
        <f>VLOOKUP(A145,'2022_PAPI_Indicators'!A140:AY320,50,FALSE)</f>
        <v>0.47429993748664856</v>
      </c>
      <c r="BA145" s="133">
        <f>VLOOKUP(A145,'2022_PAPI_Indicators'!A140:AZ320,51,FALSE)</f>
        <v>0.53306782245635986</v>
      </c>
      <c r="BB145" s="133">
        <f>VLOOKUP(A145,'2022_PAPI_Indicators'!A140:BA320,52,FALSE)</f>
        <v>0.54184210300445557</v>
      </c>
      <c r="BC145" s="133">
        <f>VLOOKUP(A145,'2022_PAPI_Indicators'!A140:BB320,53,FALSE)</f>
        <v>0.48081174492835999</v>
      </c>
      <c r="BD145" s="133">
        <f>VLOOKUP(A145,'2022_PAPI_Indicators'!A140:BC320,54,FALSE)</f>
        <v>0.4284588098526001</v>
      </c>
      <c r="BE145" s="133">
        <f>VLOOKUP(A145,'2022_PAPI_Indicators'!A140:BD320,55,FALSE)</f>
        <v>0.53156012296676636</v>
      </c>
      <c r="BF145" s="133">
        <f>VLOOKUP(A145,'2022_PAPI_Indicators'!A140:BE320,56,FALSE)</f>
        <v>0.57475113868713379</v>
      </c>
      <c r="BG145" s="133">
        <f>VLOOKUP(A145,'2022_PAPI_Indicators'!A140:BF320,57,FALSE)</f>
        <v>0.62947964668273926</v>
      </c>
      <c r="BH145" s="133">
        <f>VLOOKUP(A145,'2022_PAPI_Indicators'!A140:BG320,58,FALSE)</f>
        <v>0.69125938415527344</v>
      </c>
      <c r="BI145" s="133">
        <f>VLOOKUP(A145,'2022_PAPI_Indicators'!A140:BH320,59,FALSE)</f>
        <v>0.41213420033454895</v>
      </c>
      <c r="BJ145" s="133">
        <f>VLOOKUP(A145,'2022_PAPI_Indicators'!A140:BI320,60,FALSE)</f>
        <v>0.3194834291934967</v>
      </c>
      <c r="BK145" s="133">
        <f>VLOOKUP(A145,'2022_PAPI_Indicators'!A140:BJ320,61,FALSE)</f>
        <v>0.69517767429351807</v>
      </c>
      <c r="BL145" s="133">
        <f>VLOOKUP(A145,'2022_PAPI_Indicators'!A140:BK320,62,FALSE)</f>
        <v>0.75493955612182617</v>
      </c>
      <c r="BM145" s="133">
        <f>VLOOKUP(A145,'2022_PAPI_Indicators'!A140:BL320,63,FALSE)</f>
        <v>0.77886390686035156</v>
      </c>
      <c r="BN145" s="133">
        <f>VLOOKUP(A145,'2022_PAPI_Indicators'!A140:BM320,64,FALSE)</f>
        <v>0.70738756656646729</v>
      </c>
    </row>
    <row r="146" spans="1:66" s="112" customFormat="1" x14ac:dyDescent="0.2">
      <c r="A146" s="77" t="s">
        <v>373</v>
      </c>
      <c r="B146" s="77" t="s">
        <v>374</v>
      </c>
      <c r="C146" s="92" t="s">
        <v>449</v>
      </c>
      <c r="D146" s="131">
        <f>VLOOKUP(A146,'2022_PAPI_Indicators'!A141:B321,2,)</f>
        <v>1.6826380491256714</v>
      </c>
      <c r="E146" s="131">
        <f>VLOOKUP(A146,'2022_PAPI_Indicators'!A141:C321,3,FALSE)</f>
        <v>1.9994082450866699</v>
      </c>
      <c r="F146" s="131">
        <f>VLOOKUP(A146,'2022_PAPI_Indicators'!A141:D321,4,FALSE)</f>
        <v>1.8497158288955688</v>
      </c>
      <c r="G146" s="131">
        <f>VLOOKUP(A146,'2022_PAPI_Indicators'!A141:E321,5,FALSE)</f>
        <v>1.8375442028045654</v>
      </c>
      <c r="H146" s="131">
        <f>VLOOKUP(A146,'2022_PAPI_Indicators'!A141:F321,6,FALSE)</f>
        <v>1.9636963605880737</v>
      </c>
      <c r="I146" s="131">
        <f>VLOOKUP(A146,'2022_PAPI_Indicators'!A141:G321,7,FALSE)</f>
        <v>1.8921533823013306</v>
      </c>
      <c r="J146" s="131">
        <f>VLOOKUP(A146,'2022_PAPI_Indicators'!A141:H321,8,FALSE)</f>
        <v>2.1129779815673828</v>
      </c>
      <c r="K146" s="131">
        <f>VLOOKUP(A146,'2022_PAPI_Indicators'!A141:I321,9,FALSE)</f>
        <v>2.0696806907653809</v>
      </c>
      <c r="L146" s="131">
        <f>VLOOKUP(A146,'2022_PAPI_Indicators'!A141:J321,10,FALSE)</f>
        <v>1.8511958122253418</v>
      </c>
      <c r="M146" s="131">
        <f>VLOOKUP(A146,'2022_PAPI_Indicators'!A141:K321,11,FALSE)</f>
        <v>1.9312019348144531</v>
      </c>
      <c r="N146" s="131">
        <f>VLOOKUP(A146,'2022_PAPI_Indicators'!A141:L321,12,FALSE)</f>
        <v>1.9166508913040161</v>
      </c>
      <c r="O146" s="131">
        <f>VLOOKUP(A146,'2022_PAPI_Indicators'!A141:M321,13,FALSE)</f>
        <v>1.7385933399200439</v>
      </c>
      <c r="P146" s="131">
        <f>VLOOKUP(A146,'2022_PAPI_Indicators'!A141:N321,14,FALSE)</f>
        <v>1.9024653434753418</v>
      </c>
      <c r="Q146" s="131">
        <f>VLOOKUP(A146,'2022_PAPI_Indicators'!A141:O321,15,FALSE)</f>
        <v>2.474050760269165</v>
      </c>
      <c r="R146" s="132">
        <f>VLOOKUP(A146,'2022_PAPI_Indicators'!A141:P321,16,FALSE)</f>
        <v>2.27689528465271</v>
      </c>
      <c r="S146" s="131">
        <f>VLOOKUP(A146,'2022_PAPI_Indicators'!A141:R321,17,FALSE)</f>
        <v>1.9206689596176147</v>
      </c>
      <c r="T146" s="131">
        <f>VLOOKUP(A146,'2022_PAPI_Indicators'!A141:S321,18,FALSE)</f>
        <v>1.7318150997161865</v>
      </c>
      <c r="U146" s="132">
        <f>VLOOKUP(A146,'2022_PAPI_Indicators'!A141:T321,19,FALSE)</f>
        <v>2.0850005149841309</v>
      </c>
      <c r="V146" s="131">
        <f>VLOOKUP(A146,'2022_PAPI_Indicators'!A141:U321,20,FALSE)</f>
        <v>1.5699982643127441</v>
      </c>
      <c r="W146" s="131">
        <f>VLOOKUP(A146,'2022_PAPI_Indicators'!A141:V321,21,FALSE)</f>
        <v>1.844326376914978</v>
      </c>
      <c r="X146" s="131">
        <f>VLOOKUP(A146,'2022_PAPI_Indicators'!A141:W321,22,FALSE)</f>
        <v>1.9606162309646606</v>
      </c>
      <c r="Y146" s="131">
        <f>VLOOKUP(A146,'2022_PAPI_Indicators'!A141:X321,23,FALSE)</f>
        <v>1.8433159589767456</v>
      </c>
      <c r="Z146" s="131">
        <f>VLOOKUP(A146,'2022_PAPI_Indicators'!A141:Y321,24,FALSE)</f>
        <v>1.778484582901001</v>
      </c>
      <c r="AA146" s="131">
        <f>VLOOKUP(A146,'2022_PAPI_Indicators'!A141:Z321,25,FALSE)</f>
        <v>2.0615615844726563</v>
      </c>
      <c r="AB146" s="131">
        <f>VLOOKUP(A146,'2022_PAPI_Indicators'!A141:AA321,26,FALSE)</f>
        <v>1.9587191343307495</v>
      </c>
      <c r="AC146" s="131">
        <f>VLOOKUP(A146,'2022_PAPI_Indicators'!A141:AB321,27,FALSE)</f>
        <v>2.089202880859375</v>
      </c>
      <c r="AD146" s="131">
        <f>VLOOKUP(A146,'2022_PAPI_Indicators'!A141:AC321,28,FALSE)</f>
        <v>1.9808739423751831</v>
      </c>
      <c r="AE146" s="131">
        <f>VLOOKUP(A146,'2022_PAPI_Indicators'!A141:AD321,29,FALSE)</f>
        <v>2.1174671649932861</v>
      </c>
      <c r="AF146" s="131">
        <f>VLOOKUP(A146,'2022_PAPI_Indicators'!A141:AE321,30,FALSE)</f>
        <v>1.88710618019104</v>
      </c>
      <c r="AG146" s="131">
        <f>VLOOKUP(A146,'2022_PAPI_Indicators'!A141:AF321,31,FALSE)</f>
        <v>1.7185611724853516</v>
      </c>
      <c r="AH146" s="131">
        <f>VLOOKUP(A146,'2022_PAPI_Indicators'!A141:AG321,32,FALSE)</f>
        <v>2.0033040046691895</v>
      </c>
      <c r="AI146" s="131">
        <f>VLOOKUP(A146,'2022_PAPI_Indicators'!A141:AH321,33,FALSE)</f>
        <v>1.8365292549133301</v>
      </c>
      <c r="AJ146" s="131">
        <f>VLOOKUP(A146,'2022_PAPI_Indicators'!A141:AI321,34,FALSE)</f>
        <v>1.8676143884658813</v>
      </c>
      <c r="AK146" s="131">
        <f>VLOOKUP(A146,'2022_PAPI_Indicators'!A141:AJ321,35,FALSE)</f>
        <v>1.8388779163360596</v>
      </c>
      <c r="AL146" s="131">
        <f>VLOOKUP(A146,'2022_PAPI_Indicators'!A141:AK321,36,FALSE)</f>
        <v>1.8660192489624023</v>
      </c>
      <c r="AM146" s="131">
        <f>VLOOKUP(A146,'2022_PAPI_Indicators'!A141:AL321,37,FALSE)</f>
        <v>1.9788576364517212</v>
      </c>
      <c r="AN146" s="131">
        <f>VLOOKUP(A146,'2022_PAPI_Indicators'!A141:AM321,38,FALSE)</f>
        <v>1.9801521301269531</v>
      </c>
      <c r="AO146" s="131">
        <f>VLOOKUP(A146,'2022_PAPI_Indicators'!A141:AN321,39,FALSE)</f>
        <v>2.0658960342407227</v>
      </c>
      <c r="AP146" s="131">
        <f>VLOOKUP(A146,'2022_PAPI_Indicators'!A141:AO321,40,FALSE)</f>
        <v>1.9476909637451172</v>
      </c>
      <c r="AQ146" s="131">
        <f>VLOOKUP(A146,'2022_PAPI_Indicators'!A141:AP321,41,FALSE)</f>
        <v>1.8782491683959961</v>
      </c>
      <c r="AR146" s="131">
        <f>VLOOKUP(A146,'2022_PAPI_Indicators'!A141:AQ321,42,FALSE)</f>
        <v>1.8902587890625</v>
      </c>
      <c r="AS146" s="131">
        <f>VLOOKUP(A146,'2022_PAPI_Indicators'!A141:AR321,43,FALSE)</f>
        <v>1.7059074640274048</v>
      </c>
      <c r="AT146" s="131">
        <f>VLOOKUP(A146,'2022_PAPI_Indicators'!A141:AS321,44,FALSE)</f>
        <v>2.066706657409668</v>
      </c>
      <c r="AU146" s="131">
        <f>VLOOKUP(A146,'2022_PAPI_Indicators'!A141:AT321,45,FALSE)</f>
        <v>1.74659264087677</v>
      </c>
      <c r="AV146" s="131">
        <f>VLOOKUP(A146,'2022_PAPI_Indicators'!A141:AU321,46,FALSE)</f>
        <v>1.5268620252609253</v>
      </c>
      <c r="AW146" s="131">
        <f>VLOOKUP(A146,'2022_PAPI_Indicators'!A141:AV321,47,FALSE)</f>
        <v>1.7529282569885254</v>
      </c>
      <c r="AX146" s="131">
        <f>VLOOKUP(A146,'2022_PAPI_Indicators'!A141:AW321,48,FALSE)</f>
        <v>1.9030214548110962</v>
      </c>
      <c r="AY146" s="131">
        <f>VLOOKUP(A146,'2022_PAPI_Indicators'!A141:AX321,49,FALSE)</f>
        <v>1.6156975030899048</v>
      </c>
      <c r="AZ146" s="131">
        <f>VLOOKUP(A146,'2022_PAPI_Indicators'!A141:AY321,50,FALSE)</f>
        <v>1.7255966663360596</v>
      </c>
      <c r="BA146" s="131">
        <f>VLOOKUP(A146,'2022_PAPI_Indicators'!A141:AZ321,51,FALSE)</f>
        <v>1.7309117317199707</v>
      </c>
      <c r="BB146" s="131">
        <f>VLOOKUP(A146,'2022_PAPI_Indicators'!A141:BA321,52,FALSE)</f>
        <v>1.8446975946426392</v>
      </c>
      <c r="BC146" s="131">
        <f>VLOOKUP(A146,'2022_PAPI_Indicators'!A141:BB321,53,FALSE)</f>
        <v>1.9576057195663452</v>
      </c>
      <c r="BD146" s="131">
        <f>VLOOKUP(A146,'2022_PAPI_Indicators'!A141:BC321,54,FALSE)</f>
        <v>1.6849719285964966</v>
      </c>
      <c r="BE146" s="131">
        <f>VLOOKUP(A146,'2022_PAPI_Indicators'!A141:BD321,55,FALSE)</f>
        <v>1.7737312316894531</v>
      </c>
      <c r="BF146" s="131">
        <f>VLOOKUP(A146,'2022_PAPI_Indicators'!A141:BE321,56,FALSE)</f>
        <v>1.8710626363754272</v>
      </c>
      <c r="BG146" s="131">
        <f>VLOOKUP(A146,'2022_PAPI_Indicators'!A141:BF321,57,FALSE)</f>
        <v>1.8892940282821655</v>
      </c>
      <c r="BH146" s="131">
        <f>VLOOKUP(A146,'2022_PAPI_Indicators'!A141:BG321,58,FALSE)</f>
        <v>1.9392721652984619</v>
      </c>
      <c r="BI146" s="131">
        <f>VLOOKUP(A146,'2022_PAPI_Indicators'!A141:BH321,59,FALSE)</f>
        <v>1.8404450416564941</v>
      </c>
      <c r="BJ146" s="131">
        <f>VLOOKUP(A146,'2022_PAPI_Indicators'!A141:BI321,60,FALSE)</f>
        <v>1.9332188367843628</v>
      </c>
      <c r="BK146" s="131">
        <f>VLOOKUP(A146,'2022_PAPI_Indicators'!A141:BJ321,61,FALSE)</f>
        <v>1.7947491407394409</v>
      </c>
      <c r="BL146" s="131">
        <f>VLOOKUP(A146,'2022_PAPI_Indicators'!A141:BK321,62,FALSE)</f>
        <v>1.9742370843887329</v>
      </c>
      <c r="BM146" s="131">
        <f>VLOOKUP(A146,'2022_PAPI_Indicators'!A141:BL321,63,FALSE)</f>
        <v>1.9399925470352173</v>
      </c>
      <c r="BN146" s="131">
        <f>VLOOKUP(A146,'2022_PAPI_Indicators'!A141:BM321,64,FALSE)</f>
        <v>1.7652716636657715</v>
      </c>
    </row>
    <row r="147" spans="1:66" x14ac:dyDescent="0.2">
      <c r="A147" s="70" t="s">
        <v>375</v>
      </c>
      <c r="B147" s="70" t="s">
        <v>376</v>
      </c>
      <c r="C147" s="89" t="s">
        <v>90</v>
      </c>
      <c r="D147" s="133">
        <f>VLOOKUP(A147,'2022_PAPI_Indicators'!A142:B322,2,)</f>
        <v>0.17301423847675323</v>
      </c>
      <c r="E147" s="133">
        <f>VLOOKUP(A147,'2022_PAPI_Indicators'!A142:C322,3,FALSE)</f>
        <v>0.37815219163894653</v>
      </c>
      <c r="F147" s="133">
        <f>VLOOKUP(A147,'2022_PAPI_Indicators'!A142:D322,4,FALSE)</f>
        <v>0.3524932861328125</v>
      </c>
      <c r="G147" s="133">
        <f>VLOOKUP(A147,'2022_PAPI_Indicators'!A142:E322,5,FALSE)</f>
        <v>0.30057996511459351</v>
      </c>
      <c r="H147" s="133">
        <f>VLOOKUP(A147,'2022_PAPI_Indicators'!A142:F322,6,FALSE)</f>
        <v>0.23102311789989471</v>
      </c>
      <c r="I147" s="133">
        <f>VLOOKUP(A147,'2022_PAPI_Indicators'!A142:G322,7,FALSE)</f>
        <v>0.3675830066204071</v>
      </c>
      <c r="J147" s="133">
        <f>VLOOKUP(A147,'2022_PAPI_Indicators'!A142:H322,8,FALSE)</f>
        <v>0.38741445541381836</v>
      </c>
      <c r="K147" s="133">
        <f>VLOOKUP(A147,'2022_PAPI_Indicators'!A142:I322,9,FALSE)</f>
        <v>0.396563321352005</v>
      </c>
      <c r="L147" s="133">
        <f>VLOOKUP(A147,'2022_PAPI_Indicators'!A142:J322,10,FALSE)</f>
        <v>0.28125</v>
      </c>
      <c r="M147" s="133">
        <f>VLOOKUP(A147,'2022_PAPI_Indicators'!A142:K322,11,FALSE)</f>
        <v>0.2938709557056427</v>
      </c>
      <c r="N147" s="133">
        <f>VLOOKUP(A147,'2022_PAPI_Indicators'!A142:L322,12,FALSE)</f>
        <v>0.28236889839172363</v>
      </c>
      <c r="O147" s="133">
        <f>VLOOKUP(A147,'2022_PAPI_Indicators'!A142:M322,13,FALSE)</f>
        <v>0.14887800812721252</v>
      </c>
      <c r="P147" s="133">
        <f>VLOOKUP(A147,'2022_PAPI_Indicators'!A142:N322,14,FALSE)</f>
        <v>0.26278647780418396</v>
      </c>
      <c r="Q147" s="133">
        <f>VLOOKUP(A147,'2022_PAPI_Indicators'!A142:O322,15,FALSE)</f>
        <v>0.48217746615409851</v>
      </c>
      <c r="R147" s="135">
        <f>VLOOKUP(A147,'2022_PAPI_Indicators'!A142:P322,16,FALSE)</f>
        <v>0.44067132472991943</v>
      </c>
      <c r="S147" s="133">
        <f>VLOOKUP(A147,'2022_PAPI_Indicators'!A142:R322,17,FALSE)</f>
        <v>0.21728414297103882</v>
      </c>
      <c r="T147" s="133">
        <f>VLOOKUP(A147,'2022_PAPI_Indicators'!A142:S322,18,FALSE)</f>
        <v>0.20684888958930969</v>
      </c>
      <c r="U147" s="135">
        <f>VLOOKUP(A147,'2022_PAPI_Indicators'!A142:T322,19,FALSE)</f>
        <v>0.29157909750938416</v>
      </c>
      <c r="V147" s="133">
        <f>VLOOKUP(A147,'2022_PAPI_Indicators'!A142:U322,20,FALSE)</f>
        <v>0.26407590508460999</v>
      </c>
      <c r="W147" s="133">
        <f>VLOOKUP(A147,'2022_PAPI_Indicators'!A142:V322,21,FALSE)</f>
        <v>0.16418895125389099</v>
      </c>
      <c r="X147" s="133">
        <f>VLOOKUP(A147,'2022_PAPI_Indicators'!A142:W322,22,FALSE)</f>
        <v>0.28505489230155945</v>
      </c>
      <c r="Y147" s="133">
        <f>VLOOKUP(A147,'2022_PAPI_Indicators'!A142:X322,23,FALSE)</f>
        <v>0.25816395878791809</v>
      </c>
      <c r="Z147" s="133">
        <f>VLOOKUP(A147,'2022_PAPI_Indicators'!A142:Y322,24,FALSE)</f>
        <v>0.18329316377639771</v>
      </c>
      <c r="AA147" s="133">
        <f>VLOOKUP(A147,'2022_PAPI_Indicators'!A142:Z322,25,FALSE)</f>
        <v>0.303021639585495</v>
      </c>
      <c r="AB147" s="133">
        <f>VLOOKUP(A147,'2022_PAPI_Indicators'!A142:AA322,26,FALSE)</f>
        <v>0.28960904479026794</v>
      </c>
      <c r="AC147" s="133">
        <f>VLOOKUP(A147,'2022_PAPI_Indicators'!A142:AB322,27,FALSE)</f>
        <v>0.20264074206352234</v>
      </c>
      <c r="AD147" s="133">
        <f>VLOOKUP(A147,'2022_PAPI_Indicators'!A142:AC322,28,FALSE)</f>
        <v>0.28626319766044617</v>
      </c>
      <c r="AE147" s="133">
        <f>VLOOKUP(A147,'2022_PAPI_Indicators'!A142:AD322,29,FALSE)</f>
        <v>0.31735533475875854</v>
      </c>
      <c r="AF147" s="133">
        <f>VLOOKUP(A147,'2022_PAPI_Indicators'!A142:AE322,30,FALSE)</f>
        <v>0.16339960694313049</v>
      </c>
      <c r="AG147" s="133">
        <f>VLOOKUP(A147,'2022_PAPI_Indicators'!A142:AF322,31,FALSE)</f>
        <v>0.13089478015899658</v>
      </c>
      <c r="AH147" s="133">
        <f>VLOOKUP(A147,'2022_PAPI_Indicators'!A142:AG322,32,FALSE)</f>
        <v>0.20593754947185516</v>
      </c>
      <c r="AI147" s="133">
        <f>VLOOKUP(A147,'2022_PAPI_Indicators'!A142:AH322,33,FALSE)</f>
        <v>0.17238274216651917</v>
      </c>
      <c r="AJ147" s="133">
        <f>VLOOKUP(A147,'2022_PAPI_Indicators'!A142:AI322,34,FALSE)</f>
        <v>0.13546706736087799</v>
      </c>
      <c r="AK147" s="133">
        <f>VLOOKUP(A147,'2022_PAPI_Indicators'!A142:AJ322,35,FALSE)</f>
        <v>0.21575622260570526</v>
      </c>
      <c r="AL147" s="133">
        <f>VLOOKUP(A147,'2022_PAPI_Indicators'!A142:AK322,36,FALSE)</f>
        <v>0.18779920041561127</v>
      </c>
      <c r="AM147" s="133">
        <f>VLOOKUP(A147,'2022_PAPI_Indicators'!A142:AL322,37,FALSE)</f>
        <v>0.22518157958984375</v>
      </c>
      <c r="AN147" s="133">
        <f>VLOOKUP(A147,'2022_PAPI_Indicators'!A142:AM322,38,FALSE)</f>
        <v>0.23169979453086853</v>
      </c>
      <c r="AO147" s="133">
        <f>VLOOKUP(A147,'2022_PAPI_Indicators'!A142:AN322,39,FALSE)</f>
        <v>0.23644337058067322</v>
      </c>
      <c r="AP147" s="133">
        <f>VLOOKUP(A147,'2022_PAPI_Indicators'!A142:AO322,40,FALSE)</f>
        <v>0.12047145515680313</v>
      </c>
      <c r="AQ147" s="133">
        <f>VLOOKUP(A147,'2022_PAPI_Indicators'!A142:AP322,41,FALSE)</f>
        <v>0.29661059379577637</v>
      </c>
      <c r="AR147" s="133">
        <f>VLOOKUP(A147,'2022_PAPI_Indicators'!A142:AQ322,42,FALSE)</f>
        <v>0.30101370811462402</v>
      </c>
      <c r="AS147" s="133">
        <f>VLOOKUP(A147,'2022_PAPI_Indicators'!A142:AR322,43,FALSE)</f>
        <v>0.17161893844604492</v>
      </c>
      <c r="AT147" s="133">
        <f>VLOOKUP(A147,'2022_PAPI_Indicators'!A142:AS322,44,FALSE)</f>
        <v>0.37847569584846497</v>
      </c>
      <c r="AU147" s="133">
        <f>VLOOKUP(A147,'2022_PAPI_Indicators'!A142:AT322,45,FALSE)</f>
        <v>0.18150164186954498</v>
      </c>
      <c r="AV147" s="133">
        <f>VLOOKUP(A147,'2022_PAPI_Indicators'!A142:AU322,46,FALSE)</f>
        <v>7.418234646320343E-2</v>
      </c>
      <c r="AW147" s="133">
        <f>VLOOKUP(A147,'2022_PAPI_Indicators'!A142:AV322,47,FALSE)</f>
        <v>9.3920081853866577E-2</v>
      </c>
      <c r="AX147" s="133">
        <f>VLOOKUP(A147,'2022_PAPI_Indicators'!A142:AW322,48,FALSE)</f>
        <v>0.13390932977199554</v>
      </c>
      <c r="AY147" s="133">
        <f>VLOOKUP(A147,'2022_PAPI_Indicators'!A142:AX322,49,FALSE)</f>
        <v>0.12530830502510071</v>
      </c>
      <c r="AZ147" s="133">
        <f>VLOOKUP(A147,'2022_PAPI_Indicators'!A142:AY322,50,FALSE)</f>
        <v>0.12006618827581406</v>
      </c>
      <c r="BA147" s="133">
        <f>VLOOKUP(A147,'2022_PAPI_Indicators'!A142:AZ322,51,FALSE)</f>
        <v>0.10244198888540268</v>
      </c>
      <c r="BB147" s="133">
        <f>VLOOKUP(A147,'2022_PAPI_Indicators'!A142:BA322,52,FALSE)</f>
        <v>0.11082444339990616</v>
      </c>
      <c r="BC147" s="133">
        <f>VLOOKUP(A147,'2022_PAPI_Indicators'!A142:BB322,53,FALSE)</f>
        <v>0.14684167504310608</v>
      </c>
      <c r="BD147" s="133">
        <f>VLOOKUP(A147,'2022_PAPI_Indicators'!A142:BC322,54,FALSE)</f>
        <v>8.7711811065673828E-2</v>
      </c>
      <c r="BE147" s="133">
        <f>VLOOKUP(A147,'2022_PAPI_Indicators'!A142:BD322,55,FALSE)</f>
        <v>7.4948035180568695E-2</v>
      </c>
      <c r="BF147" s="133">
        <f>VLOOKUP(A147,'2022_PAPI_Indicators'!A142:BE322,56,FALSE)</f>
        <v>0.14028050005435944</v>
      </c>
      <c r="BG147" s="133">
        <f>VLOOKUP(A147,'2022_PAPI_Indicators'!A142:BF322,57,FALSE)</f>
        <v>0.15625</v>
      </c>
      <c r="BH147" s="133">
        <f>VLOOKUP(A147,'2022_PAPI_Indicators'!A142:BG322,58,FALSE)</f>
        <v>0.12079411000013351</v>
      </c>
      <c r="BI147" s="133">
        <f>VLOOKUP(A147,'2022_PAPI_Indicators'!A142:BH322,59,FALSE)</f>
        <v>8.877815306186676E-2</v>
      </c>
      <c r="BJ147" s="133">
        <f>VLOOKUP(A147,'2022_PAPI_Indicators'!A142:BI322,60,FALSE)</f>
        <v>0.16354110836982727</v>
      </c>
      <c r="BK147" s="133">
        <f>VLOOKUP(A147,'2022_PAPI_Indicators'!A142:BJ322,61,FALSE)</f>
        <v>0.14710670709609985</v>
      </c>
      <c r="BL147" s="133">
        <f>VLOOKUP(A147,'2022_PAPI_Indicators'!A142:BK322,62,FALSE)</f>
        <v>0.11851832270622253</v>
      </c>
      <c r="BM147" s="133">
        <f>VLOOKUP(A147,'2022_PAPI_Indicators'!A142:BL322,63,FALSE)</f>
        <v>0.1131574809551239</v>
      </c>
      <c r="BN147" s="133">
        <f>VLOOKUP(A147,'2022_PAPI_Indicators'!A142:BM322,64,FALSE)</f>
        <v>0.11186369508504868</v>
      </c>
    </row>
    <row r="148" spans="1:66" x14ac:dyDescent="0.2">
      <c r="A148" s="70" t="s">
        <v>377</v>
      </c>
      <c r="B148" s="70" t="s">
        <v>378</v>
      </c>
      <c r="C148" s="89" t="s">
        <v>90</v>
      </c>
      <c r="D148" s="133">
        <f>VLOOKUP(A148,'2022_PAPI_Indicators'!A143:B323,2,)</f>
        <v>0.82079017162322998</v>
      </c>
      <c r="E148" s="133">
        <f>VLOOKUP(A148,'2022_PAPI_Indicators'!A143:C323,3,FALSE)</f>
        <v>0.88575953245162964</v>
      </c>
      <c r="F148" s="133">
        <f>VLOOKUP(A148,'2022_PAPI_Indicators'!A143:D323,4,FALSE)</f>
        <v>0.79523152112960815</v>
      </c>
      <c r="G148" s="133">
        <f>VLOOKUP(A148,'2022_PAPI_Indicators'!A143:E323,5,FALSE)</f>
        <v>0.90421813726425171</v>
      </c>
      <c r="H148" s="133">
        <f>VLOOKUP(A148,'2022_PAPI_Indicators'!A143:F323,6,FALSE)</f>
        <v>0.91694176197052002</v>
      </c>
      <c r="I148" s="133">
        <f>VLOOKUP(A148,'2022_PAPI_Indicators'!A143:G323,7,FALSE)</f>
        <v>0.8602447509765625</v>
      </c>
      <c r="J148" s="133">
        <f>VLOOKUP(A148,'2022_PAPI_Indicators'!A143:H323,8,FALSE)</f>
        <v>0.90365463495254517</v>
      </c>
      <c r="K148" s="133">
        <f>VLOOKUP(A148,'2022_PAPI_Indicators'!A143:I323,9,FALSE)</f>
        <v>0.86596590280532837</v>
      </c>
      <c r="L148" s="133">
        <f>VLOOKUP(A148,'2022_PAPI_Indicators'!A143:J323,10,FALSE)</f>
        <v>0.80380606651306152</v>
      </c>
      <c r="M148" s="133">
        <f>VLOOKUP(A148,'2022_PAPI_Indicators'!A143:K323,11,FALSE)</f>
        <v>0.91098034381866455</v>
      </c>
      <c r="N148" s="133">
        <f>VLOOKUP(A148,'2022_PAPI_Indicators'!A143:L323,12,FALSE)</f>
        <v>0.87865293025970459</v>
      </c>
      <c r="O148" s="133">
        <f>VLOOKUP(A148,'2022_PAPI_Indicators'!A143:M323,13,FALSE)</f>
        <v>0.87033051252365112</v>
      </c>
      <c r="P148" s="133">
        <f>VLOOKUP(A148,'2022_PAPI_Indicators'!A143:N323,14,FALSE)</f>
        <v>0.890625</v>
      </c>
      <c r="Q148" s="133">
        <f>VLOOKUP(A148,'2022_PAPI_Indicators'!A143:O323,15,FALSE)</f>
        <v>0.94829148054122925</v>
      </c>
      <c r="R148" s="135">
        <f>VLOOKUP(A148,'2022_PAPI_Indicators'!A143:P323,16,FALSE)</f>
        <v>0.94729459285736084</v>
      </c>
      <c r="S148" s="133">
        <f>VLOOKUP(A148,'2022_PAPI_Indicators'!A143:R323,17,FALSE)</f>
        <v>0.87128865718841553</v>
      </c>
      <c r="T148" s="133">
        <f>VLOOKUP(A148,'2022_PAPI_Indicators'!A143:S323,18,FALSE)</f>
        <v>0.75564372539520264</v>
      </c>
      <c r="U148" s="135">
        <f>VLOOKUP(A148,'2022_PAPI_Indicators'!A143:T323,19,FALSE)</f>
        <v>0.91227000951766968</v>
      </c>
      <c r="V148" s="133">
        <f>VLOOKUP(A148,'2022_PAPI_Indicators'!A143:U323,20,FALSE)</f>
        <v>0.62089747190475464</v>
      </c>
      <c r="W148" s="133">
        <f>VLOOKUP(A148,'2022_PAPI_Indicators'!A143:V323,21,FALSE)</f>
        <v>0.82422113418579102</v>
      </c>
      <c r="X148" s="133">
        <f>VLOOKUP(A148,'2022_PAPI_Indicators'!A143:W323,22,FALSE)</f>
        <v>0.91596496105194092</v>
      </c>
      <c r="Y148" s="133">
        <f>VLOOKUP(A148,'2022_PAPI_Indicators'!A143:X323,23,FALSE)</f>
        <v>0.90670633316040039</v>
      </c>
      <c r="Z148" s="133">
        <f>VLOOKUP(A148,'2022_PAPI_Indicators'!A143:Y323,24,FALSE)</f>
        <v>0.85581988096237183</v>
      </c>
      <c r="AA148" s="133">
        <f>VLOOKUP(A148,'2022_PAPI_Indicators'!A143:Z323,25,FALSE)</f>
        <v>0.921875</v>
      </c>
      <c r="AB148" s="133">
        <f>VLOOKUP(A148,'2022_PAPI_Indicators'!A143:AA323,26,FALSE)</f>
        <v>0.88773149251937866</v>
      </c>
      <c r="AC148" s="133">
        <f>VLOOKUP(A148,'2022_PAPI_Indicators'!A143:AB323,27,FALSE)</f>
        <v>0.93279093503952026</v>
      </c>
      <c r="AD148" s="133">
        <f>VLOOKUP(A148,'2022_PAPI_Indicators'!A143:AC323,28,FALSE)</f>
        <v>0.90722423791885376</v>
      </c>
      <c r="AE148" s="133">
        <f>VLOOKUP(A148,'2022_PAPI_Indicators'!A143:AD323,29,FALSE)</f>
        <v>0.89193928241729736</v>
      </c>
      <c r="AF148" s="133">
        <f>VLOOKUP(A148,'2022_PAPI_Indicators'!A143:AE323,30,FALSE)</f>
        <v>0.90188640356063843</v>
      </c>
      <c r="AG148" s="133">
        <f>VLOOKUP(A148,'2022_PAPI_Indicators'!A143:AF323,31,FALSE)</f>
        <v>0.81093823909759521</v>
      </c>
      <c r="AH148" s="133">
        <f>VLOOKUP(A148,'2022_PAPI_Indicators'!A143:AG323,32,FALSE)</f>
        <v>0.96708852052688599</v>
      </c>
      <c r="AI148" s="133">
        <f>VLOOKUP(A148,'2022_PAPI_Indicators'!A143:AH323,33,FALSE)</f>
        <v>0.95042115449905396</v>
      </c>
      <c r="AJ148" s="133">
        <f>VLOOKUP(A148,'2022_PAPI_Indicators'!A143:AI323,34,FALSE)</f>
        <v>0.95633882284164429</v>
      </c>
      <c r="AK148" s="133">
        <f>VLOOKUP(A148,'2022_PAPI_Indicators'!A143:AJ323,35,FALSE)</f>
        <v>0.92447507381439209</v>
      </c>
      <c r="AL148" s="133">
        <f>VLOOKUP(A148,'2022_PAPI_Indicators'!A143:AK323,36,FALSE)</f>
        <v>0.91969180107116699</v>
      </c>
      <c r="AM148" s="133">
        <f>VLOOKUP(A148,'2022_PAPI_Indicators'!A143:AL323,37,FALSE)</f>
        <v>0.94301414489746094</v>
      </c>
      <c r="AN148" s="133">
        <f>VLOOKUP(A148,'2022_PAPI_Indicators'!A143:AM323,38,FALSE)</f>
        <v>0.94101858139038086</v>
      </c>
      <c r="AO148" s="133">
        <f>VLOOKUP(A148,'2022_PAPI_Indicators'!A143:AN323,39,FALSE)</f>
        <v>0.93555968999862671</v>
      </c>
      <c r="AP148" s="133">
        <f>VLOOKUP(A148,'2022_PAPI_Indicators'!A143:AO323,40,FALSE)</f>
        <v>0.91417604684829712</v>
      </c>
      <c r="AQ148" s="133">
        <f>VLOOKUP(A148,'2022_PAPI_Indicators'!A143:AP323,41,FALSE)</f>
        <v>0.86627167463302612</v>
      </c>
      <c r="AR148" s="133">
        <f>VLOOKUP(A148,'2022_PAPI_Indicators'!A143:AQ323,42,FALSE)</f>
        <v>0.91199314594268799</v>
      </c>
      <c r="AS148" s="133">
        <f>VLOOKUP(A148,'2022_PAPI_Indicators'!A143:AR323,43,FALSE)</f>
        <v>0.83831077814102173</v>
      </c>
      <c r="AT148" s="133">
        <f>VLOOKUP(A148,'2022_PAPI_Indicators'!A143:AS323,44,FALSE)</f>
        <v>0.94235533475875854</v>
      </c>
      <c r="AU148" s="133">
        <f>VLOOKUP(A148,'2022_PAPI_Indicators'!A143:AT323,45,FALSE)</f>
        <v>0.92060583829879761</v>
      </c>
      <c r="AV148" s="133">
        <f>VLOOKUP(A148,'2022_PAPI_Indicators'!A143:AU323,46,FALSE)</f>
        <v>0.85860621929168701</v>
      </c>
      <c r="AW148" s="133">
        <f>VLOOKUP(A148,'2022_PAPI_Indicators'!A143:AV323,47,FALSE)</f>
        <v>0.88167077302932739</v>
      </c>
      <c r="AX148" s="133">
        <f>VLOOKUP(A148,'2022_PAPI_Indicators'!A143:AW323,48,FALSE)</f>
        <v>0.95366871356964111</v>
      </c>
      <c r="AY148" s="133">
        <f>VLOOKUP(A148,'2022_PAPI_Indicators'!A143:AX323,49,FALSE)</f>
        <v>0.83650767803192139</v>
      </c>
      <c r="AZ148" s="133">
        <f>VLOOKUP(A148,'2022_PAPI_Indicators'!A143:AY323,50,FALSE)</f>
        <v>0.84955435991287231</v>
      </c>
      <c r="BA148" s="133">
        <f>VLOOKUP(A148,'2022_PAPI_Indicators'!A143:AZ323,51,FALSE)</f>
        <v>0.90565329790115356</v>
      </c>
      <c r="BB148" s="133">
        <f>VLOOKUP(A148,'2022_PAPI_Indicators'!A143:BA323,52,FALSE)</f>
        <v>0.92224931716918945</v>
      </c>
      <c r="BC148" s="133">
        <f>VLOOKUP(A148,'2022_PAPI_Indicators'!A143:BB323,53,FALSE)</f>
        <v>0.95990079641342163</v>
      </c>
      <c r="BD148" s="133">
        <f>VLOOKUP(A148,'2022_PAPI_Indicators'!A143:BC323,54,FALSE)</f>
        <v>0.82746535539627075</v>
      </c>
      <c r="BE148" s="133">
        <f>VLOOKUP(A148,'2022_PAPI_Indicators'!A143:BD323,55,FALSE)</f>
        <v>0.9158291220664978</v>
      </c>
      <c r="BF148" s="133">
        <f>VLOOKUP(A148,'2022_PAPI_Indicators'!A143:BE323,56,FALSE)</f>
        <v>0.94437104463577271</v>
      </c>
      <c r="BG148" s="133">
        <f>VLOOKUP(A148,'2022_PAPI_Indicators'!A143:BF323,57,FALSE)</f>
        <v>0.91278922557830811</v>
      </c>
      <c r="BH148" s="133">
        <f>VLOOKUP(A148,'2022_PAPI_Indicators'!A143:BG323,58,FALSE)</f>
        <v>0.93910843133926392</v>
      </c>
      <c r="BI148" s="133">
        <f>VLOOKUP(A148,'2022_PAPI_Indicators'!A143:BH323,59,FALSE)</f>
        <v>0.90804654359817505</v>
      </c>
      <c r="BJ148" s="133">
        <f>VLOOKUP(A148,'2022_PAPI_Indicators'!A143:BI323,60,FALSE)</f>
        <v>0.92808079719543457</v>
      </c>
      <c r="BK148" s="133">
        <f>VLOOKUP(A148,'2022_PAPI_Indicators'!A143:BJ323,61,FALSE)</f>
        <v>0.90192961692810059</v>
      </c>
      <c r="BL148" s="133">
        <f>VLOOKUP(A148,'2022_PAPI_Indicators'!A143:BK323,62,FALSE)</f>
        <v>0.93933874368667603</v>
      </c>
      <c r="BM148" s="133">
        <f>VLOOKUP(A148,'2022_PAPI_Indicators'!A143:BL323,63,FALSE)</f>
        <v>0.95803940296173096</v>
      </c>
      <c r="BN148" s="133">
        <f>VLOOKUP(A148,'2022_PAPI_Indicators'!A143:BM323,64,FALSE)</f>
        <v>0.89995509386062622</v>
      </c>
    </row>
    <row r="149" spans="1:66" x14ac:dyDescent="0.2">
      <c r="A149" s="70" t="s">
        <v>379</v>
      </c>
      <c r="B149" s="70" t="s">
        <v>380</v>
      </c>
      <c r="C149" s="89" t="s">
        <v>90</v>
      </c>
      <c r="D149" s="133">
        <f>VLOOKUP(A149,'2022_PAPI_Indicators'!A144:B324,2,)</f>
        <v>0.35550037026405334</v>
      </c>
      <c r="E149" s="133">
        <f>VLOOKUP(A149,'2022_PAPI_Indicators'!A144:C324,3,FALSE)</f>
        <v>0.4021632969379425</v>
      </c>
      <c r="F149" s="133">
        <f>VLOOKUP(A149,'2022_PAPI_Indicators'!A144:D324,4,FALSE)</f>
        <v>0.36865776777267456</v>
      </c>
      <c r="G149" s="133">
        <f>VLOOKUP(A149,'2022_PAPI_Indicators'!A144:E324,5,FALSE)</f>
        <v>0.29941284656524658</v>
      </c>
      <c r="H149" s="133">
        <f>VLOOKUP(A149,'2022_PAPI_Indicators'!A144:F324,6,FALSE)</f>
        <v>0.48239815235137939</v>
      </c>
      <c r="I149" s="133">
        <f>VLOOKUP(A149,'2022_PAPI_Indicators'!A144:G324,7,FALSE)</f>
        <v>0.33099231123924255</v>
      </c>
      <c r="J149" s="133">
        <f>VLOOKUP(A149,'2022_PAPI_Indicators'!A144:H324,8,FALSE)</f>
        <v>0.48857563734054565</v>
      </c>
      <c r="K149" s="133">
        <f>VLOOKUP(A149,'2022_PAPI_Indicators'!A144:I324,9,FALSE)</f>
        <v>0.47381821274757385</v>
      </c>
      <c r="L149" s="133">
        <f>VLOOKUP(A149,'2022_PAPI_Indicators'!A144:J324,10,FALSE)</f>
        <v>0.43280646204948425</v>
      </c>
      <c r="M149" s="133">
        <f>VLOOKUP(A149,'2022_PAPI_Indicators'!A144:K324,11,FALSE)</f>
        <v>0.39301735162734985</v>
      </c>
      <c r="N149" s="133">
        <f>VLOOKUP(A149,'2022_PAPI_Indicators'!A144:L324,12,FALSE)</f>
        <v>0.42229577898979187</v>
      </c>
      <c r="O149" s="133">
        <f>VLOOKUP(A149,'2022_PAPI_Indicators'!A144:M324,13,FALSE)</f>
        <v>0.38605150580406189</v>
      </c>
      <c r="P149" s="133">
        <f>VLOOKUP(A149,'2022_PAPI_Indicators'!A144:N324,14,FALSE)</f>
        <v>0.41572049260139465</v>
      </c>
      <c r="Q149" s="133">
        <f>VLOOKUP(A149,'2022_PAPI_Indicators'!A144:O324,15,FALSE)</f>
        <v>0.71024858951568604</v>
      </c>
      <c r="R149" s="135">
        <f>VLOOKUP(A149,'2022_PAPI_Indicators'!A144:P324,16,FALSE)</f>
        <v>0.55559617280960083</v>
      </c>
      <c r="S149" s="133">
        <f>VLOOKUP(A149,'2022_PAPI_Indicators'!A144:R324,17,FALSE)</f>
        <v>0.49876287579536438</v>
      </c>
      <c r="T149" s="133">
        <f>VLOOKUP(A149,'2022_PAPI_Indicators'!A144:S324,18,FALSE)</f>
        <v>0.43598923087120056</v>
      </c>
      <c r="U149" s="135">
        <f>VLOOKUP(A149,'2022_PAPI_Indicators'!A144:T324,19,FALSE)</f>
        <v>0.54781818389892578</v>
      </c>
      <c r="V149" s="133">
        <f>VLOOKUP(A149,'2022_PAPI_Indicators'!A144:U324,20,FALSE)</f>
        <v>0.35169157385826111</v>
      </c>
      <c r="W149" s="133">
        <f>VLOOKUP(A149,'2022_PAPI_Indicators'!A144:V324,21,FALSE)</f>
        <v>0.52258294820785522</v>
      </c>
      <c r="X149" s="133">
        <f>VLOOKUP(A149,'2022_PAPI_Indicators'!A144:W324,22,FALSE)</f>
        <v>0.42626309394836426</v>
      </c>
      <c r="Y149" s="133">
        <f>VLOOKUP(A149,'2022_PAPI_Indicators'!A144:X324,23,FALSE)</f>
        <v>0.34511232376098633</v>
      </c>
      <c r="Z149" s="133">
        <f>VLOOKUP(A149,'2022_PAPI_Indicators'!A144:Y324,24,FALSE)</f>
        <v>0.40603825449943542</v>
      </c>
      <c r="AA149" s="133">
        <f>VLOOKUP(A149,'2022_PAPI_Indicators'!A144:Z324,25,FALSE)</f>
        <v>0.50333172082901001</v>
      </c>
      <c r="AB149" s="133">
        <f>VLOOKUP(A149,'2022_PAPI_Indicators'!A144:AA324,26,FALSE)</f>
        <v>0.4480452835559845</v>
      </c>
      <c r="AC149" s="133">
        <f>VLOOKUP(A149,'2022_PAPI_Indicators'!A144:AB324,27,FALSE)</f>
        <v>0.62043792009353638</v>
      </c>
      <c r="AD149" s="133">
        <f>VLOOKUP(A149,'2022_PAPI_Indicators'!A144:AC324,28,FALSE)</f>
        <v>0.45405319333076477</v>
      </c>
      <c r="AE149" s="133">
        <f>VLOOKUP(A149,'2022_PAPI_Indicators'!A144:AD324,29,FALSE)</f>
        <v>0.57483929395675659</v>
      </c>
      <c r="AF149" s="133">
        <f>VLOOKUP(A149,'2022_PAPI_Indicators'!A144:AE324,30,FALSE)</f>
        <v>0.48848679661750793</v>
      </c>
      <c r="AG149" s="133">
        <f>VLOOKUP(A149,'2022_PAPI_Indicators'!A144:AF324,31,FALSE)</f>
        <v>0.44339478015899658</v>
      </c>
      <c r="AH149" s="133">
        <f>VLOOKUP(A149,'2022_PAPI_Indicators'!A144:AG324,32,FALSE)</f>
        <v>0.49694463610649109</v>
      </c>
      <c r="AI149" s="133">
        <f>VLOOKUP(A149,'2022_PAPI_Indicators'!A144:AH324,33,FALSE)</f>
        <v>0.38039207458496094</v>
      </c>
      <c r="AJ149" s="133">
        <f>VLOOKUP(A149,'2022_PAPI_Indicators'!A144:AI324,34,FALSE)</f>
        <v>0.44247514009475708</v>
      </c>
      <c r="AK149" s="133">
        <f>VLOOKUP(A149,'2022_PAPI_Indicators'!A144:AJ324,35,FALSE)</f>
        <v>0.36531335115432739</v>
      </c>
      <c r="AL149" s="133">
        <f>VLOOKUP(A149,'2022_PAPI_Indicators'!A144:AK324,36,FALSE)</f>
        <v>0.42519488930702209</v>
      </c>
      <c r="AM149" s="133">
        <f>VLOOKUP(A149,'2022_PAPI_Indicators'!A144:AL324,37,FALSE)</f>
        <v>0.47732862830162048</v>
      </c>
      <c r="AN149" s="133">
        <f>VLOOKUP(A149,'2022_PAPI_Indicators'!A144:AM324,38,FALSE)</f>
        <v>0.47410041093826294</v>
      </c>
      <c r="AO149" s="133">
        <f>VLOOKUP(A149,'2022_PAPI_Indicators'!A144:AN324,39,FALSE)</f>
        <v>0.56055968999862671</v>
      </c>
      <c r="AP149" s="133">
        <f>VLOOKUP(A149,'2022_PAPI_Indicators'!A144:AO324,40,FALSE)</f>
        <v>0.57971018552780151</v>
      </c>
      <c r="AQ149" s="133">
        <f>VLOOKUP(A149,'2022_PAPI_Indicators'!A144:AP324,41,FALSE)</f>
        <v>0.38203364610671997</v>
      </c>
      <c r="AR149" s="133">
        <f>VLOOKUP(A149,'2022_PAPI_Indicators'!A144:AQ324,42,FALSE)</f>
        <v>0.34391865134239197</v>
      </c>
      <c r="AS149" s="133">
        <f>VLOOKUP(A149,'2022_PAPI_Indicators'!A144:AR324,43,FALSE)</f>
        <v>0.3626444935798645</v>
      </c>
      <c r="AT149" s="133">
        <f>VLOOKUP(A149,'2022_PAPI_Indicators'!A144:AS324,44,FALSE)</f>
        <v>0.4125421941280365</v>
      </c>
      <c r="AU149" s="133">
        <f>VLOOKUP(A149,'2022_PAPI_Indicators'!A144:AT324,45,FALSE)</f>
        <v>0.31115183234214783</v>
      </c>
      <c r="AV149" s="133">
        <f>VLOOKUP(A149,'2022_PAPI_Indicators'!A144:AU324,46,FALSE)</f>
        <v>0.26074007153511047</v>
      </c>
      <c r="AW149" s="133">
        <f>VLOOKUP(A149,'2022_PAPI_Indicators'!A144:AV324,47,FALSE)</f>
        <v>0.44400408864021301</v>
      </c>
      <c r="AX149" s="133">
        <f>VLOOKUP(A149,'2022_PAPI_Indicators'!A144:AW324,48,FALSE)</f>
        <v>0.48211011290550232</v>
      </c>
      <c r="AY149" s="133">
        <f>VLOOKUP(A149,'2022_PAPI_Indicators'!A144:AX324,49,FALSE)</f>
        <v>0.32054826617240906</v>
      </c>
      <c r="AZ149" s="133">
        <f>VLOOKUP(A149,'2022_PAPI_Indicators'!A144:AY324,50,FALSE)</f>
        <v>0.42264279723167419</v>
      </c>
      <c r="BA149" s="133">
        <f>VLOOKUP(A149,'2022_PAPI_Indicators'!A144:AZ324,51,FALSE)</f>
        <v>0.38948318362236023</v>
      </c>
      <c r="BB149" s="133">
        <f>VLOOKUP(A149,'2022_PAPI_Indicators'!A144:BA324,52,FALSE)</f>
        <v>0.47829058766365051</v>
      </c>
      <c r="BC149" s="133">
        <f>VLOOKUP(A149,'2022_PAPI_Indicators'!A144:BB324,53,FALSE)</f>
        <v>0.51752996444702148</v>
      </c>
      <c r="BD149" s="133">
        <f>VLOOKUP(A149,'2022_PAPI_Indicators'!A144:BC324,54,FALSE)</f>
        <v>0.43646138906478882</v>
      </c>
      <c r="BE149" s="133">
        <f>VLOOKUP(A149,'2022_PAPI_Indicators'!A144:BD324,55,FALSE)</f>
        <v>0.44962072372436523</v>
      </c>
      <c r="BF149" s="133">
        <f>VLOOKUP(A149,'2022_PAPI_Indicators'!A144:BE324,56,FALSE)</f>
        <v>0.45307782292366028</v>
      </c>
      <c r="BG149" s="133">
        <f>VLOOKUP(A149,'2022_PAPI_Indicators'!A144:BF324,57,FALSE)</f>
        <v>0.48692154884338379</v>
      </c>
      <c r="BH149" s="133">
        <f>VLOOKUP(A149,'2022_PAPI_Indicators'!A144:BG324,58,FALSE)</f>
        <v>0.54603630304336548</v>
      </c>
      <c r="BI149" s="133">
        <f>VLOOKUP(A149,'2022_PAPI_Indicators'!A144:BH324,59,FALSE)</f>
        <v>0.51028704643249512</v>
      </c>
      <c r="BJ149" s="133">
        <f>VLOOKUP(A149,'2022_PAPI_Indicators'!A144:BI324,60,FALSE)</f>
        <v>0.50826364755630493</v>
      </c>
      <c r="BK149" s="133">
        <f>VLOOKUP(A149,'2022_PAPI_Indicators'!A144:BJ324,61,FALSE)</f>
        <v>0.41237947344779968</v>
      </c>
      <c r="BL149" s="133">
        <f>VLOOKUP(A149,'2022_PAPI_Indicators'!A144:BK324,62,FALSE)</f>
        <v>0.58304667472839355</v>
      </c>
      <c r="BM149" s="133">
        <f>VLOOKUP(A149,'2022_PAPI_Indicators'!A144:BL324,63,FALSE)</f>
        <v>0.53546237945556641</v>
      </c>
      <c r="BN149" s="133">
        <f>VLOOKUP(A149,'2022_PAPI_Indicators'!A144:BM324,64,FALSE)</f>
        <v>0.42011955380439758</v>
      </c>
    </row>
    <row r="150" spans="1:66" s="112" customFormat="1" x14ac:dyDescent="0.2">
      <c r="A150" s="77" t="s">
        <v>381</v>
      </c>
      <c r="B150" s="77" t="s">
        <v>382</v>
      </c>
      <c r="C150" s="92" t="s">
        <v>449</v>
      </c>
      <c r="D150" s="131">
        <f>VLOOKUP(A150,'2022_PAPI_Indicators'!A145:B325,2,)</f>
        <v>0.35292771458625793</v>
      </c>
      <c r="E150" s="131">
        <f>VLOOKUP(A150,'2022_PAPI_Indicators'!A145:C325,3,FALSE)</f>
        <v>0.52618247270584106</v>
      </c>
      <c r="F150" s="131">
        <f>VLOOKUP(A150,'2022_PAPI_Indicators'!A145:D325,4,FALSE)</f>
        <v>0.68489068746566772</v>
      </c>
      <c r="G150" s="131">
        <f>VLOOKUP(A150,'2022_PAPI_Indicators'!A145:E325,5,FALSE)</f>
        <v>0.72367960214614868</v>
      </c>
      <c r="H150" s="131">
        <f>VLOOKUP(A150,'2022_PAPI_Indicators'!A145:F325,6,FALSE)</f>
        <v>0.57480758428573608</v>
      </c>
      <c r="I150" s="131">
        <f>VLOOKUP(A150,'2022_PAPI_Indicators'!A145:G325,7,FALSE)</f>
        <v>0.47949525713920593</v>
      </c>
      <c r="J150" s="131">
        <f>VLOOKUP(A150,'2022_PAPI_Indicators'!A145:H325,8,FALSE)</f>
        <v>0.94246798753738403</v>
      </c>
      <c r="K150" s="131">
        <f>VLOOKUP(A150,'2022_PAPI_Indicators'!A145:I325,9,FALSE)</f>
        <v>0.80109238624572754</v>
      </c>
      <c r="L150" s="131">
        <f>VLOOKUP(A150,'2022_PAPI_Indicators'!A145:J325,10,FALSE)</f>
        <v>0.67138028144836426</v>
      </c>
      <c r="M150" s="131">
        <f>VLOOKUP(A150,'2022_PAPI_Indicators'!A145:K325,11,FALSE)</f>
        <v>0.52992242574691772</v>
      </c>
      <c r="N150" s="131">
        <f>VLOOKUP(A150,'2022_PAPI_Indicators'!A145:L325,12,FALSE)</f>
        <v>0.59654247760772705</v>
      </c>
      <c r="O150" s="131">
        <f>VLOOKUP(A150,'2022_PAPI_Indicators'!A145:M325,13,FALSE)</f>
        <v>0.39294373989105225</v>
      </c>
      <c r="P150" s="131">
        <f>VLOOKUP(A150,'2022_PAPI_Indicators'!A145:N325,14,FALSE)</f>
        <v>0.57117468118667603</v>
      </c>
      <c r="Q150" s="131">
        <f>VLOOKUP(A150,'2022_PAPI_Indicators'!A145:O325,15,FALSE)</f>
        <v>0.42382329702377319</v>
      </c>
      <c r="R150" s="132">
        <f>VLOOKUP(A150,'2022_PAPI_Indicators'!A145:P325,16,FALSE)</f>
        <v>0.60371536016464233</v>
      </c>
      <c r="S150" s="131">
        <f>VLOOKUP(A150,'2022_PAPI_Indicators'!A145:R325,17,FALSE)</f>
        <v>0.50419998168945313</v>
      </c>
      <c r="T150" s="131">
        <f>VLOOKUP(A150,'2022_PAPI_Indicators'!A145:S325,18,FALSE)</f>
        <v>0.37220606207847595</v>
      </c>
      <c r="U150" s="132">
        <f>VLOOKUP(A150,'2022_PAPI_Indicators'!A145:T325,19,FALSE)</f>
        <v>0.5103498101234436</v>
      </c>
      <c r="V150" s="131">
        <f>VLOOKUP(A150,'2022_PAPI_Indicators'!A145:U325,20,FALSE)</f>
        <v>0.40966302156448364</v>
      </c>
      <c r="W150" s="131">
        <f>VLOOKUP(A150,'2022_PAPI_Indicators'!A145:V325,21,FALSE)</f>
        <v>0.45483687520027161</v>
      </c>
      <c r="X150" s="131">
        <f>VLOOKUP(A150,'2022_PAPI_Indicators'!A145:W325,22,FALSE)</f>
        <v>0.46939244866371155</v>
      </c>
      <c r="Y150" s="131">
        <f>VLOOKUP(A150,'2022_PAPI_Indicators'!A145:X325,23,FALSE)</f>
        <v>0.38677677512168884</v>
      </c>
      <c r="Z150" s="131">
        <f>VLOOKUP(A150,'2022_PAPI_Indicators'!A145:Y325,24,FALSE)</f>
        <v>0.63611149787902832</v>
      </c>
      <c r="AA150" s="131">
        <f>VLOOKUP(A150,'2022_PAPI_Indicators'!A145:Z325,25,FALSE)</f>
        <v>0.46396318078041077</v>
      </c>
      <c r="AB150" s="131">
        <f>VLOOKUP(A150,'2022_PAPI_Indicators'!A145:AA325,26,FALSE)</f>
        <v>0.54333841800689697</v>
      </c>
      <c r="AC150" s="131">
        <f>VLOOKUP(A150,'2022_PAPI_Indicators'!A145:AB325,27,FALSE)</f>
        <v>0.52866566181182861</v>
      </c>
      <c r="AD150" s="131">
        <f>VLOOKUP(A150,'2022_PAPI_Indicators'!A145:AC325,28,FALSE)</f>
        <v>0.54055166244506836</v>
      </c>
      <c r="AE150" s="131">
        <f>VLOOKUP(A150,'2022_PAPI_Indicators'!A145:AD325,29,FALSE)</f>
        <v>0.40068867802619934</v>
      </c>
      <c r="AF150" s="131">
        <f>VLOOKUP(A150,'2022_PAPI_Indicators'!A145:AE325,30,FALSE)</f>
        <v>0.5616498589515686</v>
      </c>
      <c r="AG150" s="131">
        <f>VLOOKUP(A150,'2022_PAPI_Indicators'!A145:AF325,31,FALSE)</f>
        <v>0.75449645519256592</v>
      </c>
      <c r="AH150" s="131">
        <f>VLOOKUP(A150,'2022_PAPI_Indicators'!A145:AG325,32,FALSE)</f>
        <v>0.9479222297668457</v>
      </c>
      <c r="AI150" s="131">
        <f>VLOOKUP(A150,'2022_PAPI_Indicators'!A145:AH325,33,FALSE)</f>
        <v>0.38597977161407471</v>
      </c>
      <c r="AJ150" s="131">
        <f>VLOOKUP(A150,'2022_PAPI_Indicators'!A145:AI325,34,FALSE)</f>
        <v>0.3833402693271637</v>
      </c>
      <c r="AK150" s="131">
        <f>VLOOKUP(A150,'2022_PAPI_Indicators'!A145:AJ325,35,FALSE)</f>
        <v>0.56241792440414429</v>
      </c>
      <c r="AL150" s="131">
        <f>VLOOKUP(A150,'2022_PAPI_Indicators'!A145:AK325,36,FALSE)</f>
        <v>0.43252632021903992</v>
      </c>
      <c r="AM150" s="131">
        <f>VLOOKUP(A150,'2022_PAPI_Indicators'!A145:AL325,37,FALSE)</f>
        <v>0.60569256544113159</v>
      </c>
      <c r="AN150" s="131">
        <f>VLOOKUP(A150,'2022_PAPI_Indicators'!A145:AM325,38,FALSE)</f>
        <v>0.45453366637229919</v>
      </c>
      <c r="AO150" s="131">
        <f>VLOOKUP(A150,'2022_PAPI_Indicators'!A145:AN325,39,FALSE)</f>
        <v>0.60349208116531372</v>
      </c>
      <c r="AP150" s="131">
        <f>VLOOKUP(A150,'2022_PAPI_Indicators'!A145:AO325,40,FALSE)</f>
        <v>0.3958333432674408</v>
      </c>
      <c r="AQ150" s="131">
        <f>VLOOKUP(A150,'2022_PAPI_Indicators'!A145:AP325,41,FALSE)</f>
        <v>0.58282363414764404</v>
      </c>
      <c r="AR150" s="131">
        <f>VLOOKUP(A150,'2022_PAPI_Indicators'!A145:AQ325,42,FALSE)</f>
        <v>0.43130636215209961</v>
      </c>
      <c r="AS150" s="131">
        <f>VLOOKUP(A150,'2022_PAPI_Indicators'!A145:AR325,43,FALSE)</f>
        <v>0.36763450503349304</v>
      </c>
      <c r="AT150" s="131">
        <f>VLOOKUP(A150,'2022_PAPI_Indicators'!A145:AS325,44,FALSE)</f>
        <v>0.52039682865142822</v>
      </c>
      <c r="AU150" s="131">
        <f>VLOOKUP(A150,'2022_PAPI_Indicators'!A145:AT325,45,FALSE)</f>
        <v>0.41521766781806946</v>
      </c>
      <c r="AV150" s="131">
        <f>VLOOKUP(A150,'2022_PAPI_Indicators'!A145:AU325,46,FALSE)</f>
        <v>0.40676844120025635</v>
      </c>
      <c r="AW150" s="131">
        <f>VLOOKUP(A150,'2022_PAPI_Indicators'!A145:AV325,47,FALSE)</f>
        <v>0.39977595210075378</v>
      </c>
      <c r="AX150" s="131">
        <f>VLOOKUP(A150,'2022_PAPI_Indicators'!A145:AW325,48,FALSE)</f>
        <v>0.35340812802314758</v>
      </c>
      <c r="AY150" s="131">
        <f>VLOOKUP(A150,'2022_PAPI_Indicators'!A145:AX325,49,FALSE)</f>
        <v>0.36159273982048035</v>
      </c>
      <c r="AZ150" s="131">
        <f>VLOOKUP(A150,'2022_PAPI_Indicators'!A145:AY325,50,FALSE)</f>
        <v>0.4386742115020752</v>
      </c>
      <c r="BA150" s="131">
        <f>VLOOKUP(A150,'2022_PAPI_Indicators'!A145:AZ325,51,FALSE)</f>
        <v>0.34231498837471008</v>
      </c>
      <c r="BB150" s="131">
        <f>VLOOKUP(A150,'2022_PAPI_Indicators'!A145:BA325,52,FALSE)</f>
        <v>0.43892979621887207</v>
      </c>
      <c r="BC150" s="131">
        <f>VLOOKUP(A150,'2022_PAPI_Indicators'!A145:BB325,53,FALSE)</f>
        <v>1.0124711990356445</v>
      </c>
      <c r="BD150" s="131">
        <f>VLOOKUP(A150,'2022_PAPI_Indicators'!A145:BC325,54,FALSE)</f>
        <v>0.56319528818130493</v>
      </c>
      <c r="BE150" s="131">
        <f>VLOOKUP(A150,'2022_PAPI_Indicators'!A145:BD325,55,FALSE)</f>
        <v>0.43691271543502808</v>
      </c>
      <c r="BF150" s="131">
        <f>VLOOKUP(A150,'2022_PAPI_Indicators'!A145:BE325,56,FALSE)</f>
        <v>0.80213057994842529</v>
      </c>
      <c r="BG150" s="131">
        <f>VLOOKUP(A150,'2022_PAPI_Indicators'!A145:BF325,57,FALSE)</f>
        <v>1.7496120929718018</v>
      </c>
      <c r="BH150" s="131">
        <f>VLOOKUP(A150,'2022_PAPI_Indicators'!A145:BG325,58,FALSE)</f>
        <v>1.1833330392837524</v>
      </c>
      <c r="BI150" s="131">
        <f>VLOOKUP(A150,'2022_PAPI_Indicators'!A145:BH325,59,FALSE)</f>
        <v>1.0246611833572388</v>
      </c>
      <c r="BJ150" s="131">
        <f>VLOOKUP(A150,'2022_PAPI_Indicators'!A145:BI325,60,FALSE)</f>
        <v>1.1217374801635742</v>
      </c>
      <c r="BK150" s="131">
        <f>VLOOKUP(A150,'2022_PAPI_Indicators'!A145:BJ325,61,FALSE)</f>
        <v>1.4289870262145996</v>
      </c>
      <c r="BL150" s="131">
        <f>VLOOKUP(A150,'2022_PAPI_Indicators'!A145:BK325,62,FALSE)</f>
        <v>0.60908913612365723</v>
      </c>
      <c r="BM150" s="131">
        <f>VLOOKUP(A150,'2022_PAPI_Indicators'!A145:BL325,63,FALSE)</f>
        <v>0.61152821779251099</v>
      </c>
      <c r="BN150" s="131">
        <f>VLOOKUP(A150,'2022_PAPI_Indicators'!A145:BM325,64,FALSE)</f>
        <v>0.66999584436416626</v>
      </c>
    </row>
    <row r="151" spans="1:66" x14ac:dyDescent="0.2">
      <c r="A151" s="70" t="s">
        <v>383</v>
      </c>
      <c r="B151" s="70" t="s">
        <v>384</v>
      </c>
      <c r="C151" s="89" t="s">
        <v>90</v>
      </c>
      <c r="D151" s="133">
        <f>VLOOKUP(A151,'2022_PAPI_Indicators'!A146:B326,2,)</f>
        <v>1.6149001894518733E-3</v>
      </c>
      <c r="E151" s="133">
        <f>VLOOKUP(A151,'2022_PAPI_Indicators'!A146:C326,3,FALSE)</f>
        <v>3.0708961188793182E-2</v>
      </c>
      <c r="F151" s="133">
        <f>VLOOKUP(A151,'2022_PAPI_Indicators'!A146:D326,4,FALSE)</f>
        <v>7.6015837490558624E-2</v>
      </c>
      <c r="G151" s="133">
        <f>VLOOKUP(A151,'2022_PAPI_Indicators'!A146:E326,5,FALSE)</f>
        <v>6.1071295291185379E-2</v>
      </c>
      <c r="H151" s="133">
        <f>VLOOKUP(A151,'2022_PAPI_Indicators'!A146:F326,6,FALSE)</f>
        <v>4.0154077112674713E-2</v>
      </c>
      <c r="I151" s="133">
        <f>VLOOKUP(A151,'2022_PAPI_Indicators'!A146:G326,7,FALSE)</f>
        <v>3.4111138433218002E-2</v>
      </c>
      <c r="J151" s="133">
        <f>VLOOKUP(A151,'2022_PAPI_Indicators'!A146:H326,8,FALSE)</f>
        <v>0.15643744170665741</v>
      </c>
      <c r="K151" s="133">
        <f>VLOOKUP(A151,'2022_PAPI_Indicators'!A146:I326,9,FALSE)</f>
        <v>7.992822676897049E-2</v>
      </c>
      <c r="L151" s="133">
        <f>VLOOKUP(A151,'2022_PAPI_Indicators'!A146:J326,10,FALSE)</f>
        <v>7.5352579355239868E-2</v>
      </c>
      <c r="M151" s="133">
        <f>VLOOKUP(A151,'2022_PAPI_Indicators'!A146:K326,11,FALSE)</f>
        <v>3.2036121934652328E-2</v>
      </c>
      <c r="N151" s="133">
        <f>VLOOKUP(A151,'2022_PAPI_Indicators'!A146:L326,12,FALSE)</f>
        <v>4.4900406152009964E-2</v>
      </c>
      <c r="O151" s="133">
        <f>VLOOKUP(A151,'2022_PAPI_Indicators'!A146:M326,13,FALSE)</f>
        <v>4.5032077468931675E-3</v>
      </c>
      <c r="P151" s="133">
        <f>VLOOKUP(A151,'2022_PAPI_Indicators'!A146:N326,14,FALSE)</f>
        <v>1.1053313501179218E-3</v>
      </c>
      <c r="Q151" s="133">
        <f>VLOOKUP(A151,'2022_PAPI_Indicators'!A146:O326,15,FALSE)</f>
        <v>0</v>
      </c>
      <c r="R151" s="135">
        <f>VLOOKUP(A151,'2022_PAPI_Indicators'!A146:P326,16,FALSE)</f>
        <v>3.125E-2</v>
      </c>
      <c r="S151" s="133">
        <f>VLOOKUP(A151,'2022_PAPI_Indicators'!A146:R326,17,FALSE)</f>
        <v>3.2487113028764725E-2</v>
      </c>
      <c r="T151" s="133">
        <f>VLOOKUP(A151,'2022_PAPI_Indicators'!A146:S326,18,FALSE)</f>
        <v>1.0329989716410637E-2</v>
      </c>
      <c r="U151" s="135">
        <f>VLOOKUP(A151,'2022_PAPI_Indicators'!A146:T326,19,FALSE)</f>
        <v>2.5882937014102936E-2</v>
      </c>
      <c r="V151" s="133">
        <f>VLOOKUP(A151,'2022_PAPI_Indicators'!A146:U326,20,FALSE)</f>
        <v>7.0173684507608414E-3</v>
      </c>
      <c r="W151" s="133">
        <f>VLOOKUP(A151,'2022_PAPI_Indicators'!A146:V326,21,FALSE)</f>
        <v>3.0375886708498001E-2</v>
      </c>
      <c r="X151" s="133">
        <f>VLOOKUP(A151,'2022_PAPI_Indicators'!A146:W326,22,FALSE)</f>
        <v>2.2296030074357986E-2</v>
      </c>
      <c r="Y151" s="133">
        <f>VLOOKUP(A151,'2022_PAPI_Indicators'!A146:X326,23,FALSE)</f>
        <v>2.2646430879831314E-2</v>
      </c>
      <c r="Z151" s="133">
        <f>VLOOKUP(A151,'2022_PAPI_Indicators'!A146:Y326,24,FALSE)</f>
        <v>2.7104346081614494E-2</v>
      </c>
      <c r="AA151" s="133">
        <f>VLOOKUP(A151,'2022_PAPI_Indicators'!A146:Z326,25,FALSE)</f>
        <v>2.1771639585494995E-2</v>
      </c>
      <c r="AB151" s="133">
        <f>VLOOKUP(A151,'2022_PAPI_Indicators'!A146:AA326,26,FALSE)</f>
        <v>7.265942171216011E-3</v>
      </c>
      <c r="AC151" s="133">
        <f>VLOOKUP(A151,'2022_PAPI_Indicators'!A146:AB326,27,FALSE)</f>
        <v>2.4380495771765709E-2</v>
      </c>
      <c r="AD151" s="133">
        <f>VLOOKUP(A151,'2022_PAPI_Indicators'!A146:AC326,28,FALSE)</f>
        <v>1.1841046623885632E-2</v>
      </c>
      <c r="AE151" s="133">
        <f>VLOOKUP(A151,'2022_PAPI_Indicators'!A146:AD326,29,FALSE)</f>
        <v>7.4839270673692226E-3</v>
      </c>
      <c r="AF151" s="133">
        <f>VLOOKUP(A151,'2022_PAPI_Indicators'!A146:AE326,30,FALSE)</f>
        <v>2.0945243537425995E-2</v>
      </c>
      <c r="AG151" s="133">
        <f>VLOOKUP(A151,'2022_PAPI_Indicators'!A146:AF326,31,FALSE)</f>
        <v>5.0212834030389786E-2</v>
      </c>
      <c r="AH151" s="133">
        <f>VLOOKUP(A151,'2022_PAPI_Indicators'!A146:AG326,32,FALSE)</f>
        <v>7.1404516696929932E-2</v>
      </c>
      <c r="AI151" s="133">
        <f>VLOOKUP(A151,'2022_PAPI_Indicators'!A146:AH326,33,FALSE)</f>
        <v>0</v>
      </c>
      <c r="AJ151" s="133">
        <f>VLOOKUP(A151,'2022_PAPI_Indicators'!A146:AI326,34,FALSE)</f>
        <v>6.2071846332401037E-4</v>
      </c>
      <c r="AK151" s="133">
        <f>VLOOKUP(A151,'2022_PAPI_Indicators'!A146:AJ326,35,FALSE)</f>
        <v>4.5816913247108459E-2</v>
      </c>
      <c r="AL151" s="133">
        <f>VLOOKUP(A151,'2022_PAPI_Indicators'!A146:AK326,36,FALSE)</f>
        <v>1.3696254231035709E-2</v>
      </c>
      <c r="AM151" s="133">
        <f>VLOOKUP(A151,'2022_PAPI_Indicators'!A146:AL326,37,FALSE)</f>
        <v>3.5231910645961761E-2</v>
      </c>
      <c r="AN151" s="133">
        <f>VLOOKUP(A151,'2022_PAPI_Indicators'!A146:AM326,38,FALSE)</f>
        <v>9.4312243163585663E-3</v>
      </c>
      <c r="AO151" s="133">
        <f>VLOOKUP(A151,'2022_PAPI_Indicators'!A146:AN326,39,FALSE)</f>
        <v>2.1048922091722488E-2</v>
      </c>
      <c r="AP151" s="133">
        <f>VLOOKUP(A151,'2022_PAPI_Indicators'!A146:AO326,40,FALSE)</f>
        <v>0</v>
      </c>
      <c r="AQ151" s="133">
        <f>VLOOKUP(A151,'2022_PAPI_Indicators'!A146:AP326,41,FALSE)</f>
        <v>4.8897810280323029E-2</v>
      </c>
      <c r="AR151" s="133">
        <f>VLOOKUP(A151,'2022_PAPI_Indicators'!A146:AQ326,42,FALSE)</f>
        <v>1.5625E-2</v>
      </c>
      <c r="AS151" s="133">
        <f>VLOOKUP(A151,'2022_PAPI_Indicators'!A146:AR326,43,FALSE)</f>
        <v>6.5317554399371147E-3</v>
      </c>
      <c r="AT151" s="133">
        <f>VLOOKUP(A151,'2022_PAPI_Indicators'!A146:AS326,44,FALSE)</f>
        <v>2.8770813718438148E-2</v>
      </c>
      <c r="AU151" s="133">
        <f>VLOOKUP(A151,'2022_PAPI_Indicators'!A146:AT326,45,FALSE)</f>
        <v>6.8236947990953922E-3</v>
      </c>
      <c r="AV151" s="133">
        <f>VLOOKUP(A151,'2022_PAPI_Indicators'!A146:AU326,46,FALSE)</f>
        <v>7.2545991279184818E-3</v>
      </c>
      <c r="AW151" s="133">
        <f>VLOOKUP(A151,'2022_PAPI_Indicators'!A146:AV326,47,FALSE)</f>
        <v>1.4556010253727436E-2</v>
      </c>
      <c r="AX151" s="133">
        <f>VLOOKUP(A151,'2022_PAPI_Indicators'!A146:AW326,48,FALSE)</f>
        <v>7.9575862037017941E-4</v>
      </c>
      <c r="AY151" s="133">
        <f>VLOOKUP(A151,'2022_PAPI_Indicators'!A146:AX326,49,FALSE)</f>
        <v>5.4288813844323158E-3</v>
      </c>
      <c r="AZ151" s="133">
        <f>VLOOKUP(A151,'2022_PAPI_Indicators'!A146:AY326,50,FALSE)</f>
        <v>1.5451142564415932E-2</v>
      </c>
      <c r="BA151" s="133">
        <f>VLOOKUP(A151,'2022_PAPI_Indicators'!A146:AZ326,51,FALSE)</f>
        <v>1.5322692925110459E-3</v>
      </c>
      <c r="BB151" s="133">
        <f>VLOOKUP(A151,'2022_PAPI_Indicators'!A146:BA326,52,FALSE)</f>
        <v>6.0561592690646648E-3</v>
      </c>
      <c r="BC151" s="133">
        <f>VLOOKUP(A151,'2022_PAPI_Indicators'!A146:BB326,53,FALSE)</f>
        <v>7.1682496927678585E-3</v>
      </c>
      <c r="BD151" s="133">
        <f>VLOOKUP(A151,'2022_PAPI_Indicators'!A146:BC326,54,FALSE)</f>
        <v>2.2194864228367805E-2</v>
      </c>
      <c r="BE151" s="133">
        <f>VLOOKUP(A151,'2022_PAPI_Indicators'!A146:BD326,55,FALSE)</f>
        <v>7.3985266499221325E-3</v>
      </c>
      <c r="BF151" s="133">
        <f>VLOOKUP(A151,'2022_PAPI_Indicators'!A146:BE326,56,FALSE)</f>
        <v>2.7503024786710739E-2</v>
      </c>
      <c r="BG151" s="133">
        <f>VLOOKUP(A151,'2022_PAPI_Indicators'!A146:BF326,57,FALSE)</f>
        <v>0.21280807256698608</v>
      </c>
      <c r="BH151" s="133">
        <f>VLOOKUP(A151,'2022_PAPI_Indicators'!A146:BG326,58,FALSE)</f>
        <v>0.12326998263597488</v>
      </c>
      <c r="BI151" s="133">
        <f>VLOOKUP(A151,'2022_PAPI_Indicators'!A146:BH326,59,FALSE)</f>
        <v>2.0871486514806747E-2</v>
      </c>
      <c r="BJ151" s="133">
        <f>VLOOKUP(A151,'2022_PAPI_Indicators'!A146:BI326,60,FALSE)</f>
        <v>5.9316400438547134E-2</v>
      </c>
      <c r="BK151" s="133">
        <f>VLOOKUP(A151,'2022_PAPI_Indicators'!A146:BJ326,61,FALSE)</f>
        <v>3.7781238555908203E-2</v>
      </c>
      <c r="BL151" s="133">
        <f>VLOOKUP(A151,'2022_PAPI_Indicators'!A146:BK326,62,FALSE)</f>
        <v>7.2321332991123199E-3</v>
      </c>
      <c r="BM151" s="133">
        <f>VLOOKUP(A151,'2022_PAPI_Indicators'!A146:BL326,63,FALSE)</f>
        <v>2.9236316680908203E-2</v>
      </c>
      <c r="BN151" s="133">
        <f>VLOOKUP(A151,'2022_PAPI_Indicators'!A146:BM326,64,FALSE)</f>
        <v>6.9461259990930557E-3</v>
      </c>
    </row>
    <row r="152" spans="1:66" x14ac:dyDescent="0.2">
      <c r="A152" s="70" t="s">
        <v>385</v>
      </c>
      <c r="B152" s="70" t="s">
        <v>386</v>
      </c>
      <c r="C152" s="89" t="s">
        <v>90</v>
      </c>
      <c r="D152" s="133">
        <f>VLOOKUP(A152,'2022_PAPI_Indicators'!A147:B327,2,)</f>
        <v>5.9387483634054661E-3</v>
      </c>
      <c r="E152" s="133">
        <f>VLOOKUP(A152,'2022_PAPI_Indicators'!A147:C327,3,FALSE)</f>
        <v>7.7034726738929749E-2</v>
      </c>
      <c r="F152" s="133">
        <f>VLOOKUP(A152,'2022_PAPI_Indicators'!A147:D327,4,FALSE)</f>
        <v>0.16295339167118073</v>
      </c>
      <c r="G152" s="133">
        <f>VLOOKUP(A152,'2022_PAPI_Indicators'!A147:E327,5,FALSE)</f>
        <v>0.1664421558380127</v>
      </c>
      <c r="H152" s="133">
        <f>VLOOKUP(A152,'2022_PAPI_Indicators'!A147:F327,6,FALSE)</f>
        <v>8.5258550941944122E-2</v>
      </c>
      <c r="I152" s="133">
        <f>VLOOKUP(A152,'2022_PAPI_Indicators'!A147:G327,7,FALSE)</f>
        <v>6.2847606837749481E-2</v>
      </c>
      <c r="J152" s="133">
        <f>VLOOKUP(A152,'2022_PAPI_Indicators'!A147:H327,8,FALSE)</f>
        <v>0.25599333643913269</v>
      </c>
      <c r="K152" s="133">
        <f>VLOOKUP(A152,'2022_PAPI_Indicators'!A147:I327,9,FALSE)</f>
        <v>0.17743268609046936</v>
      </c>
      <c r="L152" s="133">
        <f>VLOOKUP(A152,'2022_PAPI_Indicators'!A147:J327,10,FALSE)</f>
        <v>0.16494393348693848</v>
      </c>
      <c r="M152" s="133">
        <f>VLOOKUP(A152,'2022_PAPI_Indicators'!A147:K327,11,FALSE)</f>
        <v>9.7281873226165771E-2</v>
      </c>
      <c r="N152" s="133">
        <f>VLOOKUP(A152,'2022_PAPI_Indicators'!A147:L327,12,FALSE)</f>
        <v>0.11321861296892166</v>
      </c>
      <c r="O152" s="133">
        <f>VLOOKUP(A152,'2022_PAPI_Indicators'!A147:M327,13,FALSE)</f>
        <v>2.1608682349324226E-2</v>
      </c>
      <c r="P152" s="133">
        <f>VLOOKUP(A152,'2022_PAPI_Indicators'!A147:N327,14,FALSE)</f>
        <v>0.11836801469326019</v>
      </c>
      <c r="Q152" s="133">
        <f>VLOOKUP(A152,'2022_PAPI_Indicators'!A147:O327,15,FALSE)</f>
        <v>1.9390702247619629E-2</v>
      </c>
      <c r="R152" s="135">
        <f>VLOOKUP(A152,'2022_PAPI_Indicators'!A147:P327,16,FALSE)</f>
        <v>0.10275174677371979</v>
      </c>
      <c r="S152" s="133">
        <f>VLOOKUP(A152,'2022_PAPI_Indicators'!A147:R327,17,FALSE)</f>
        <v>5.6543171405792236E-2</v>
      </c>
      <c r="T152" s="133">
        <f>VLOOKUP(A152,'2022_PAPI_Indicators'!A147:S327,18,FALSE)</f>
        <v>3.263002960011363E-3</v>
      </c>
      <c r="U152" s="135">
        <f>VLOOKUP(A152,'2022_PAPI_Indicators'!A147:T327,19,FALSE)</f>
        <v>6.1004616320133209E-2</v>
      </c>
      <c r="V152" s="133">
        <f>VLOOKUP(A152,'2022_PAPI_Indicators'!A147:U327,20,FALSE)</f>
        <v>3.1147472560405731E-2</v>
      </c>
      <c r="W152" s="133">
        <f>VLOOKUP(A152,'2022_PAPI_Indicators'!A147:V327,21,FALSE)</f>
        <v>3.7969857454299927E-2</v>
      </c>
      <c r="X152" s="133">
        <f>VLOOKUP(A152,'2022_PAPI_Indicators'!A147:W327,22,FALSE)</f>
        <v>6.0217060148715973E-2</v>
      </c>
      <c r="Y152" s="133">
        <f>VLOOKUP(A152,'2022_PAPI_Indicators'!A147:X327,23,FALSE)</f>
        <v>2.1743789315223694E-2</v>
      </c>
      <c r="Z152" s="133">
        <f>VLOOKUP(A152,'2022_PAPI_Indicators'!A147:Y327,24,FALSE)</f>
        <v>0.14538471400737762</v>
      </c>
      <c r="AA152" s="133">
        <f>VLOOKUP(A152,'2022_PAPI_Indicators'!A147:Z327,25,FALSE)</f>
        <v>5.8057703077793121E-2</v>
      </c>
      <c r="AB152" s="133">
        <f>VLOOKUP(A152,'2022_PAPI_Indicators'!A147:AA327,26,FALSE)</f>
        <v>7.4845656752586365E-2</v>
      </c>
      <c r="AC152" s="133">
        <f>VLOOKUP(A152,'2022_PAPI_Indicators'!A147:AB327,27,FALSE)</f>
        <v>7.1477115154266357E-2</v>
      </c>
      <c r="AD152" s="133">
        <f>VLOOKUP(A152,'2022_PAPI_Indicators'!A147:AC327,28,FALSE)</f>
        <v>7.104627788066864E-2</v>
      </c>
      <c r="AE152" s="133">
        <f>VLOOKUP(A152,'2022_PAPI_Indicators'!A147:AD327,29,FALSE)</f>
        <v>1.4967854134738445E-2</v>
      </c>
      <c r="AF152" s="133">
        <f>VLOOKUP(A152,'2022_PAPI_Indicators'!A147:AE327,30,FALSE)</f>
        <v>5.5853981524705887E-2</v>
      </c>
      <c r="AG152" s="133">
        <f>VLOOKUP(A152,'2022_PAPI_Indicators'!A147:AF327,31,FALSE)</f>
        <v>0.17343676090240479</v>
      </c>
      <c r="AH152" s="133">
        <f>VLOOKUP(A152,'2022_PAPI_Indicators'!A147:AG327,32,FALSE)</f>
        <v>0.25270655751228333</v>
      </c>
      <c r="AI152" s="133">
        <f>VLOOKUP(A152,'2022_PAPI_Indicators'!A147:AH327,33,FALSE)</f>
        <v>2.3294359445571899E-2</v>
      </c>
      <c r="AJ152" s="133">
        <f>VLOOKUP(A152,'2022_PAPI_Indicators'!A147:AI327,34,FALSE)</f>
        <v>7.5872172601521015E-3</v>
      </c>
      <c r="AK152" s="133">
        <f>VLOOKUP(A152,'2022_PAPI_Indicators'!A147:AJ327,35,FALSE)</f>
        <v>8.5088558495044708E-2</v>
      </c>
      <c r="AL152" s="133">
        <f>VLOOKUP(A152,'2022_PAPI_Indicators'!A147:AK327,36,FALSE)</f>
        <v>3.5900238901376724E-2</v>
      </c>
      <c r="AM152" s="133">
        <f>VLOOKUP(A152,'2022_PAPI_Indicators'!A147:AL327,37,FALSE)</f>
        <v>8.4556587040424347E-2</v>
      </c>
      <c r="AN152" s="133">
        <f>VLOOKUP(A152,'2022_PAPI_Indicators'!A147:AM327,38,FALSE)</f>
        <v>4.6593882143497467E-2</v>
      </c>
      <c r="AO152" s="133">
        <f>VLOOKUP(A152,'2022_PAPI_Indicators'!A147:AN327,39,FALSE)</f>
        <v>0.10163290053606033</v>
      </c>
      <c r="AP152" s="133">
        <f>VLOOKUP(A152,'2022_PAPI_Indicators'!A147:AO327,40,FALSE)</f>
        <v>2.2644896060228348E-2</v>
      </c>
      <c r="AQ152" s="133">
        <f>VLOOKUP(A152,'2022_PAPI_Indicators'!A147:AP327,41,FALSE)</f>
        <v>0.10618629306554794</v>
      </c>
      <c r="AR152" s="133">
        <f>VLOOKUP(A152,'2022_PAPI_Indicators'!A147:AQ327,42,FALSE)</f>
        <v>3.6908820271492004E-2</v>
      </c>
      <c r="AS152" s="133">
        <f>VLOOKUP(A152,'2022_PAPI_Indicators'!A147:AR327,43,FALSE)</f>
        <v>1.3063510879874229E-2</v>
      </c>
      <c r="AT152" s="133">
        <f>VLOOKUP(A152,'2022_PAPI_Indicators'!A147:AS327,44,FALSE)</f>
        <v>7.7156580984592438E-2</v>
      </c>
      <c r="AU152" s="133">
        <f>VLOOKUP(A152,'2022_PAPI_Indicators'!A147:AT327,45,FALSE)</f>
        <v>1.3647389598190784E-2</v>
      </c>
      <c r="AV152" s="133">
        <f>VLOOKUP(A152,'2022_PAPI_Indicators'!A147:AU327,46,FALSE)</f>
        <v>2.9018396511673927E-2</v>
      </c>
      <c r="AW152" s="133">
        <f>VLOOKUP(A152,'2022_PAPI_Indicators'!A147:AV327,47,FALSE)</f>
        <v>7.278005126863718E-3</v>
      </c>
      <c r="AX152" s="133">
        <f>VLOOKUP(A152,'2022_PAPI_Indicators'!A147:AW327,48,FALSE)</f>
        <v>8.4458757191896439E-3</v>
      </c>
      <c r="AY152" s="133">
        <f>VLOOKUP(A152,'2022_PAPI_Indicators'!A147:AX327,49,FALSE)</f>
        <v>1.1972754262387753E-2</v>
      </c>
      <c r="AZ152" s="133">
        <f>VLOOKUP(A152,'2022_PAPI_Indicators'!A147:AY327,50,FALSE)</f>
        <v>3.5287898033857346E-2</v>
      </c>
      <c r="BA152" s="133">
        <f>VLOOKUP(A152,'2022_PAPI_Indicators'!A147:AZ327,51,FALSE)</f>
        <v>2.9938772786408663E-3</v>
      </c>
      <c r="BB152" s="133">
        <f>VLOOKUP(A152,'2022_PAPI_Indicators'!A147:BA327,52,FALSE)</f>
        <v>3.5923972725868225E-2</v>
      </c>
      <c r="BC152" s="133">
        <f>VLOOKUP(A152,'2022_PAPI_Indicators'!A147:BB327,53,FALSE)</f>
        <v>0.28779447078704834</v>
      </c>
      <c r="BD152" s="133">
        <f>VLOOKUP(A152,'2022_PAPI_Indicators'!A147:BC327,54,FALSE)</f>
        <v>8.3755157887935638E-2</v>
      </c>
      <c r="BE152" s="133">
        <f>VLOOKUP(A152,'2022_PAPI_Indicators'!A147:BD327,55,FALSE)</f>
        <v>0</v>
      </c>
      <c r="BF152" s="133">
        <f>VLOOKUP(A152,'2022_PAPI_Indicators'!A147:BE327,56,FALSE)</f>
        <v>0.22538039088249207</v>
      </c>
      <c r="BG152" s="133">
        <f>VLOOKUP(A152,'2022_PAPI_Indicators'!A147:BF327,57,FALSE)</f>
        <v>0.58780807256698608</v>
      </c>
      <c r="BH152" s="133">
        <f>VLOOKUP(A152,'2022_PAPI_Indicators'!A147:BG327,58,FALSE)</f>
        <v>0.35841310024261475</v>
      </c>
      <c r="BI152" s="133">
        <f>VLOOKUP(A152,'2022_PAPI_Indicators'!A147:BH327,59,FALSE)</f>
        <v>0.26860591769218445</v>
      </c>
      <c r="BJ152" s="133">
        <f>VLOOKUP(A152,'2022_PAPI_Indicators'!A147:BI327,60,FALSE)</f>
        <v>0.32113829255104065</v>
      </c>
      <c r="BK152" s="133">
        <f>VLOOKUP(A152,'2022_PAPI_Indicators'!A147:BJ327,61,FALSE)</f>
        <v>0.51687818765640259</v>
      </c>
      <c r="BL152" s="133">
        <f>VLOOKUP(A152,'2022_PAPI_Indicators'!A147:BK327,62,FALSE)</f>
        <v>7.2321332991123199E-2</v>
      </c>
      <c r="BM152" s="133">
        <f>VLOOKUP(A152,'2022_PAPI_Indicators'!A147:BL327,63,FALSE)</f>
        <v>4.3132450431585312E-2</v>
      </c>
      <c r="BN152" s="133">
        <f>VLOOKUP(A152,'2022_PAPI_Indicators'!A147:BM327,64,FALSE)</f>
        <v>6.9461263716220856E-2</v>
      </c>
    </row>
    <row r="153" spans="1:66" x14ac:dyDescent="0.2">
      <c r="A153" s="70" t="s">
        <v>387</v>
      </c>
      <c r="B153" s="70" t="s">
        <v>388</v>
      </c>
      <c r="C153" s="89" t="s">
        <v>90</v>
      </c>
      <c r="D153" s="133">
        <f>VLOOKUP(A153,'2022_PAPI_Indicators'!A148:B328,2,)</f>
        <v>1.2040716595947742E-2</v>
      </c>
      <c r="E153" s="133">
        <f>VLOOKUP(A153,'2022_PAPI_Indicators'!A148:C328,3,FALSE)</f>
        <v>8.5105448961257935E-2</v>
      </c>
      <c r="F153" s="133">
        <f>VLOOKUP(A153,'2022_PAPI_Indicators'!A148:D328,4,FALSE)</f>
        <v>0.11258813738822937</v>
      </c>
      <c r="G153" s="133">
        <f>VLOOKUP(A153,'2022_PAPI_Indicators'!A148:E328,5,FALSE)</f>
        <v>0.16283279657363892</v>
      </c>
      <c r="H153" s="133">
        <f>VLOOKUP(A153,'2022_PAPI_Indicators'!A148:F328,6,FALSE)</f>
        <v>0.11606162786483765</v>
      </c>
      <c r="I153" s="133">
        <f>VLOOKUP(A153,'2022_PAPI_Indicators'!A148:G328,7,FALSE)</f>
        <v>4.9203153699636459E-2</v>
      </c>
      <c r="J153" s="133">
        <f>VLOOKUP(A153,'2022_PAPI_Indicators'!A148:H328,8,FALSE)</f>
        <v>0.19670389592647552</v>
      </c>
      <c r="K153" s="133">
        <f>VLOOKUP(A153,'2022_PAPI_Indicators'!A148:I328,9,FALSE)</f>
        <v>0.21039813756942749</v>
      </c>
      <c r="L153" s="133">
        <f>VLOOKUP(A153,'2022_PAPI_Indicators'!A148:J328,10,FALSE)</f>
        <v>9.775041788816452E-2</v>
      </c>
      <c r="M153" s="133">
        <f>VLOOKUP(A153,'2022_PAPI_Indicators'!A148:K328,11,FALSE)</f>
        <v>6.7271091043949127E-2</v>
      </c>
      <c r="N153" s="133">
        <f>VLOOKUP(A153,'2022_PAPI_Indicators'!A148:L328,12,FALSE)</f>
        <v>0.10509014874696732</v>
      </c>
      <c r="O153" s="133">
        <f>VLOOKUP(A153,'2022_PAPI_Indicators'!A148:M328,13,FALSE)</f>
        <v>3.3498495817184448E-2</v>
      </c>
      <c r="P153" s="133">
        <f>VLOOKUP(A153,'2022_PAPI_Indicators'!A148:N328,14,FALSE)</f>
        <v>0.11836801469326019</v>
      </c>
      <c r="Q153" s="133">
        <f>VLOOKUP(A153,'2022_PAPI_Indicators'!A148:O328,15,FALSE)</f>
        <v>7.1099236607551575E-2</v>
      </c>
      <c r="R153" s="135">
        <f>VLOOKUP(A153,'2022_PAPI_Indicators'!A148:P328,16,FALSE)</f>
        <v>0.13638025522232056</v>
      </c>
      <c r="S153" s="133">
        <f>VLOOKUP(A153,'2022_PAPI_Indicators'!A148:R328,17,FALSE)</f>
        <v>8.1836342811584473E-2</v>
      </c>
      <c r="T153" s="133">
        <f>VLOOKUP(A153,'2022_PAPI_Indicators'!A148:S328,18,FALSE)</f>
        <v>2.5279713794589043E-2</v>
      </c>
      <c r="U153" s="135">
        <f>VLOOKUP(A153,'2022_PAPI_Indicators'!A148:T328,19,FALSE)</f>
        <v>9.0128928422927856E-2</v>
      </c>
      <c r="V153" s="133">
        <f>VLOOKUP(A153,'2022_PAPI_Indicators'!A148:U328,20,FALSE)</f>
        <v>3.8164842873811722E-2</v>
      </c>
      <c r="W153" s="133">
        <f>VLOOKUP(A153,'2022_PAPI_Indicators'!A148:V328,21,FALSE)</f>
        <v>5.3157802671194077E-2</v>
      </c>
      <c r="X153" s="133">
        <f>VLOOKUP(A153,'2022_PAPI_Indicators'!A148:W328,22,FALSE)</f>
        <v>5.3546030074357986E-2</v>
      </c>
      <c r="Y153" s="133">
        <f>VLOOKUP(A153,'2022_PAPI_Indicators'!A148:X328,23,FALSE)</f>
        <v>9.0532153844833374E-3</v>
      </c>
      <c r="Z153" s="133">
        <f>VLOOKUP(A153,'2022_PAPI_Indicators'!A148:Y328,24,FALSE)</f>
        <v>0.13028909265995026</v>
      </c>
      <c r="AA153" s="133">
        <f>VLOOKUP(A153,'2022_PAPI_Indicators'!A148:Z328,25,FALSE)</f>
        <v>5.0800491124391556E-2</v>
      </c>
      <c r="AB153" s="133">
        <f>VLOOKUP(A153,'2022_PAPI_Indicators'!A148:AA328,26,FALSE)</f>
        <v>0.12789347767829895</v>
      </c>
      <c r="AC153" s="133">
        <f>VLOOKUP(A153,'2022_PAPI_Indicators'!A148:AB328,27,FALSE)</f>
        <v>9.9474713206291199E-2</v>
      </c>
      <c r="AD153" s="133">
        <f>VLOOKUP(A153,'2022_PAPI_Indicators'!A148:AC328,28,FALSE)</f>
        <v>0.12433099001646042</v>
      </c>
      <c r="AE153" s="133">
        <f>VLOOKUP(A153,'2022_PAPI_Indicators'!A148:AD328,29,FALSE)</f>
        <v>4.4903561472892761E-2</v>
      </c>
      <c r="AF153" s="133">
        <f>VLOOKUP(A153,'2022_PAPI_Indicators'!A148:AE328,30,FALSE)</f>
        <v>0.15151728689670563</v>
      </c>
      <c r="AG153" s="133">
        <f>VLOOKUP(A153,'2022_PAPI_Indicators'!A148:AF328,31,FALSE)</f>
        <v>0.19751350581645966</v>
      </c>
      <c r="AH153" s="133">
        <f>VLOOKUP(A153,'2022_PAPI_Indicators'!A148:AG328,32,FALSE)</f>
        <v>0.29047781229019165</v>
      </c>
      <c r="AI153" s="133">
        <f>VLOOKUP(A153,'2022_PAPI_Indicators'!A148:AH328,33,FALSE)</f>
        <v>2.9352059587836266E-2</v>
      </c>
      <c r="AJ153" s="133">
        <f>VLOOKUP(A153,'2022_PAPI_Indicators'!A148:AI328,34,FALSE)</f>
        <v>4.1798993945121765E-2</v>
      </c>
      <c r="AK153" s="133">
        <f>VLOOKUP(A153,'2022_PAPI_Indicators'!A148:AJ328,35,FALSE)</f>
        <v>9.8179101943969727E-2</v>
      </c>
      <c r="AL153" s="133">
        <f>VLOOKUP(A153,'2022_PAPI_Indicators'!A148:AK328,36,FALSE)</f>
        <v>4.9596492201089859E-2</v>
      </c>
      <c r="AM153" s="133">
        <f>VLOOKUP(A153,'2022_PAPI_Indicators'!A148:AL328,37,FALSE)</f>
        <v>0.15257072448730469</v>
      </c>
      <c r="AN153" s="133">
        <f>VLOOKUP(A153,'2022_PAPI_Indicators'!A148:AM328,38,FALSE)</f>
        <v>6.517520546913147E-2</v>
      </c>
      <c r="AO153" s="133">
        <f>VLOOKUP(A153,'2022_PAPI_Indicators'!A148:AN328,39,FALSE)</f>
        <v>0.14747689664363861</v>
      </c>
      <c r="AP153" s="133">
        <f>VLOOKUP(A153,'2022_PAPI_Indicators'!A148:AO328,40,FALSE)</f>
        <v>3.9855103939771652E-2</v>
      </c>
      <c r="AQ153" s="133">
        <f>VLOOKUP(A153,'2022_PAPI_Indicators'!A148:AP328,41,FALSE)</f>
        <v>9.4406217336654663E-2</v>
      </c>
      <c r="AR153" s="133">
        <f>VLOOKUP(A153,'2022_PAPI_Indicators'!A148:AQ328,42,FALSE)</f>
        <v>4.5439213514328003E-2</v>
      </c>
      <c r="AS153" s="133">
        <f>VLOOKUP(A153,'2022_PAPI_Indicators'!A148:AR328,43,FALSE)</f>
        <v>1.4705882407724857E-2</v>
      </c>
      <c r="AT153" s="133">
        <f>VLOOKUP(A153,'2022_PAPI_Indicators'!A148:AS328,44,FALSE)</f>
        <v>8.1136114895343781E-2</v>
      </c>
      <c r="AU153" s="133">
        <f>VLOOKUP(A153,'2022_PAPI_Indicators'!A148:AT328,45,FALSE)</f>
        <v>6.1413250863552094E-2</v>
      </c>
      <c r="AV153" s="133">
        <f>VLOOKUP(A153,'2022_PAPI_Indicators'!A148:AU328,46,FALSE)</f>
        <v>3.7162091583013535E-2</v>
      </c>
      <c r="AW153" s="133">
        <f>VLOOKUP(A153,'2022_PAPI_Indicators'!A148:AV328,47,FALSE)</f>
        <v>4.4608604162931442E-2</v>
      </c>
      <c r="AX153" s="133">
        <f>VLOOKUP(A153,'2022_PAPI_Indicators'!A148:AW328,48,FALSE)</f>
        <v>1.0833151638507843E-2</v>
      </c>
      <c r="AY153" s="133">
        <f>VLOOKUP(A153,'2022_PAPI_Indicators'!A148:AX328,49,FALSE)</f>
        <v>1.0857762768864632E-2</v>
      </c>
      <c r="AZ153" s="133">
        <f>VLOOKUP(A153,'2022_PAPI_Indicators'!A148:AY328,50,FALSE)</f>
        <v>5.4601825773715973E-2</v>
      </c>
      <c r="BA153" s="133">
        <f>VLOOKUP(A153,'2022_PAPI_Indicators'!A148:AZ328,51,FALSE)</f>
        <v>4.4554849155247211E-3</v>
      </c>
      <c r="BB153" s="133">
        <f>VLOOKUP(A153,'2022_PAPI_Indicators'!A148:BA328,52,FALSE)</f>
        <v>6.3616327941417694E-2</v>
      </c>
      <c r="BC153" s="133">
        <f>VLOOKUP(A153,'2022_PAPI_Indicators'!A148:BB328,53,FALSE)</f>
        <v>0.38417521119117737</v>
      </c>
      <c r="BD153" s="133">
        <f>VLOOKUP(A153,'2022_PAPI_Indicators'!A148:BC328,54,FALSE)</f>
        <v>0.12391192466020584</v>
      </c>
      <c r="BE153" s="133">
        <f>VLOOKUP(A153,'2022_PAPI_Indicators'!A148:BD328,55,FALSE)</f>
        <v>9.6180848777294159E-2</v>
      </c>
      <c r="BF153" s="133">
        <f>VLOOKUP(A153,'2022_PAPI_Indicators'!A148:BE328,56,FALSE)</f>
        <v>0.21591381728649139</v>
      </c>
      <c r="BG153" s="133">
        <f>VLOOKUP(A153,'2022_PAPI_Indicators'!A148:BF328,57,FALSE)</f>
        <v>0.61566269397735596</v>
      </c>
      <c r="BH153" s="133">
        <f>VLOOKUP(A153,'2022_PAPI_Indicators'!A148:BG328,58,FALSE)</f>
        <v>0.36831659078598022</v>
      </c>
      <c r="BI153" s="133">
        <f>VLOOKUP(A153,'2022_PAPI_Indicators'!A148:BH328,59,FALSE)</f>
        <v>0.40185046195983887</v>
      </c>
      <c r="BJ153" s="133">
        <f>VLOOKUP(A153,'2022_PAPI_Indicators'!A148:BI328,60,FALSE)</f>
        <v>0.40794941782951355</v>
      </c>
      <c r="BK153" s="133">
        <f>VLOOKUP(A153,'2022_PAPI_Indicators'!A148:BJ328,61,FALSE)</f>
        <v>0.54099428653717041</v>
      </c>
      <c r="BL153" s="133">
        <f>VLOOKUP(A153,'2022_PAPI_Indicators'!A148:BK328,62,FALSE)</f>
        <v>0.19620232284069061</v>
      </c>
      <c r="BM153" s="133">
        <f>VLOOKUP(A153,'2022_PAPI_Indicators'!A148:BL328,63,FALSE)</f>
        <v>0.20582608878612518</v>
      </c>
      <c r="BN153" s="133">
        <f>VLOOKUP(A153,'2022_PAPI_Indicators'!A148:BM328,64,FALSE)</f>
        <v>0.26025509834289551</v>
      </c>
    </row>
    <row r="154" spans="1:66" s="83" customFormat="1" x14ac:dyDescent="0.2">
      <c r="A154" s="75" t="s">
        <v>389</v>
      </c>
      <c r="B154" s="76" t="s">
        <v>390</v>
      </c>
      <c r="C154" s="91" t="s">
        <v>447</v>
      </c>
      <c r="D154" s="129">
        <f>VLOOKUP(A154,'2022_PAPI_Indicators'!A149:B329,2,)</f>
        <v>3.6577632427215576</v>
      </c>
      <c r="E154" s="129">
        <f>VLOOKUP(A154,'2022_PAPI_Indicators'!A149:C329,3,FALSE)</f>
        <v>2.5864214897155762</v>
      </c>
      <c r="F154" s="129">
        <f>VLOOKUP(A154,'2022_PAPI_Indicators'!A149:D329,4,FALSE)</f>
        <v>2.1665620803833008</v>
      </c>
      <c r="G154" s="129">
        <f>VLOOKUP(A154,'2022_PAPI_Indicators'!A149:E329,5,FALSE)</f>
        <v>2.883094310760498</v>
      </c>
      <c r="H154" s="129">
        <f>VLOOKUP(A154,'2022_PAPI_Indicators'!A149:F329,6,FALSE)</f>
        <v>3.1172375679016113</v>
      </c>
      <c r="I154" s="129">
        <f>VLOOKUP(A154,'2022_PAPI_Indicators'!A149:G329,7,FALSE)</f>
        <v>2.853792667388916</v>
      </c>
      <c r="J154" s="129">
        <f>VLOOKUP(A154,'2022_PAPI_Indicators'!A149:H329,8,FALSE)</f>
        <v>2.4509773254394531</v>
      </c>
      <c r="K154" s="129">
        <f>VLOOKUP(A154,'2022_PAPI_Indicators'!A149:I329,9,FALSE)</f>
        <v>2.8810124397277832</v>
      </c>
      <c r="L154" s="129">
        <f>VLOOKUP(A154,'2022_PAPI_Indicators'!A149:J329,10,FALSE)</f>
        <v>2.3281631469726563</v>
      </c>
      <c r="M154" s="129">
        <f>VLOOKUP(A154,'2022_PAPI_Indicators'!A149:K329,11,FALSE)</f>
        <v>2.8121626377105713</v>
      </c>
      <c r="N154" s="129">
        <f>VLOOKUP(A154,'2022_PAPI_Indicators'!A149:L329,12,FALSE)</f>
        <v>2.5879666805267334</v>
      </c>
      <c r="O154" s="129">
        <f>VLOOKUP(A154,'2022_PAPI_Indicators'!A149:M329,13,FALSE)</f>
        <v>3.3167250156402588</v>
      </c>
      <c r="P154" s="129">
        <f>VLOOKUP(A154,'2022_PAPI_Indicators'!A149:N329,14,FALSE)</f>
        <v>2.9756402969360352</v>
      </c>
      <c r="Q154" s="129">
        <f>VLOOKUP(A154,'2022_PAPI_Indicators'!A149:O329,15,FALSE)</f>
        <v>3.7098767757415771</v>
      </c>
      <c r="R154" s="130">
        <f>VLOOKUP(A154,'2022_PAPI_Indicators'!A149:P329,16,FALSE)</f>
        <v>3.4342727661132813</v>
      </c>
      <c r="S154" s="129">
        <f>VLOOKUP(A154,'2022_PAPI_Indicators'!A149:R329,17,FALSE)</f>
        <v>3.2918863296508789</v>
      </c>
      <c r="T154" s="129">
        <f>VLOOKUP(A154,'2022_PAPI_Indicators'!A149:S329,18,FALSE)</f>
        <v>3.4671733379364014</v>
      </c>
      <c r="U154" s="130">
        <f>VLOOKUP(A154,'2022_PAPI_Indicators'!A149:T329,19,FALSE)</f>
        <v>0</v>
      </c>
      <c r="V154" s="129">
        <f>VLOOKUP(A154,'2022_PAPI_Indicators'!A149:U329,20,FALSE)</f>
        <v>3.1223115921020508</v>
      </c>
      <c r="W154" s="129">
        <f>VLOOKUP(A154,'2022_PAPI_Indicators'!A149:V329,21,FALSE)</f>
        <v>3.027573823928833</v>
      </c>
      <c r="X154" s="129">
        <f>VLOOKUP(A154,'2022_PAPI_Indicators'!A149:W329,22,FALSE)</f>
        <v>3.2392687797546387</v>
      </c>
      <c r="Y154" s="129">
        <f>VLOOKUP(A154,'2022_PAPI_Indicators'!A149:X329,23,FALSE)</f>
        <v>3.1159839630126953</v>
      </c>
      <c r="Z154" s="129">
        <f>VLOOKUP(A154,'2022_PAPI_Indicators'!A149:Y329,24,FALSE)</f>
        <v>3.0166566371917725</v>
      </c>
      <c r="AA154" s="129">
        <f>VLOOKUP(A154,'2022_PAPI_Indicators'!A149:Z329,25,FALSE)</f>
        <v>2.8973312377929688</v>
      </c>
      <c r="AB154" s="129">
        <f>VLOOKUP(A154,'2022_PAPI_Indicators'!A149:AA329,26,FALSE)</f>
        <v>3.2076272964477539</v>
      </c>
      <c r="AC154" s="129">
        <f>VLOOKUP(A154,'2022_PAPI_Indicators'!A149:AB329,27,FALSE)</f>
        <v>3.0905830860137939</v>
      </c>
      <c r="AD154" s="129">
        <f>VLOOKUP(A154,'2022_PAPI_Indicators'!A149:AC329,28,FALSE)</f>
        <v>3.0682888031005859</v>
      </c>
      <c r="AE154" s="129">
        <f>VLOOKUP(A154,'2022_PAPI_Indicators'!A149:AD329,29,FALSE)</f>
        <v>3.1910977363586426</v>
      </c>
      <c r="AF154" s="129">
        <f>VLOOKUP(A154,'2022_PAPI_Indicators'!A149:AE329,30,FALSE)</f>
        <v>2.7667441368103027</v>
      </c>
      <c r="AG154" s="129">
        <f>VLOOKUP(A154,'2022_PAPI_Indicators'!A149:AF329,31,FALSE)</f>
        <v>3.0320584774017334</v>
      </c>
      <c r="AH154" s="129">
        <f>VLOOKUP(A154,'2022_PAPI_Indicators'!A149:AG329,32,FALSE)</f>
        <v>3.1190128326416016</v>
      </c>
      <c r="AI154" s="129">
        <f>VLOOKUP(A154,'2022_PAPI_Indicators'!A149:AH329,33,FALSE)</f>
        <v>3.6941053867340088</v>
      </c>
      <c r="AJ154" s="129">
        <f>VLOOKUP(A154,'2022_PAPI_Indicators'!A149:AI329,34,FALSE)</f>
        <v>3.0102460384368896</v>
      </c>
      <c r="AK154" s="129">
        <f>VLOOKUP(A154,'2022_PAPI_Indicators'!A149:AJ329,35,FALSE)</f>
        <v>3.1907041072845459</v>
      </c>
      <c r="AL154" s="129">
        <f>VLOOKUP(A154,'2022_PAPI_Indicators'!A149:AK329,36,FALSE)</f>
        <v>2.8702120780944824</v>
      </c>
      <c r="AM154" s="129">
        <f>VLOOKUP(A154,'2022_PAPI_Indicators'!A149:AL329,37,FALSE)</f>
        <v>2.8096189498901367</v>
      </c>
      <c r="AN154" s="129">
        <f>VLOOKUP(A154,'2022_PAPI_Indicators'!A149:AM329,38,FALSE)</f>
        <v>3.478623628616333</v>
      </c>
      <c r="AO154" s="129">
        <f>VLOOKUP(A154,'2022_PAPI_Indicators'!A149:AN329,39,FALSE)</f>
        <v>3.5325374603271484</v>
      </c>
      <c r="AP154" s="129">
        <f>VLOOKUP(A154,'2022_PAPI_Indicators'!A149:AO329,40,FALSE)</f>
        <v>3.2896878719329834</v>
      </c>
      <c r="AQ154" s="129">
        <f>VLOOKUP(A154,'2022_PAPI_Indicators'!A149:AP329,41,FALSE)</f>
        <v>2.6106979846954346</v>
      </c>
      <c r="AR154" s="129">
        <f>VLOOKUP(A154,'2022_PAPI_Indicators'!A149:AQ329,42,FALSE)</f>
        <v>2.8888888359069824</v>
      </c>
      <c r="AS154" s="129">
        <f>VLOOKUP(A154,'2022_PAPI_Indicators'!A149:AR329,43,FALSE)</f>
        <v>2.8874721527099609</v>
      </c>
      <c r="AT154" s="129">
        <f>VLOOKUP(A154,'2022_PAPI_Indicators'!A149:AS329,44,FALSE)</f>
        <v>3.1218764781951904</v>
      </c>
      <c r="AU154" s="129">
        <f>VLOOKUP(A154,'2022_PAPI_Indicators'!A149:AT329,45,FALSE)</f>
        <v>3.0928089618682861</v>
      </c>
      <c r="AV154" s="129">
        <f>VLOOKUP(A154,'2022_PAPI_Indicators'!A149:AU329,46,FALSE)</f>
        <v>3.398012638092041</v>
      </c>
      <c r="AW154" s="129">
        <f>VLOOKUP(A154,'2022_PAPI_Indicators'!A149:AV329,47,FALSE)</f>
        <v>3.0884077548980713</v>
      </c>
      <c r="AX154" s="129">
        <f>VLOOKUP(A154,'2022_PAPI_Indicators'!A149:AW329,48,FALSE)</f>
        <v>3.6564061641693115</v>
      </c>
      <c r="AY154" s="129">
        <f>VLOOKUP(A154,'2022_PAPI_Indicators'!A149:AX329,49,FALSE)</f>
        <v>3.1487810611724854</v>
      </c>
      <c r="AZ154" s="129">
        <f>VLOOKUP(A154,'2022_PAPI_Indicators'!A149:AY329,50,FALSE)</f>
        <v>3.1476590633392334</v>
      </c>
      <c r="BA154" s="129">
        <f>VLOOKUP(A154,'2022_PAPI_Indicators'!A149:AZ329,51,FALSE)</f>
        <v>3.3164093494415283</v>
      </c>
      <c r="BB154" s="129">
        <f>VLOOKUP(A154,'2022_PAPI_Indicators'!A149:BA329,52,FALSE)</f>
        <v>2.8080840110778809</v>
      </c>
      <c r="BC154" s="129">
        <f>VLOOKUP(A154,'2022_PAPI_Indicators'!A149:BB329,53,FALSE)</f>
        <v>2.3002169132232666</v>
      </c>
      <c r="BD154" s="129">
        <f>VLOOKUP(A154,'2022_PAPI_Indicators'!A149:BC329,54,FALSE)</f>
        <v>2.6326088905334473</v>
      </c>
      <c r="BE154" s="129">
        <f>VLOOKUP(A154,'2022_PAPI_Indicators'!A149:BD329,55,FALSE)</f>
        <v>2.6677224636077881</v>
      </c>
      <c r="BF154" s="129">
        <f>VLOOKUP(A154,'2022_PAPI_Indicators'!A149:BE329,56,FALSE)</f>
        <v>2.9327933788299561</v>
      </c>
      <c r="BG154" s="129">
        <f>VLOOKUP(A154,'2022_PAPI_Indicators'!A149:BF329,57,FALSE)</f>
        <v>2.7613134384155273</v>
      </c>
      <c r="BH154" s="129">
        <f>VLOOKUP(A154,'2022_PAPI_Indicators'!A149:BG329,58,FALSE)</f>
        <v>2.5922713279724121</v>
      </c>
      <c r="BI154" s="129">
        <f>VLOOKUP(A154,'2022_PAPI_Indicators'!A149:BH329,59,FALSE)</f>
        <v>2.5970406532287598</v>
      </c>
      <c r="BJ154" s="129">
        <f>VLOOKUP(A154,'2022_PAPI_Indicators'!A149:BI329,60,FALSE)</f>
        <v>2.623971700668335</v>
      </c>
      <c r="BK154" s="129">
        <f>VLOOKUP(A154,'2022_PAPI_Indicators'!A149:BJ329,61,FALSE)</f>
        <v>2.9474306106567383</v>
      </c>
      <c r="BL154" s="129">
        <f>VLOOKUP(A154,'2022_PAPI_Indicators'!A149:BK329,62,FALSE)</f>
        <v>3.0187807083129883</v>
      </c>
      <c r="BM154" s="129">
        <f>VLOOKUP(A154,'2022_PAPI_Indicators'!A149:BL329,63,FALSE)</f>
        <v>3.0855555534362793</v>
      </c>
      <c r="BN154" s="129">
        <f>VLOOKUP(A154,'2022_PAPI_Indicators'!A149:BM329,64,FALSE)</f>
        <v>3.0694475173950195</v>
      </c>
    </row>
    <row r="155" spans="1:66" s="112" customFormat="1" x14ac:dyDescent="0.2">
      <c r="A155" s="77" t="s">
        <v>440</v>
      </c>
      <c r="B155" s="77" t="s">
        <v>451</v>
      </c>
      <c r="C155" s="92" t="s">
        <v>449</v>
      </c>
      <c r="D155" s="131">
        <f>VLOOKUP(A155,'2022_PAPI_Indicators'!A150:B330,2,)</f>
        <v>0.49929377436637878</v>
      </c>
      <c r="E155" s="131">
        <f>VLOOKUP(A155,'2022_PAPI_Indicators'!A150:C330,3,FALSE)</f>
        <v>0.42354291677474976</v>
      </c>
      <c r="F155" s="131">
        <f>VLOOKUP(A155,'2022_PAPI_Indicators'!A150:D330,4,FALSE)</f>
        <v>0.36243751645088196</v>
      </c>
      <c r="G155" s="131">
        <f>VLOOKUP(A155,'2022_PAPI_Indicators'!A150:E330,5,FALSE)</f>
        <v>0.48647573590278625</v>
      </c>
      <c r="H155" s="131">
        <f>VLOOKUP(A155,'2022_PAPI_Indicators'!A150:F330,6,FALSE)</f>
        <v>0.4247526228427887</v>
      </c>
      <c r="I155" s="131">
        <f>VLOOKUP(A155,'2022_PAPI_Indicators'!A150:G330,7,FALSE)</f>
        <v>0.41381481289863586</v>
      </c>
      <c r="J155" s="131">
        <f>VLOOKUP(A155,'2022_PAPI_Indicators'!A150:H330,8,FALSE)</f>
        <v>0.41776648163795471</v>
      </c>
      <c r="K155" s="131">
        <f>VLOOKUP(A155,'2022_PAPI_Indicators'!A150:I330,9,FALSE)</f>
        <v>0.4089016318321228</v>
      </c>
      <c r="L155" s="131">
        <f>VLOOKUP(A155,'2022_PAPI_Indicators'!A150:J330,10,FALSE)</f>
        <v>0.37252417206764221</v>
      </c>
      <c r="M155" s="131">
        <f>VLOOKUP(A155,'2022_PAPI_Indicators'!A150:K330,11,FALSE)</f>
        <v>0.44493573904037476</v>
      </c>
      <c r="N155" s="131">
        <f>VLOOKUP(A155,'2022_PAPI_Indicators'!A150:L330,12,FALSE)</f>
        <v>0.42225554585456848</v>
      </c>
      <c r="O155" s="131">
        <f>VLOOKUP(A155,'2022_PAPI_Indicators'!A150:M330,13,FALSE)</f>
        <v>0.47518235445022583</v>
      </c>
      <c r="P155" s="131">
        <f>VLOOKUP(A155,'2022_PAPI_Indicators'!A150:N330,14,FALSE)</f>
        <v>0.4460156261920929</v>
      </c>
      <c r="Q155" s="131">
        <f>VLOOKUP(A155,'2022_PAPI_Indicators'!A150:O330,15,FALSE)</f>
        <v>0.52964568138122559</v>
      </c>
      <c r="R155" s="132">
        <f>VLOOKUP(A155,'2022_PAPI_Indicators'!A150:P330,16,FALSE)</f>
        <v>0.47392818331718445</v>
      </c>
      <c r="S155" s="131">
        <f>VLOOKUP(A155,'2022_PAPI_Indicators'!A150:R330,17,FALSE)</f>
        <v>0.43349552154541016</v>
      </c>
      <c r="T155" s="131">
        <f>VLOOKUP(A155,'2022_PAPI_Indicators'!A150:S330,18,FALSE)</f>
        <v>0.44907340407371521</v>
      </c>
      <c r="U155" s="132">
        <f>VLOOKUP(A155,'2022_PAPI_Indicators'!A150:T330,19,FALSE)</f>
        <v>0</v>
      </c>
      <c r="V155" s="131">
        <f>VLOOKUP(A155,'2022_PAPI_Indicators'!A150:U330,20,FALSE)</f>
        <v>0.40014281868934631</v>
      </c>
      <c r="W155" s="131">
        <f>VLOOKUP(A155,'2022_PAPI_Indicators'!A150:V330,21,FALSE)</f>
        <v>0.3847823441028595</v>
      </c>
      <c r="X155" s="131">
        <f>VLOOKUP(A155,'2022_PAPI_Indicators'!A150:W330,22,FALSE)</f>
        <v>0.39535319805145264</v>
      </c>
      <c r="Y155" s="131">
        <f>VLOOKUP(A155,'2022_PAPI_Indicators'!A150:X330,23,FALSE)</f>
        <v>0.36765125393867493</v>
      </c>
      <c r="Z155" s="131">
        <f>VLOOKUP(A155,'2022_PAPI_Indicators'!A150:Y330,24,FALSE)</f>
        <v>0.35470902919769287</v>
      </c>
      <c r="AA155" s="131">
        <f>VLOOKUP(A155,'2022_PAPI_Indicators'!A150:Z330,25,FALSE)</f>
        <v>0.41698315739631653</v>
      </c>
      <c r="AB155" s="131">
        <f>VLOOKUP(A155,'2022_PAPI_Indicators'!A150:AA330,26,FALSE)</f>
        <v>0.41202259063720703</v>
      </c>
      <c r="AC155" s="131">
        <f>VLOOKUP(A155,'2022_PAPI_Indicators'!A150:AB330,27,FALSE)</f>
        <v>0.43173873424530029</v>
      </c>
      <c r="AD155" s="131">
        <f>VLOOKUP(A155,'2022_PAPI_Indicators'!A150:AC330,28,FALSE)</f>
        <v>0.40622821450233459</v>
      </c>
      <c r="AE155" s="131">
        <f>VLOOKUP(A155,'2022_PAPI_Indicators'!A150:AD330,29,FALSE)</f>
        <v>0.51269745826721191</v>
      </c>
      <c r="AF155" s="131">
        <f>VLOOKUP(A155,'2022_PAPI_Indicators'!A150:AE330,30,FALSE)</f>
        <v>0.43731763958930969</v>
      </c>
      <c r="AG155" s="131">
        <f>VLOOKUP(A155,'2022_PAPI_Indicators'!A150:AF330,31,FALSE)</f>
        <v>0.44411709904670715</v>
      </c>
      <c r="AH155" s="131">
        <f>VLOOKUP(A155,'2022_PAPI_Indicators'!A150:AG330,32,FALSE)</f>
        <v>0.47876438498497009</v>
      </c>
      <c r="AI155" s="131">
        <f>VLOOKUP(A155,'2022_PAPI_Indicators'!A150:AH330,33,FALSE)</f>
        <v>0.45402884483337402</v>
      </c>
      <c r="AJ155" s="131">
        <f>VLOOKUP(A155,'2022_PAPI_Indicators'!A150:AI330,34,FALSE)</f>
        <v>0.39668035507202148</v>
      </c>
      <c r="AK155" s="131">
        <f>VLOOKUP(A155,'2022_PAPI_Indicators'!A150:AJ330,35,FALSE)</f>
        <v>0.46683144569396973</v>
      </c>
      <c r="AL155" s="131">
        <f>VLOOKUP(A155,'2022_PAPI_Indicators'!A150:AK330,36,FALSE)</f>
        <v>0.4135088324546814</v>
      </c>
      <c r="AM155" s="131">
        <f>VLOOKUP(A155,'2022_PAPI_Indicators'!A150:AL330,37,FALSE)</f>
        <v>0.3914208710193634</v>
      </c>
      <c r="AN155" s="131">
        <f>VLOOKUP(A155,'2022_PAPI_Indicators'!A150:AM330,38,FALSE)</f>
        <v>0.44643309712409973</v>
      </c>
      <c r="AO155" s="131">
        <f>VLOOKUP(A155,'2022_PAPI_Indicators'!A150:AN330,39,FALSE)</f>
        <v>0.44026240706443787</v>
      </c>
      <c r="AP155" s="131">
        <f>VLOOKUP(A155,'2022_PAPI_Indicators'!A150:AO330,40,FALSE)</f>
        <v>0.46585631370544434</v>
      </c>
      <c r="AQ155" s="131">
        <f>VLOOKUP(A155,'2022_PAPI_Indicators'!A150:AP330,41,FALSE)</f>
        <v>0.37089994549751282</v>
      </c>
      <c r="AR155" s="131">
        <f>VLOOKUP(A155,'2022_PAPI_Indicators'!A150:AQ330,42,FALSE)</f>
        <v>0.44175136089324951</v>
      </c>
      <c r="AS155" s="131">
        <f>VLOOKUP(A155,'2022_PAPI_Indicators'!A150:AR330,43,FALSE)</f>
        <v>0.38587108254432678</v>
      </c>
      <c r="AT155" s="131">
        <f>VLOOKUP(A155,'2022_PAPI_Indicators'!A150:AS330,44,FALSE)</f>
        <v>0.44628697633743286</v>
      </c>
      <c r="AU155" s="131">
        <f>VLOOKUP(A155,'2022_PAPI_Indicators'!A150:AT330,45,FALSE)</f>
        <v>0.38185054063796997</v>
      </c>
      <c r="AV155" s="131">
        <f>VLOOKUP(A155,'2022_PAPI_Indicators'!A150:AU330,46,FALSE)</f>
        <v>0.4065212607383728</v>
      </c>
      <c r="AW155" s="131">
        <f>VLOOKUP(A155,'2022_PAPI_Indicators'!A150:AV330,47,FALSE)</f>
        <v>0.36521703004837036</v>
      </c>
      <c r="AX155" s="131">
        <f>VLOOKUP(A155,'2022_PAPI_Indicators'!A150:AW330,48,FALSE)</f>
        <v>0.45598167181015015</v>
      </c>
      <c r="AY155" s="131">
        <f>VLOOKUP(A155,'2022_PAPI_Indicators'!A150:AX330,49,FALSE)</f>
        <v>0.38241443037986755</v>
      </c>
      <c r="AZ155" s="131">
        <f>VLOOKUP(A155,'2022_PAPI_Indicators'!A150:AY330,50,FALSE)</f>
        <v>0.40612387657165527</v>
      </c>
      <c r="BA155" s="131">
        <f>VLOOKUP(A155,'2022_PAPI_Indicators'!A150:AZ330,51,FALSE)</f>
        <v>0.41224411129951477</v>
      </c>
      <c r="BB155" s="131">
        <f>VLOOKUP(A155,'2022_PAPI_Indicators'!A150:BA330,52,FALSE)</f>
        <v>0.362823486328125</v>
      </c>
      <c r="BC155" s="131">
        <f>VLOOKUP(A155,'2022_PAPI_Indicators'!A150:BB330,53,FALSE)</f>
        <v>0.34854874014854431</v>
      </c>
      <c r="BD155" s="131">
        <f>VLOOKUP(A155,'2022_PAPI_Indicators'!A150:BC330,54,FALSE)</f>
        <v>0.33235025405883789</v>
      </c>
      <c r="BE155" s="131">
        <f>VLOOKUP(A155,'2022_PAPI_Indicators'!A150:BD330,55,FALSE)</f>
        <v>0.36163091659545898</v>
      </c>
      <c r="BF155" s="131">
        <f>VLOOKUP(A155,'2022_PAPI_Indicators'!A150:BE330,56,FALSE)</f>
        <v>0.41101822257041931</v>
      </c>
      <c r="BG155" s="131">
        <f>VLOOKUP(A155,'2022_PAPI_Indicators'!A150:BF330,57,FALSE)</f>
        <v>0.40339100360870361</v>
      </c>
      <c r="BH155" s="131">
        <f>VLOOKUP(A155,'2022_PAPI_Indicators'!A150:BG330,58,FALSE)</f>
        <v>0.37631356716156006</v>
      </c>
      <c r="BI155" s="131">
        <f>VLOOKUP(A155,'2022_PAPI_Indicators'!A150:BH330,59,FALSE)</f>
        <v>0.36413773894309998</v>
      </c>
      <c r="BJ155" s="131">
        <f>VLOOKUP(A155,'2022_PAPI_Indicators'!A150:BI330,60,FALSE)</f>
        <v>0.37308177351951599</v>
      </c>
      <c r="BK155" s="131">
        <f>VLOOKUP(A155,'2022_PAPI_Indicators'!A150:BJ330,61,FALSE)</f>
        <v>0.43504911661148071</v>
      </c>
      <c r="BL155" s="131">
        <f>VLOOKUP(A155,'2022_PAPI_Indicators'!A150:BK330,62,FALSE)</f>
        <v>0.40934225916862488</v>
      </c>
      <c r="BM155" s="131">
        <f>VLOOKUP(A155,'2022_PAPI_Indicators'!A150:BL330,63,FALSE)</f>
        <v>0.4292941689491272</v>
      </c>
      <c r="BN155" s="131">
        <f>VLOOKUP(A155,'2022_PAPI_Indicators'!A150:BM330,64,FALSE)</f>
        <v>0.43489477038383484</v>
      </c>
    </row>
    <row r="156" spans="1:66" ht="12.75" customHeight="1" x14ac:dyDescent="0.2">
      <c r="A156" s="70" t="s">
        <v>393</v>
      </c>
      <c r="B156" s="70" t="s">
        <v>394</v>
      </c>
      <c r="C156" s="89" t="s">
        <v>90</v>
      </c>
      <c r="D156" s="133">
        <f>VLOOKUP(A156,'2022_PAPI_Indicators'!A151:B331,2,)</f>
        <v>8.6108841001987457E-2</v>
      </c>
      <c r="E156" s="133">
        <f>VLOOKUP(A156,'2022_PAPI_Indicators'!A151:C331,3,FALSE)</f>
        <v>5.3871843963861465E-2</v>
      </c>
      <c r="F156" s="133">
        <f>VLOOKUP(A156,'2022_PAPI_Indicators'!A151:D331,4,FALSE)</f>
        <v>1.2107479386031628E-2</v>
      </c>
      <c r="G156" s="133">
        <f>VLOOKUP(A156,'2022_PAPI_Indicators'!A151:E331,5,FALSE)</f>
        <v>6.7050911486148834E-2</v>
      </c>
      <c r="H156" s="133">
        <f>VLOOKUP(A156,'2022_PAPI_Indicators'!A151:F331,6,FALSE)</f>
        <v>6.1606161296367645E-2</v>
      </c>
      <c r="I156" s="133">
        <f>VLOOKUP(A156,'2022_PAPI_Indicators'!A151:G331,7,FALSE)</f>
        <v>3.8453813642263412E-2</v>
      </c>
      <c r="J156" s="133">
        <f>VLOOKUP(A156,'2022_PAPI_Indicators'!A151:H331,8,FALSE)</f>
        <v>3.4460552036762238E-2</v>
      </c>
      <c r="K156" s="133">
        <f>VLOOKUP(A156,'2022_PAPI_Indicators'!A151:I331,9,FALSE)</f>
        <v>4.0229693055152893E-2</v>
      </c>
      <c r="L156" s="133">
        <f>VLOOKUP(A156,'2022_PAPI_Indicators'!A151:J331,10,FALSE)</f>
        <v>2.7942689135670662E-2</v>
      </c>
      <c r="M156" s="133">
        <f>VLOOKUP(A156,'2022_PAPI_Indicators'!A151:K331,11,FALSE)</f>
        <v>6.609758734703064E-2</v>
      </c>
      <c r="N156" s="133">
        <f>VLOOKUP(A156,'2022_PAPI_Indicators'!A151:L331,12,FALSE)</f>
        <v>5.302887037396431E-2</v>
      </c>
      <c r="O156" s="133">
        <f>VLOOKUP(A156,'2022_PAPI_Indicators'!A151:M331,13,FALSE)</f>
        <v>6.7150793969631195E-2</v>
      </c>
      <c r="P156" s="133">
        <f>VLOOKUP(A156,'2022_PAPI_Indicators'!A151:N331,14,FALSE)</f>
        <v>6.0289338231086731E-2</v>
      </c>
      <c r="Q156" s="133">
        <f>VLOOKUP(A156,'2022_PAPI_Indicators'!A151:O331,15,FALSE)</f>
        <v>9.2336200177669525E-2</v>
      </c>
      <c r="R156" s="135">
        <f>VLOOKUP(A156,'2022_PAPI_Indicators'!A151:P331,16,FALSE)</f>
        <v>7.8125E-2</v>
      </c>
      <c r="S156" s="133">
        <f>VLOOKUP(A156,'2022_PAPI_Indicators'!A151:R331,17,FALSE)</f>
        <v>4.6875E-2</v>
      </c>
      <c r="T156" s="133">
        <f>VLOOKUP(A156,'2022_PAPI_Indicators'!A151:S331,18,FALSE)</f>
        <v>3.6966435611248016E-2</v>
      </c>
      <c r="U156" s="135">
        <f>VLOOKUP(A156,'2022_PAPI_Indicators'!A151:T331,19,FALSE)</f>
        <v>0</v>
      </c>
      <c r="V156" s="133">
        <f>VLOOKUP(A156,'2022_PAPI_Indicators'!A151:U331,20,FALSE)</f>
        <v>3.1147472560405731E-2</v>
      </c>
      <c r="W156" s="133">
        <f>VLOOKUP(A156,'2022_PAPI_Indicators'!A151:V331,21,FALSE)</f>
        <v>2.9656281694769859E-2</v>
      </c>
      <c r="X156" s="133">
        <f>VLOOKUP(A156,'2022_PAPI_Indicators'!A151:W331,22,FALSE)</f>
        <v>2.6100931689143181E-2</v>
      </c>
      <c r="Y156" s="133">
        <f>VLOOKUP(A156,'2022_PAPI_Indicators'!A151:X331,23,FALSE)</f>
        <v>1.6301145777106285E-2</v>
      </c>
      <c r="Z156" s="133">
        <f>VLOOKUP(A156,'2022_PAPI_Indicators'!A151:Y331,24,FALSE)</f>
        <v>9.862976148724556E-3</v>
      </c>
      <c r="AA156" s="133">
        <f>VLOOKUP(A156,'2022_PAPI_Indicators'!A151:Z331,25,FALSE)</f>
        <v>3.5692296922206879E-2</v>
      </c>
      <c r="AB156" s="133">
        <f>VLOOKUP(A156,'2022_PAPI_Indicators'!A151:AA331,26,FALSE)</f>
        <v>5.523405596613884E-2</v>
      </c>
      <c r="AC156" s="133">
        <f>VLOOKUP(A156,'2022_PAPI_Indicators'!A151:AB331,27,FALSE)</f>
        <v>4.4130418449640274E-2</v>
      </c>
      <c r="AD156" s="133">
        <f>VLOOKUP(A156,'2022_PAPI_Indicators'!A151:AC331,28,FALSE)</f>
        <v>3.6194920539855957E-2</v>
      </c>
      <c r="AE156" s="133">
        <f>VLOOKUP(A156,'2022_PAPI_Indicators'!A151:AD331,29,FALSE)</f>
        <v>9.9919632077217102E-2</v>
      </c>
      <c r="AF156" s="133">
        <f>VLOOKUP(A156,'2022_PAPI_Indicators'!A151:AE331,30,FALSE)</f>
        <v>6.4060874283313751E-2</v>
      </c>
      <c r="AG156" s="133">
        <f>VLOOKUP(A156,'2022_PAPI_Indicators'!A151:AF331,31,FALSE)</f>
        <v>6.1221525073051453E-2</v>
      </c>
      <c r="AH156" s="133">
        <f>VLOOKUP(A156,'2022_PAPI_Indicators'!A151:AG331,32,FALSE)</f>
        <v>6.6544763743877411E-2</v>
      </c>
      <c r="AI156" s="133">
        <f>VLOOKUP(A156,'2022_PAPI_Indicators'!A151:AH331,33,FALSE)</f>
        <v>5.8846373111009598E-2</v>
      </c>
      <c r="AJ156" s="133">
        <f>VLOOKUP(A156,'2022_PAPI_Indicators'!A151:AI331,34,FALSE)</f>
        <v>2.3382371291518211E-2</v>
      </c>
      <c r="AK156" s="133">
        <f>VLOOKUP(A156,'2022_PAPI_Indicators'!A151:AJ331,35,FALSE)</f>
        <v>4.2798552662134171E-2</v>
      </c>
      <c r="AL156" s="133">
        <f>VLOOKUP(A156,'2022_PAPI_Indicators'!A151:AK331,36,FALSE)</f>
        <v>4.0879044681787491E-2</v>
      </c>
      <c r="AM156" s="133">
        <f>VLOOKUP(A156,'2022_PAPI_Indicators'!A151:AL331,37,FALSE)</f>
        <v>2.5735853239893913E-2</v>
      </c>
      <c r="AN156" s="133">
        <f>VLOOKUP(A156,'2022_PAPI_Indicators'!A151:AM331,38,FALSE)</f>
        <v>4.6875E-2</v>
      </c>
      <c r="AO156" s="133">
        <f>VLOOKUP(A156,'2022_PAPI_Indicators'!A151:AN331,39,FALSE)</f>
        <v>3.9645224809646606E-2</v>
      </c>
      <c r="AP156" s="133">
        <f>VLOOKUP(A156,'2022_PAPI_Indicators'!A151:AO331,40,FALSE)</f>
        <v>8.990052342414856E-2</v>
      </c>
      <c r="AQ156" s="133">
        <f>VLOOKUP(A156,'2022_PAPI_Indicators'!A151:AP331,41,FALSE)</f>
        <v>1.5169469639658928E-2</v>
      </c>
      <c r="AR156" s="133">
        <f>VLOOKUP(A156,'2022_PAPI_Indicators'!A151:AQ331,42,FALSE)</f>
        <v>3.5473033785820007E-2</v>
      </c>
      <c r="AS156" s="133">
        <f>VLOOKUP(A156,'2022_PAPI_Indicators'!A151:AR331,43,FALSE)</f>
        <v>1.9632995128631592E-2</v>
      </c>
      <c r="AT156" s="133">
        <f>VLOOKUP(A156,'2022_PAPI_Indicators'!A151:AS331,44,FALSE)</f>
        <v>6.3583619892597198E-2</v>
      </c>
      <c r="AU156" s="133">
        <f>VLOOKUP(A156,'2022_PAPI_Indicators'!A151:AT331,45,FALSE)</f>
        <v>2.3758957162499428E-2</v>
      </c>
      <c r="AV156" s="133">
        <f>VLOOKUP(A156,'2022_PAPI_Indicators'!A151:AU331,46,FALSE)</f>
        <v>1.8065579235553741E-2</v>
      </c>
      <c r="AW156" s="133">
        <f>VLOOKUP(A156,'2022_PAPI_Indicators'!A151:AV331,47,FALSE)</f>
        <v>9.1591542586684227E-3</v>
      </c>
      <c r="AX156" s="133">
        <f>VLOOKUP(A156,'2022_PAPI_Indicators'!A151:AW331,48,FALSE)</f>
        <v>7.2827950119972229E-2</v>
      </c>
      <c r="AY156" s="133">
        <f>VLOOKUP(A156,'2022_PAPI_Indicators'!A151:AX331,49,FALSE)</f>
        <v>2.0124258473515511E-2</v>
      </c>
      <c r="AZ156" s="133">
        <f>VLOOKUP(A156,'2022_PAPI_Indicators'!A151:AY331,50,FALSE)</f>
        <v>3.915068507194519E-2</v>
      </c>
      <c r="BA156" s="133">
        <f>VLOOKUP(A156,'2022_PAPI_Indicators'!A151:AZ331,51,FALSE)</f>
        <v>4.92071732878685E-2</v>
      </c>
      <c r="BB156" s="133">
        <f>VLOOKUP(A156,'2022_PAPI_Indicators'!A151:BA331,52,FALSE)</f>
        <v>1.4390029013156891E-2</v>
      </c>
      <c r="BC156" s="133">
        <f>VLOOKUP(A156,'2022_PAPI_Indicators'!A151:BB331,53,FALSE)</f>
        <v>1.0361729189753532E-2</v>
      </c>
      <c r="BD156" s="133">
        <f>VLOOKUP(A156,'2022_PAPI_Indicators'!A151:BC331,54,FALSE)</f>
        <v>1.5826596645638347E-3</v>
      </c>
      <c r="BE156" s="133">
        <f>VLOOKUP(A156,'2022_PAPI_Indicators'!A151:BD331,55,FALSE)</f>
        <v>1.7584150657057762E-2</v>
      </c>
      <c r="BF156" s="133">
        <f>VLOOKUP(A156,'2022_PAPI_Indicators'!A151:BE331,56,FALSE)</f>
        <v>4.4468250125646591E-2</v>
      </c>
      <c r="BG156" s="133">
        <f>VLOOKUP(A156,'2022_PAPI_Indicators'!A151:BF331,57,FALSE)</f>
        <v>4.1184615343809128E-2</v>
      </c>
      <c r="BH156" s="133">
        <f>VLOOKUP(A156,'2022_PAPI_Indicators'!A151:BG331,58,FALSE)</f>
        <v>2.178184874355793E-2</v>
      </c>
      <c r="BI156" s="133">
        <f>VLOOKUP(A156,'2022_PAPI_Indicators'!A151:BH331,59,FALSE)</f>
        <v>1.3914324343204498E-2</v>
      </c>
      <c r="BJ156" s="133">
        <f>VLOOKUP(A156,'2022_PAPI_Indicators'!A151:BI331,60,FALSE)</f>
        <v>2.3529049009084702E-2</v>
      </c>
      <c r="BK156" s="133">
        <f>VLOOKUP(A156,'2022_PAPI_Indicators'!A151:BJ331,61,FALSE)</f>
        <v>6.1093255877494812E-2</v>
      </c>
      <c r="BL156" s="133">
        <f>VLOOKUP(A156,'2022_PAPI_Indicators'!A151:BK331,62,FALSE)</f>
        <v>5.3429119288921356E-2</v>
      </c>
      <c r="BM156" s="133">
        <f>VLOOKUP(A156,'2022_PAPI_Indicators'!A151:BL331,63,FALSE)</f>
        <v>6.6864751279354095E-2</v>
      </c>
      <c r="BN156" s="133">
        <f>VLOOKUP(A156,'2022_PAPI_Indicators'!A151:BM331,64,FALSE)</f>
        <v>4.1227489709854126E-2</v>
      </c>
    </row>
    <row r="157" spans="1:66" ht="12.75" customHeight="1" x14ac:dyDescent="0.2">
      <c r="A157" s="70" t="s">
        <v>397</v>
      </c>
      <c r="B157" s="70" t="s">
        <v>398</v>
      </c>
      <c r="C157" s="89" t="s">
        <v>90</v>
      </c>
      <c r="D157" s="133">
        <f>VLOOKUP(A157,'2022_PAPI_Indicators'!A152:B332,2,)</f>
        <v>2.7893686667084694E-2</v>
      </c>
      <c r="E157" s="133">
        <f>VLOOKUP(A157,'2022_PAPI_Indicators'!A152:C332,3,FALSE)</f>
        <v>9.1200089082121849E-3</v>
      </c>
      <c r="F157" s="133">
        <f>VLOOKUP(A157,'2022_PAPI_Indicators'!A152:D332,4,FALSE)</f>
        <v>9.7359558567404747E-3</v>
      </c>
      <c r="G157" s="133">
        <f>VLOOKUP(A157,'2022_PAPI_Indicators'!A152:E332,5,FALSE)</f>
        <v>3.8319949060678482E-2</v>
      </c>
      <c r="H157" s="133">
        <f>VLOOKUP(A157,'2022_PAPI_Indicators'!A152:F332,6,FALSE)</f>
        <v>2.2002998739480972E-3</v>
      </c>
      <c r="I157" s="133">
        <f>VLOOKUP(A157,'2022_PAPI_Indicators'!A152:G332,7,FALSE)</f>
        <v>1.7987128347158432E-2</v>
      </c>
      <c r="J157" s="133">
        <f>VLOOKUP(A157,'2022_PAPI_Indicators'!A152:H332,8,FALSE)</f>
        <v>2.4641456082463264E-2</v>
      </c>
      <c r="K157" s="133">
        <f>VLOOKUP(A157,'2022_PAPI_Indicators'!A152:I332,9,FALSE)</f>
        <v>1.2902711518108845E-2</v>
      </c>
      <c r="L157" s="133">
        <f>VLOOKUP(A157,'2022_PAPI_Indicators'!A152:J332,10,FALSE)</f>
        <v>6.9310597609728575E-4</v>
      </c>
      <c r="M157" s="133">
        <f>VLOOKUP(A157,'2022_PAPI_Indicators'!A152:K332,11,FALSE)</f>
        <v>1.1300211772322655E-2</v>
      </c>
      <c r="N157" s="133">
        <f>VLOOKUP(A157,'2022_PAPI_Indicators'!A152:L332,12,FALSE)</f>
        <v>9.0960608795285225E-3</v>
      </c>
      <c r="O157" s="133">
        <f>VLOOKUP(A157,'2022_PAPI_Indicators'!A152:M332,13,FALSE)</f>
        <v>3.0615098774433136E-2</v>
      </c>
      <c r="P157" s="133">
        <f>VLOOKUP(A157,'2022_PAPI_Indicators'!A152:N332,14,FALSE)</f>
        <v>1.7835661768913269E-2</v>
      </c>
      <c r="Q157" s="133">
        <f>VLOOKUP(A157,'2022_PAPI_Indicators'!A152:O332,15,FALSE)</f>
        <v>4.2105332016944885E-2</v>
      </c>
      <c r="R157" s="135">
        <f>VLOOKUP(A157,'2022_PAPI_Indicators'!A152:P332,16,FALSE)</f>
        <v>1.8796332180500031E-2</v>
      </c>
      <c r="S157" s="133">
        <f>VLOOKUP(A157,'2022_PAPI_Indicators'!A152:R332,17,FALSE)</f>
        <v>2.2818943485617638E-2</v>
      </c>
      <c r="T157" s="133">
        <f>VLOOKUP(A157,'2022_PAPI_Indicators'!A152:S332,18,FALSE)</f>
        <v>4.3217670172452927E-2</v>
      </c>
      <c r="U157" s="135">
        <f>VLOOKUP(A157,'2022_PAPI_Indicators'!A152:T332,19,FALSE)</f>
        <v>0</v>
      </c>
      <c r="V157" s="133">
        <f>VLOOKUP(A157,'2022_PAPI_Indicators'!A152:U332,20,FALSE)</f>
        <v>1.608673669397831E-2</v>
      </c>
      <c r="W157" s="133">
        <f>VLOOKUP(A157,'2022_PAPI_Indicators'!A152:V332,21,FALSE)</f>
        <v>7.2341691702604294E-3</v>
      </c>
      <c r="X157" s="133">
        <f>VLOOKUP(A157,'2022_PAPI_Indicators'!A152:W332,22,FALSE)</f>
        <v>1.7907939851284027E-2</v>
      </c>
      <c r="Y157" s="133">
        <f>VLOOKUP(A157,'2022_PAPI_Indicators'!A152:X332,23,FALSE)</f>
        <v>9.0532153844833374E-3</v>
      </c>
      <c r="Z157" s="133">
        <f>VLOOKUP(A157,'2022_PAPI_Indicators'!A152:Y332,24,FALSE)</f>
        <v>6.7760865204036236E-3</v>
      </c>
      <c r="AA157" s="133">
        <f>VLOOKUP(A157,'2022_PAPI_Indicators'!A152:Z332,25,FALSE)</f>
        <v>2.2882213816046715E-2</v>
      </c>
      <c r="AB157" s="133">
        <f>VLOOKUP(A157,'2022_PAPI_Indicators'!A152:AA332,26,FALSE)</f>
        <v>0</v>
      </c>
      <c r="AC157" s="133">
        <f>VLOOKUP(A157,'2022_PAPI_Indicators'!A152:AB332,27,FALSE)</f>
        <v>2.4380495771765709E-2</v>
      </c>
      <c r="AD157" s="133">
        <f>VLOOKUP(A157,'2022_PAPI_Indicators'!A152:AC332,28,FALSE)</f>
        <v>1.5137198381125927E-2</v>
      </c>
      <c r="AE157" s="133">
        <f>VLOOKUP(A157,'2022_PAPI_Indicators'!A152:AD332,29,FALSE)</f>
        <v>2.310892753303051E-2</v>
      </c>
      <c r="AF157" s="133">
        <f>VLOOKUP(A157,'2022_PAPI_Indicators'!A152:AE332,30,FALSE)</f>
        <v>8.2068927586078644E-3</v>
      </c>
      <c r="AG157" s="133">
        <f>VLOOKUP(A157,'2022_PAPI_Indicators'!A152:AF332,31,FALSE)</f>
        <v>1.5625E-2</v>
      </c>
      <c r="AH157" s="133">
        <f>VLOOKUP(A157,'2022_PAPI_Indicators'!A152:AG332,32,FALSE)</f>
        <v>3.3633258193731308E-2</v>
      </c>
      <c r="AI157" s="133">
        <f>VLOOKUP(A157,'2022_PAPI_Indicators'!A152:AH332,33,FALSE)</f>
        <v>2.4674724787473679E-2</v>
      </c>
      <c r="AJ157" s="133">
        <f>VLOOKUP(A157,'2022_PAPI_Indicators'!A152:AI332,34,FALSE)</f>
        <v>2.1520216017961502E-2</v>
      </c>
      <c r="AK157" s="133">
        <f>VLOOKUP(A157,'2022_PAPI_Indicators'!A152:AJ332,35,FALSE)</f>
        <v>4.934382438659668E-2</v>
      </c>
      <c r="AL157" s="133">
        <f>VLOOKUP(A157,'2022_PAPI_Indicators'!A152:AK332,36,FALSE)</f>
        <v>1.5355856157839298E-2</v>
      </c>
      <c r="AM157" s="133">
        <f>VLOOKUP(A157,'2022_PAPI_Indicators'!A152:AL332,37,FALSE)</f>
        <v>1.5625E-2</v>
      </c>
      <c r="AN157" s="133">
        <f>VLOOKUP(A157,'2022_PAPI_Indicators'!A152:AM332,38,FALSE)</f>
        <v>3.1531117856502533E-2</v>
      </c>
      <c r="AO157" s="133">
        <f>VLOOKUP(A157,'2022_PAPI_Indicators'!A152:AN332,39,FALSE)</f>
        <v>3.4605544060468674E-2</v>
      </c>
      <c r="AP157" s="133">
        <f>VLOOKUP(A157,'2022_PAPI_Indicators'!A152:AO332,40,FALSE)</f>
        <v>1.5852082287892699E-3</v>
      </c>
      <c r="AQ157" s="133">
        <f>VLOOKUP(A157,'2022_PAPI_Indicators'!A152:AP332,41,FALSE)</f>
        <v>1.2372579425573349E-2</v>
      </c>
      <c r="AR157" s="133">
        <f>VLOOKUP(A157,'2022_PAPI_Indicators'!A152:AQ332,42,FALSE)</f>
        <v>3.9780393242835999E-2</v>
      </c>
      <c r="AS157" s="133">
        <f>VLOOKUP(A157,'2022_PAPI_Indicators'!A152:AR332,43,FALSE)</f>
        <v>1.7990624532103539E-2</v>
      </c>
      <c r="AT157" s="133">
        <f>VLOOKUP(A157,'2022_PAPI_Indicators'!A152:AS332,44,FALSE)</f>
        <v>1.4724093489348888E-2</v>
      </c>
      <c r="AU157" s="133">
        <f>VLOOKUP(A157,'2022_PAPI_Indicators'!A152:AT332,45,FALSE)</f>
        <v>1.1157223954796791E-2</v>
      </c>
      <c r="AV157" s="133">
        <f>VLOOKUP(A157,'2022_PAPI_Indicators'!A152:AU332,46,FALSE)</f>
        <v>3.3463872969150543E-2</v>
      </c>
      <c r="AW157" s="133">
        <f>VLOOKUP(A157,'2022_PAPI_Indicators'!A152:AV332,47,FALSE)</f>
        <v>1.4556010253727436E-2</v>
      </c>
      <c r="AX157" s="133">
        <f>VLOOKUP(A157,'2022_PAPI_Indicators'!A152:AW332,48,FALSE)</f>
        <v>1.2008177116513252E-2</v>
      </c>
      <c r="AY157" s="133">
        <f>VLOOKUP(A157,'2022_PAPI_Indicators'!A152:AX332,49,FALSE)</f>
        <v>1.5171653591096401E-2</v>
      </c>
      <c r="AZ157" s="133">
        <f>VLOOKUP(A157,'2022_PAPI_Indicators'!A152:AY332,50,FALSE)</f>
        <v>1.2111184187233448E-2</v>
      </c>
      <c r="BA157" s="133">
        <f>VLOOKUP(A157,'2022_PAPI_Indicators'!A152:AZ332,51,FALSE)</f>
        <v>6.1760498210787773E-3</v>
      </c>
      <c r="BB157" s="133">
        <f>VLOOKUP(A157,'2022_PAPI_Indicators'!A152:BA332,52,FALSE)</f>
        <v>7.71331787109375E-3</v>
      </c>
      <c r="BC157" s="133">
        <f>VLOOKUP(A157,'2022_PAPI_Indicators'!A152:BB332,53,FALSE)</f>
        <v>2.1289861761033535E-3</v>
      </c>
      <c r="BD157" s="133">
        <f>VLOOKUP(A157,'2022_PAPI_Indicators'!A152:BC332,54,FALSE)</f>
        <v>0</v>
      </c>
      <c r="BE157" s="133">
        <f>VLOOKUP(A157,'2022_PAPI_Indicators'!A152:BD332,55,FALSE)</f>
        <v>3.7161302752792835E-3</v>
      </c>
      <c r="BF157" s="133">
        <f>VLOOKUP(A157,'2022_PAPI_Indicators'!A152:BE332,56,FALSE)</f>
        <v>1.0089468210935593E-2</v>
      </c>
      <c r="BG157" s="133">
        <f>VLOOKUP(A157,'2022_PAPI_Indicators'!A152:BF332,57,FALSE)</f>
        <v>8.2369232550263405E-3</v>
      </c>
      <c r="BH157" s="133">
        <f>VLOOKUP(A157,'2022_PAPI_Indicators'!A152:BG332,58,FALSE)</f>
        <v>9.4057237729430199E-3</v>
      </c>
      <c r="BI157" s="133">
        <f>VLOOKUP(A157,'2022_PAPI_Indicators'!A152:BH332,59,FALSE)</f>
        <v>9.0740462765097618E-3</v>
      </c>
      <c r="BJ157" s="133">
        <f>VLOOKUP(A157,'2022_PAPI_Indicators'!A152:BI332,60,FALSE)</f>
        <v>5.4822354577481747E-3</v>
      </c>
      <c r="BK157" s="133">
        <f>VLOOKUP(A157,'2022_PAPI_Indicators'!A152:BJ332,61,FALSE)</f>
        <v>9.6468888223171234E-3</v>
      </c>
      <c r="BL157" s="133">
        <f>VLOOKUP(A157,'2022_PAPI_Indicators'!A152:BK332,62,FALSE)</f>
        <v>0</v>
      </c>
      <c r="BM157" s="133">
        <f>VLOOKUP(A157,'2022_PAPI_Indicators'!A152:BL332,63,FALSE)</f>
        <v>0</v>
      </c>
      <c r="BN157" s="133">
        <f>VLOOKUP(A157,'2022_PAPI_Indicators'!A152:BM332,64,FALSE)</f>
        <v>2.9408719390630722E-2</v>
      </c>
    </row>
    <row r="158" spans="1:66" s="112" customFormat="1" x14ac:dyDescent="0.2">
      <c r="A158" s="77" t="s">
        <v>399</v>
      </c>
      <c r="B158" s="77" t="s">
        <v>400</v>
      </c>
      <c r="C158" s="92" t="s">
        <v>449</v>
      </c>
      <c r="D158" s="131">
        <f>VLOOKUP(A158,'2022_PAPI_Indicators'!A153:B333,2,)</f>
        <v>2.6395814418792725</v>
      </c>
      <c r="E158" s="131">
        <f>VLOOKUP(A158,'2022_PAPI_Indicators'!A153:C333,3,FALSE)</f>
        <v>1.6458333730697632</v>
      </c>
      <c r="F158" s="131">
        <f>VLOOKUP(A158,'2022_PAPI_Indicators'!A153:D333,4,FALSE)</f>
        <v>1.4479870796203613</v>
      </c>
      <c r="G158" s="131">
        <f>VLOOKUP(A158,'2022_PAPI_Indicators'!A153:E333,5,FALSE)</f>
        <v>2.0337941646575928</v>
      </c>
      <c r="H158" s="131">
        <f>VLOOKUP(A158,'2022_PAPI_Indicators'!A153:F333,6,FALSE)</f>
        <v>2.2658908367156982</v>
      </c>
      <c r="I158" s="131">
        <f>VLOOKUP(A158,'2022_PAPI_Indicators'!A153:G333,7,FALSE)</f>
        <v>2.0108935832977295</v>
      </c>
      <c r="J158" s="131">
        <f>VLOOKUP(A158,'2022_PAPI_Indicators'!A153:H333,8,FALSE)</f>
        <v>1.5408519506454468</v>
      </c>
      <c r="K158" s="131">
        <f>VLOOKUP(A158,'2022_PAPI_Indicators'!A153:I333,9,FALSE)</f>
        <v>1.9819639921188354</v>
      </c>
      <c r="L158" s="131">
        <f>VLOOKUP(A158,'2022_PAPI_Indicators'!A153:J333,10,FALSE)</f>
        <v>1.5725866556167603</v>
      </c>
      <c r="M158" s="131">
        <f>VLOOKUP(A158,'2022_PAPI_Indicators'!A153:K333,11,FALSE)</f>
        <v>1.921222448348999</v>
      </c>
      <c r="N158" s="131">
        <f>VLOOKUP(A158,'2022_PAPI_Indicators'!A153:L333,12,FALSE)</f>
        <v>1.779934287071228</v>
      </c>
      <c r="O158" s="131">
        <f>VLOOKUP(A158,'2022_PAPI_Indicators'!A153:M333,13,FALSE)</f>
        <v>2.4301700592041016</v>
      </c>
      <c r="P158" s="131">
        <f>VLOOKUP(A158,'2022_PAPI_Indicators'!A153:N333,14,FALSE)</f>
        <v>2.1386880874633789</v>
      </c>
      <c r="Q158" s="131">
        <f>VLOOKUP(A158,'2022_PAPI_Indicators'!A153:O333,15,FALSE)</f>
        <v>2.7923846244812012</v>
      </c>
      <c r="R158" s="132">
        <f>VLOOKUP(A158,'2022_PAPI_Indicators'!A153:P333,16,FALSE)</f>
        <v>2.5570833683013916</v>
      </c>
      <c r="S158" s="131">
        <f>VLOOKUP(A158,'2022_PAPI_Indicators'!A153:R333,17,FALSE)</f>
        <v>2.4595158100128174</v>
      </c>
      <c r="T158" s="131">
        <f>VLOOKUP(A158,'2022_PAPI_Indicators'!A153:S333,18,FALSE)</f>
        <v>2.577883243560791</v>
      </c>
      <c r="U158" s="132">
        <f>VLOOKUP(A158,'2022_PAPI_Indicators'!A153:T333,19,FALSE)</f>
        <v>0</v>
      </c>
      <c r="V158" s="131">
        <f>VLOOKUP(A158,'2022_PAPI_Indicators'!A153:U333,20,FALSE)</f>
        <v>2.3609063625335693</v>
      </c>
      <c r="W158" s="131">
        <f>VLOOKUP(A158,'2022_PAPI_Indicators'!A153:V333,21,FALSE)</f>
        <v>2.2413907051086426</v>
      </c>
      <c r="X158" s="131">
        <f>VLOOKUP(A158,'2022_PAPI_Indicators'!A153:W333,22,FALSE)</f>
        <v>2.3913500308990479</v>
      </c>
      <c r="Y158" s="131">
        <f>VLOOKUP(A158,'2022_PAPI_Indicators'!A153:X333,23,FALSE)</f>
        <v>2.3462576866149902</v>
      </c>
      <c r="Z158" s="131">
        <f>VLOOKUP(A158,'2022_PAPI_Indicators'!A153:Y333,24,FALSE)</f>
        <v>2.2825703620910645</v>
      </c>
      <c r="AA158" s="131">
        <f>VLOOKUP(A158,'2022_PAPI_Indicators'!A153:Z333,25,FALSE)</f>
        <v>2.070887565612793</v>
      </c>
      <c r="AB158" s="131">
        <f>VLOOKUP(A158,'2022_PAPI_Indicators'!A153:AA333,26,FALSE)</f>
        <v>2.4080643653869629</v>
      </c>
      <c r="AC158" s="131">
        <f>VLOOKUP(A158,'2022_PAPI_Indicators'!A153:AB333,27,FALSE)</f>
        <v>2.2783057689666748</v>
      </c>
      <c r="AD158" s="131">
        <f>VLOOKUP(A158,'2022_PAPI_Indicators'!A153:AC333,28,FALSE)</f>
        <v>2.264761209487915</v>
      </c>
      <c r="AE158" s="131">
        <f>VLOOKUP(A158,'2022_PAPI_Indicators'!A153:AD333,29,FALSE)</f>
        <v>2.2484874725341797</v>
      </c>
      <c r="AF158" s="131">
        <f>VLOOKUP(A158,'2022_PAPI_Indicators'!A153:AE333,30,FALSE)</f>
        <v>1.8904908895492554</v>
      </c>
      <c r="AG158" s="131">
        <f>VLOOKUP(A158,'2022_PAPI_Indicators'!A153:AF333,31,FALSE)</f>
        <v>2.0267839431762695</v>
      </c>
      <c r="AH158" s="131">
        <f>VLOOKUP(A158,'2022_PAPI_Indicators'!A153:AG333,32,FALSE)</f>
        <v>2.2754406929016113</v>
      </c>
      <c r="AI158" s="131">
        <f>VLOOKUP(A158,'2022_PAPI_Indicators'!A153:AH333,33,FALSE)</f>
        <v>2.8426444530487061</v>
      </c>
      <c r="AJ158" s="131">
        <f>VLOOKUP(A158,'2022_PAPI_Indicators'!A153:AI333,34,FALSE)</f>
        <v>2.2320854663848877</v>
      </c>
      <c r="AK158" s="131">
        <f>VLOOKUP(A158,'2022_PAPI_Indicators'!A153:AJ333,35,FALSE)</f>
        <v>2.2468461990356445</v>
      </c>
      <c r="AL158" s="131">
        <f>VLOOKUP(A158,'2022_PAPI_Indicators'!A153:AK333,36,FALSE)</f>
        <v>2.0815322399139404</v>
      </c>
      <c r="AM158" s="131">
        <f>VLOOKUP(A158,'2022_PAPI_Indicators'!A153:AL333,37,FALSE)</f>
        <v>2.0206539630889893</v>
      </c>
      <c r="AN158" s="131">
        <f>VLOOKUP(A158,'2022_PAPI_Indicators'!A153:AM333,38,FALSE)</f>
        <v>2.5572843551635742</v>
      </c>
      <c r="AO158" s="131">
        <f>VLOOKUP(A158,'2022_PAPI_Indicators'!A153:AN333,39,FALSE)</f>
        <v>2.6763687133789063</v>
      </c>
      <c r="AP158" s="131">
        <f>VLOOKUP(A158,'2022_PAPI_Indicators'!A153:AO333,40,FALSE)</f>
        <v>2.4122307300567627</v>
      </c>
      <c r="AQ158" s="131">
        <f>VLOOKUP(A158,'2022_PAPI_Indicators'!A153:AP333,41,FALSE)</f>
        <v>1.8686060905456543</v>
      </c>
      <c r="AR158" s="131">
        <f>VLOOKUP(A158,'2022_PAPI_Indicators'!A153:AQ333,42,FALSE)</f>
        <v>2.0704848766326904</v>
      </c>
      <c r="AS158" s="131">
        <f>VLOOKUP(A158,'2022_PAPI_Indicators'!A153:AR333,43,FALSE)</f>
        <v>2.1283321380615234</v>
      </c>
      <c r="AT158" s="131">
        <f>VLOOKUP(A158,'2022_PAPI_Indicators'!A153:AS333,44,FALSE)</f>
        <v>2.2741315364837646</v>
      </c>
      <c r="AU158" s="131">
        <f>VLOOKUP(A158,'2022_PAPI_Indicators'!A153:AT333,45,FALSE)</f>
        <v>2.3055391311645508</v>
      </c>
      <c r="AV158" s="131">
        <f>VLOOKUP(A158,'2022_PAPI_Indicators'!A153:AU333,46,FALSE)</f>
        <v>2.4968223571777344</v>
      </c>
      <c r="AW158" s="131">
        <f>VLOOKUP(A158,'2022_PAPI_Indicators'!A153:AV333,47,FALSE)</f>
        <v>2.2494425773620605</v>
      </c>
      <c r="AX158" s="131">
        <f>VLOOKUP(A158,'2022_PAPI_Indicators'!A153:AW333,48,FALSE)</f>
        <v>2.8112072944641113</v>
      </c>
      <c r="AY158" s="131">
        <f>VLOOKUP(A158,'2022_PAPI_Indicators'!A153:AX333,49,FALSE)</f>
        <v>2.3881680965423584</v>
      </c>
      <c r="AZ158" s="131">
        <f>VLOOKUP(A158,'2022_PAPI_Indicators'!A153:AY333,50,FALSE)</f>
        <v>2.3843123912811279</v>
      </c>
      <c r="BA158" s="131">
        <f>VLOOKUP(A158,'2022_PAPI_Indicators'!A153:AZ333,51,FALSE)</f>
        <v>2.5142571926116943</v>
      </c>
      <c r="BB158" s="131">
        <f>VLOOKUP(A158,'2022_PAPI_Indicators'!A153:BA333,52,FALSE)</f>
        <v>2.0664463043212891</v>
      </c>
      <c r="BC158" s="131">
        <f>VLOOKUP(A158,'2022_PAPI_Indicators'!A153:BB333,53,FALSE)</f>
        <v>1.6112685203552246</v>
      </c>
      <c r="BD158" s="131">
        <f>VLOOKUP(A158,'2022_PAPI_Indicators'!A153:BC333,54,FALSE)</f>
        <v>1.9098865985870361</v>
      </c>
      <c r="BE158" s="131">
        <f>VLOOKUP(A158,'2022_PAPI_Indicators'!A153:BD333,55,FALSE)</f>
        <v>1.9414736032485962</v>
      </c>
      <c r="BF158" s="131">
        <f>VLOOKUP(A158,'2022_PAPI_Indicators'!A153:BE333,56,FALSE)</f>
        <v>2.1399979591369629</v>
      </c>
      <c r="BG158" s="131">
        <f>VLOOKUP(A158,'2022_PAPI_Indicators'!A153:BF333,57,FALSE)</f>
        <v>1.9419869184494019</v>
      </c>
      <c r="BH158" s="131">
        <f>VLOOKUP(A158,'2022_PAPI_Indicators'!A153:BG333,58,FALSE)</f>
        <v>1.8149951696395874</v>
      </c>
      <c r="BI158" s="131">
        <f>VLOOKUP(A158,'2022_PAPI_Indicators'!A153:BH333,59,FALSE)</f>
        <v>1.8120684623718262</v>
      </c>
      <c r="BJ158" s="131">
        <f>VLOOKUP(A158,'2022_PAPI_Indicators'!A153:BI333,60,FALSE)</f>
        <v>1.8748230934143066</v>
      </c>
      <c r="BK158" s="131">
        <f>VLOOKUP(A158,'2022_PAPI_Indicators'!A153:BJ333,61,FALSE)</f>
        <v>2.0382297039031982</v>
      </c>
      <c r="BL158" s="131">
        <f>VLOOKUP(A158,'2022_PAPI_Indicators'!A153:BK333,62,FALSE)</f>
        <v>2.1639297008514404</v>
      </c>
      <c r="BM158" s="131">
        <f>VLOOKUP(A158,'2022_PAPI_Indicators'!A153:BL333,63,FALSE)</f>
        <v>2.2387180328369141</v>
      </c>
      <c r="BN158" s="131">
        <f>VLOOKUP(A158,'2022_PAPI_Indicators'!A153:BM333,64,FALSE)</f>
        <v>2.2294983863830566</v>
      </c>
    </row>
    <row r="159" spans="1:66" x14ac:dyDescent="0.2">
      <c r="A159" s="70" t="s">
        <v>401</v>
      </c>
      <c r="B159" s="70" t="s">
        <v>402</v>
      </c>
      <c r="C159" s="89" t="s">
        <v>90</v>
      </c>
      <c r="D159" s="133">
        <f>VLOOKUP(A159,'2022_PAPI_Indicators'!A154:B334,2,)</f>
        <v>0.64955675601959229</v>
      </c>
      <c r="E159" s="133">
        <f>VLOOKUP(A159,'2022_PAPI_Indicators'!A154:C334,3,FALSE)</f>
        <v>0.39409255981445313</v>
      </c>
      <c r="F159" s="133">
        <f>VLOOKUP(A159,'2022_PAPI_Indicators'!A154:D334,4,FALSE)</f>
        <v>0.3491223156452179</v>
      </c>
      <c r="G159" s="133">
        <f>VLOOKUP(A159,'2022_PAPI_Indicators'!A154:E334,5,FALSE)</f>
        <v>0.57122588157653809</v>
      </c>
      <c r="H159" s="133">
        <f>VLOOKUP(A159,'2022_PAPI_Indicators'!A154:F334,6,FALSE)</f>
        <v>0.51925176382064819</v>
      </c>
      <c r="I159" s="133">
        <f>VLOOKUP(A159,'2022_PAPI_Indicators'!A154:G334,7,FALSE)</f>
        <v>0.56068319082260132</v>
      </c>
      <c r="J159" s="133">
        <f>VLOOKUP(A159,'2022_PAPI_Indicators'!A154:H334,8,FALSE)</f>
        <v>0.44854947924613953</v>
      </c>
      <c r="K159" s="133">
        <f>VLOOKUP(A159,'2022_PAPI_Indicators'!A154:I334,9,FALSE)</f>
        <v>0.55508202314376831</v>
      </c>
      <c r="L159" s="133">
        <f>VLOOKUP(A159,'2022_PAPI_Indicators'!A154:J334,10,FALSE)</f>
        <v>0.45189699530601501</v>
      </c>
      <c r="M159" s="133">
        <f>VLOOKUP(A159,'2022_PAPI_Indicators'!A154:K334,11,FALSE)</f>
        <v>0.49706625938415527</v>
      </c>
      <c r="N159" s="133">
        <f>VLOOKUP(A159,'2022_PAPI_Indicators'!A154:L334,12,FALSE)</f>
        <v>0.38610374927520752</v>
      </c>
      <c r="O159" s="133">
        <f>VLOOKUP(A159,'2022_PAPI_Indicators'!A154:M334,13,FALSE)</f>
        <v>0.56980496644973755</v>
      </c>
      <c r="P159" s="133">
        <f>VLOOKUP(A159,'2022_PAPI_Indicators'!A154:N334,14,FALSE)</f>
        <v>0.56076681613922119</v>
      </c>
      <c r="Q159" s="133">
        <f>VLOOKUP(A159,'2022_PAPI_Indicators'!A154:O334,15,FALSE)</f>
        <v>0.7473679780960083</v>
      </c>
      <c r="R159" s="135">
        <f>VLOOKUP(A159,'2022_PAPI_Indicators'!A154:P334,16,FALSE)</f>
        <v>0.69570893049240112</v>
      </c>
      <c r="S159" s="133">
        <f>VLOOKUP(A159,'2022_PAPI_Indicators'!A154:R334,17,FALSE)</f>
        <v>0.578125</v>
      </c>
      <c r="T159" s="133">
        <f>VLOOKUP(A159,'2022_PAPI_Indicators'!A154:S334,18,FALSE)</f>
        <v>0.62462538480758667</v>
      </c>
      <c r="U159" s="135">
        <f>VLOOKUP(A159,'2022_PAPI_Indicators'!A154:T334,19,FALSE)</f>
        <v>0</v>
      </c>
      <c r="V159" s="133">
        <f>VLOOKUP(A159,'2022_PAPI_Indicators'!A154:U334,20,FALSE)</f>
        <v>0.49614295363426208</v>
      </c>
      <c r="W159" s="133">
        <f>VLOOKUP(A159,'2022_PAPI_Indicators'!A154:V334,21,FALSE)</f>
        <v>0.50631558895111084</v>
      </c>
      <c r="X159" s="133">
        <f>VLOOKUP(A159,'2022_PAPI_Indicators'!A154:W334,22,FALSE)</f>
        <v>0.55390161275863647</v>
      </c>
      <c r="Y159" s="133">
        <f>VLOOKUP(A159,'2022_PAPI_Indicators'!A154:X334,23,FALSE)</f>
        <v>0.6014174222946167</v>
      </c>
      <c r="Z159" s="133">
        <f>VLOOKUP(A159,'2022_PAPI_Indicators'!A154:Y334,24,FALSE)</f>
        <v>0.5434422492980957</v>
      </c>
      <c r="AA159" s="133">
        <f>VLOOKUP(A159,'2022_PAPI_Indicators'!A154:Z334,25,FALSE)</f>
        <v>0.5049591064453125</v>
      </c>
      <c r="AB159" s="133">
        <f>VLOOKUP(A159,'2022_PAPI_Indicators'!A154:AA334,26,FALSE)</f>
        <v>0.59812247753143311</v>
      </c>
      <c r="AC159" s="133">
        <f>VLOOKUP(A159,'2022_PAPI_Indicators'!A154:AB334,27,FALSE)</f>
        <v>0.52255338430404663</v>
      </c>
      <c r="AD159" s="133">
        <f>VLOOKUP(A159,'2022_PAPI_Indicators'!A154:AC334,28,FALSE)</f>
        <v>0.57460451126098633</v>
      </c>
      <c r="AE159" s="133">
        <f>VLOOKUP(A159,'2022_PAPI_Indicators'!A154:AD334,29,FALSE)</f>
        <v>0.63748574256896973</v>
      </c>
      <c r="AF159" s="133">
        <f>VLOOKUP(A159,'2022_PAPI_Indicators'!A154:AE334,30,FALSE)</f>
        <v>0.4683975875377655</v>
      </c>
      <c r="AG159" s="133">
        <f>VLOOKUP(A159,'2022_PAPI_Indicators'!A154:AF334,31,FALSE)</f>
        <v>0.56811147928237915</v>
      </c>
      <c r="AH159" s="133">
        <f>VLOOKUP(A159,'2022_PAPI_Indicators'!A154:AG334,32,FALSE)</f>
        <v>0.61078763008117676</v>
      </c>
      <c r="AI159" s="133">
        <f>VLOOKUP(A159,'2022_PAPI_Indicators'!A154:AH334,33,FALSE)</f>
        <v>0.77926945686340332</v>
      </c>
      <c r="AJ159" s="133">
        <f>VLOOKUP(A159,'2022_PAPI_Indicators'!A154:AI334,34,FALSE)</f>
        <v>0.54297113418579102</v>
      </c>
      <c r="AK159" s="133">
        <f>VLOOKUP(A159,'2022_PAPI_Indicators'!A154:AJ334,35,FALSE)</f>
        <v>0.55892390012741089</v>
      </c>
      <c r="AL159" s="133">
        <f>VLOOKUP(A159,'2022_PAPI_Indicators'!A154:AK334,36,FALSE)</f>
        <v>0.53350663185119629</v>
      </c>
      <c r="AM159" s="133">
        <f>VLOOKUP(A159,'2022_PAPI_Indicators'!A154:AL334,37,FALSE)</f>
        <v>0.49418321251869202</v>
      </c>
      <c r="AN159" s="133">
        <f>VLOOKUP(A159,'2022_PAPI_Indicators'!A154:AM334,38,FALSE)</f>
        <v>0.69538050889968872</v>
      </c>
      <c r="AO159" s="133">
        <f>VLOOKUP(A159,'2022_PAPI_Indicators'!A154:AN334,39,FALSE)</f>
        <v>0.74611937999725342</v>
      </c>
      <c r="AP159" s="133">
        <f>VLOOKUP(A159,'2022_PAPI_Indicators'!A154:AO334,40,FALSE)</f>
        <v>0.60190314054489136</v>
      </c>
      <c r="AQ159" s="133">
        <f>VLOOKUP(A159,'2022_PAPI_Indicators'!A154:AP334,41,FALSE)</f>
        <v>0.52991211414337158</v>
      </c>
      <c r="AR159" s="133">
        <f>VLOOKUP(A159,'2022_PAPI_Indicators'!A154:AQ334,42,FALSE)</f>
        <v>0.546875</v>
      </c>
      <c r="AS159" s="133">
        <f>VLOOKUP(A159,'2022_PAPI_Indicators'!A154:AR334,43,FALSE)</f>
        <v>0.53112959861755371</v>
      </c>
      <c r="AT159" s="133">
        <f>VLOOKUP(A159,'2022_PAPI_Indicators'!A154:AS334,44,FALSE)</f>
        <v>0.61743456125259399</v>
      </c>
      <c r="AU159" s="133">
        <f>VLOOKUP(A159,'2022_PAPI_Indicators'!A154:AT334,45,FALSE)</f>
        <v>0.51103323698043823</v>
      </c>
      <c r="AV159" s="133">
        <f>VLOOKUP(A159,'2022_PAPI_Indicators'!A154:AU334,46,FALSE)</f>
        <v>0.60408985614776611</v>
      </c>
      <c r="AW159" s="133">
        <f>VLOOKUP(A159,'2022_PAPI_Indicators'!A154:AV334,47,FALSE)</f>
        <v>0.4921284019947052</v>
      </c>
      <c r="AX159" s="133">
        <f>VLOOKUP(A159,'2022_PAPI_Indicators'!A154:AW334,48,FALSE)</f>
        <v>0.72313934564590454</v>
      </c>
      <c r="AY159" s="133">
        <f>VLOOKUP(A159,'2022_PAPI_Indicators'!A154:AX334,49,FALSE)</f>
        <v>0.52471905946731567</v>
      </c>
      <c r="AZ159" s="133">
        <f>VLOOKUP(A159,'2022_PAPI_Indicators'!A154:AY334,50,FALSE)</f>
        <v>0.53675490617752075</v>
      </c>
      <c r="BA159" s="133">
        <f>VLOOKUP(A159,'2022_PAPI_Indicators'!A154:AZ334,51,FALSE)</f>
        <v>0.59706664085388184</v>
      </c>
      <c r="BB159" s="133">
        <f>VLOOKUP(A159,'2022_PAPI_Indicators'!A154:BA334,52,FALSE)</f>
        <v>0.42885798215866089</v>
      </c>
      <c r="BC159" s="133">
        <f>VLOOKUP(A159,'2022_PAPI_Indicators'!A154:BB334,53,FALSE)</f>
        <v>0.32398724555969238</v>
      </c>
      <c r="BD159" s="133">
        <f>VLOOKUP(A159,'2022_PAPI_Indicators'!A154:BC334,54,FALSE)</f>
        <v>0.32018643617630005</v>
      </c>
      <c r="BE159" s="133">
        <f>VLOOKUP(A159,'2022_PAPI_Indicators'!A154:BD334,55,FALSE)</f>
        <v>0.42277997732162476</v>
      </c>
      <c r="BF159" s="133">
        <f>VLOOKUP(A159,'2022_PAPI_Indicators'!A154:BE334,56,FALSE)</f>
        <v>0.52629488706588745</v>
      </c>
      <c r="BG159" s="133">
        <f>VLOOKUP(A159,'2022_PAPI_Indicators'!A154:BF334,57,FALSE)</f>
        <v>0.47274267673492432</v>
      </c>
      <c r="BH159" s="133">
        <f>VLOOKUP(A159,'2022_PAPI_Indicators'!A154:BG334,58,FALSE)</f>
        <v>0.38663351535797119</v>
      </c>
      <c r="BI159" s="133">
        <f>VLOOKUP(A159,'2022_PAPI_Indicators'!A154:BH334,59,FALSE)</f>
        <v>0.37416458129882813</v>
      </c>
      <c r="BJ159" s="133">
        <f>VLOOKUP(A159,'2022_PAPI_Indicators'!A154:BI334,60,FALSE)</f>
        <v>0.37656131386756897</v>
      </c>
      <c r="BK159" s="133">
        <f>VLOOKUP(A159,'2022_PAPI_Indicators'!A154:BJ334,61,FALSE)</f>
        <v>0.54742926359176636</v>
      </c>
      <c r="BL159" s="133">
        <f>VLOOKUP(A159,'2022_PAPI_Indicators'!A154:BK334,62,FALSE)</f>
        <v>0.51003634929656982</v>
      </c>
      <c r="BM159" s="133">
        <f>VLOOKUP(A159,'2022_PAPI_Indicators'!A154:BL334,63,FALSE)</f>
        <v>0.50388228893280029</v>
      </c>
      <c r="BN159" s="133">
        <f>VLOOKUP(A159,'2022_PAPI_Indicators'!A154:BM334,64,FALSE)</f>
        <v>0.53360748291015625</v>
      </c>
    </row>
    <row r="160" spans="1:66" x14ac:dyDescent="0.2">
      <c r="A160" s="70" t="s">
        <v>403</v>
      </c>
      <c r="B160" s="70" t="s">
        <v>404</v>
      </c>
      <c r="C160" s="89" t="s">
        <v>90</v>
      </c>
      <c r="D160" s="133">
        <f>VLOOKUP(A160,'2022_PAPI_Indicators'!A155:B335,2,)</f>
        <v>0.90571695566177368</v>
      </c>
      <c r="E160" s="133">
        <f>VLOOKUP(A160,'2022_PAPI_Indicators'!A155:C335,3,FALSE)</f>
        <v>0.49199050664901733</v>
      </c>
      <c r="F160" s="133">
        <f>VLOOKUP(A160,'2022_PAPI_Indicators'!A155:D335,4,FALSE)</f>
        <v>0.40373089909553528</v>
      </c>
      <c r="G160" s="133">
        <f>VLOOKUP(A160,'2022_PAPI_Indicators'!A155:E335,5,FALSE)</f>
        <v>0.57611030340194702</v>
      </c>
      <c r="H160" s="133">
        <f>VLOOKUP(A160,'2022_PAPI_Indicators'!A155:F335,6,FALSE)</f>
        <v>0.78437840938568115</v>
      </c>
      <c r="I160" s="133">
        <f>VLOOKUP(A160,'2022_PAPI_Indicators'!A155:G335,7,FALSE)</f>
        <v>0.5712316632270813</v>
      </c>
      <c r="J160" s="133">
        <f>VLOOKUP(A160,'2022_PAPI_Indicators'!A155:H335,8,FALSE)</f>
        <v>0.36683905124664307</v>
      </c>
      <c r="K160" s="133">
        <f>VLOOKUP(A160,'2022_PAPI_Indicators'!A155:I335,9,FALSE)</f>
        <v>0.55735164880752563</v>
      </c>
      <c r="L160" s="133">
        <f>VLOOKUP(A160,'2022_PAPI_Indicators'!A155:J335,10,FALSE)</f>
        <v>0.38486170768737793</v>
      </c>
      <c r="M160" s="133">
        <f>VLOOKUP(A160,'2022_PAPI_Indicators'!A155:K335,11,FALSE)</f>
        <v>0.57446402311325073</v>
      </c>
      <c r="N160" s="133">
        <f>VLOOKUP(A160,'2022_PAPI_Indicators'!A155:L335,12,FALSE)</f>
        <v>0.59028297662734985</v>
      </c>
      <c r="O160" s="133">
        <f>VLOOKUP(A160,'2022_PAPI_Indicators'!A155:M335,13,FALSE)</f>
        <v>0.84445089101791382</v>
      </c>
      <c r="P160" s="133">
        <f>VLOOKUP(A160,'2022_PAPI_Indicators'!A155:N335,14,FALSE)</f>
        <v>0.65720498561859131</v>
      </c>
      <c r="Q160" s="133">
        <f>VLOOKUP(A160,'2022_PAPI_Indicators'!A155:O335,15,FALSE)</f>
        <v>0.91080343723297119</v>
      </c>
      <c r="R160" s="135">
        <f>VLOOKUP(A160,'2022_PAPI_Indicators'!A155:P335,16,FALSE)</f>
        <v>0.80401051044464111</v>
      </c>
      <c r="S160" s="133">
        <f>VLOOKUP(A160,'2022_PAPI_Indicators'!A155:R335,17,FALSE)</f>
        <v>0.85589241981506348</v>
      </c>
      <c r="T160" s="133">
        <f>VLOOKUP(A160,'2022_PAPI_Indicators'!A155:S335,18,FALSE)</f>
        <v>0.88910067081451416</v>
      </c>
      <c r="U160" s="135">
        <f>VLOOKUP(A160,'2022_PAPI_Indicators'!A155:T335,19,FALSE)</f>
        <v>0</v>
      </c>
      <c r="V160" s="133">
        <f>VLOOKUP(A160,'2022_PAPI_Indicators'!A155:U335,20,FALSE)</f>
        <v>0.87147074937820435</v>
      </c>
      <c r="W160" s="133">
        <f>VLOOKUP(A160,'2022_PAPI_Indicators'!A155:V335,21,FALSE)</f>
        <v>0.78081613779067993</v>
      </c>
      <c r="X160" s="133">
        <f>VLOOKUP(A160,'2022_PAPI_Indicators'!A155:W335,22,FALSE)</f>
        <v>0.83421283960342407</v>
      </c>
      <c r="Y160" s="133">
        <f>VLOOKUP(A160,'2022_PAPI_Indicators'!A155:X335,23,FALSE)</f>
        <v>0.7563319206237793</v>
      </c>
      <c r="Z160" s="133">
        <f>VLOOKUP(A160,'2022_PAPI_Indicators'!A155:Y335,24,FALSE)</f>
        <v>0.77142000198364258</v>
      </c>
      <c r="AA160" s="133">
        <f>VLOOKUP(A160,'2022_PAPI_Indicators'!A155:Z335,25,FALSE)</f>
        <v>0.66735571622848511</v>
      </c>
      <c r="AB160" s="133">
        <f>VLOOKUP(A160,'2022_PAPI_Indicators'!A155:AA335,26,FALSE)</f>
        <v>0.80124747753143311</v>
      </c>
      <c r="AC160" s="133">
        <f>VLOOKUP(A160,'2022_PAPI_Indicators'!A155:AB335,27,FALSE)</f>
        <v>0.78943705558776855</v>
      </c>
      <c r="AD160" s="133">
        <f>VLOOKUP(A160,'2022_PAPI_Indicators'!A155:AC335,28,FALSE)</f>
        <v>0.72826498746871948</v>
      </c>
      <c r="AE160" s="133">
        <f>VLOOKUP(A160,'2022_PAPI_Indicators'!A155:AD335,29,FALSE)</f>
        <v>0.65442508459091187</v>
      </c>
      <c r="AF160" s="133">
        <f>VLOOKUP(A160,'2022_PAPI_Indicators'!A155:AE335,30,FALSE)</f>
        <v>0.58243805170059204</v>
      </c>
      <c r="AG160" s="133">
        <f>VLOOKUP(A160,'2022_PAPI_Indicators'!A155:AF335,31,FALSE)</f>
        <v>0.57450389862060547</v>
      </c>
      <c r="AH160" s="133">
        <f>VLOOKUP(A160,'2022_PAPI_Indicators'!A155:AG335,32,FALSE)</f>
        <v>0.69927340745925903</v>
      </c>
      <c r="AI160" s="133">
        <f>VLOOKUP(A160,'2022_PAPI_Indicators'!A155:AH335,33,FALSE)</f>
        <v>0.91274696588516235</v>
      </c>
      <c r="AJ160" s="133">
        <f>VLOOKUP(A160,'2022_PAPI_Indicators'!A155:AI335,34,FALSE)</f>
        <v>0.73789453506469727</v>
      </c>
      <c r="AK160" s="133">
        <f>VLOOKUP(A160,'2022_PAPI_Indicators'!A155:AJ335,35,FALSE)</f>
        <v>0.73188161849975586</v>
      </c>
      <c r="AL160" s="133">
        <f>VLOOKUP(A160,'2022_PAPI_Indicators'!A155:AK335,36,FALSE)</f>
        <v>0.64597642421722412</v>
      </c>
      <c r="AM160" s="133">
        <f>VLOOKUP(A160,'2022_PAPI_Indicators'!A155:AL335,37,FALSE)</f>
        <v>0.64430427551269531</v>
      </c>
      <c r="AN160" s="133">
        <f>VLOOKUP(A160,'2022_PAPI_Indicators'!A155:AM335,38,FALSE)</f>
        <v>0.8044743537902832</v>
      </c>
      <c r="AO160" s="133">
        <f>VLOOKUP(A160,'2022_PAPI_Indicators'!A155:AN335,39,FALSE)</f>
        <v>0.83392679691314697</v>
      </c>
      <c r="AP160" s="133">
        <f>VLOOKUP(A160,'2022_PAPI_Indicators'!A155:AO335,40,FALSE)</f>
        <v>0.80027252435684204</v>
      </c>
      <c r="AQ160" s="133">
        <f>VLOOKUP(A160,'2022_PAPI_Indicators'!A155:AP335,41,FALSE)</f>
        <v>0.50618630647659302</v>
      </c>
      <c r="AR160" s="133">
        <f>VLOOKUP(A160,'2022_PAPI_Indicators'!A155:AQ335,42,FALSE)</f>
        <v>0.62516868114471436</v>
      </c>
      <c r="AS160" s="133">
        <f>VLOOKUP(A160,'2022_PAPI_Indicators'!A155:AR335,43,FALSE)</f>
        <v>0.67986851930618286</v>
      </c>
      <c r="AT160" s="133">
        <f>VLOOKUP(A160,'2022_PAPI_Indicators'!A155:AS335,44,FALSE)</f>
        <v>0.69174498319625854</v>
      </c>
      <c r="AU160" s="133">
        <f>VLOOKUP(A160,'2022_PAPI_Indicators'!A155:AT335,45,FALSE)</f>
        <v>0.81929606199264526</v>
      </c>
      <c r="AV160" s="133">
        <f>VLOOKUP(A160,'2022_PAPI_Indicators'!A155:AU335,46,FALSE)</f>
        <v>0.85504984855651855</v>
      </c>
      <c r="AW160" s="133">
        <f>VLOOKUP(A160,'2022_PAPI_Indicators'!A155:AV335,47,FALSE)</f>
        <v>0.80042552947998047</v>
      </c>
      <c r="AX160" s="133">
        <f>VLOOKUP(A160,'2022_PAPI_Indicators'!A155:AW335,48,FALSE)</f>
        <v>0.94770729541778564</v>
      </c>
      <c r="AY160" s="133">
        <f>VLOOKUP(A160,'2022_PAPI_Indicators'!A155:AX335,49,FALSE)</f>
        <v>0.86125272512435913</v>
      </c>
      <c r="AZ160" s="133">
        <f>VLOOKUP(A160,'2022_PAPI_Indicators'!A155:AY335,50,FALSE)</f>
        <v>0.84662038087844849</v>
      </c>
      <c r="BA160" s="133">
        <f>VLOOKUP(A160,'2022_PAPI_Indicators'!A155:AZ335,51,FALSE)</f>
        <v>0.8738136887550354</v>
      </c>
      <c r="BB160" s="133">
        <f>VLOOKUP(A160,'2022_PAPI_Indicators'!A155:BA335,52,FALSE)</f>
        <v>0.74046611785888672</v>
      </c>
      <c r="BC160" s="133">
        <f>VLOOKUP(A160,'2022_PAPI_Indicators'!A155:BB335,53,FALSE)</f>
        <v>0.53881984949111938</v>
      </c>
      <c r="BD160" s="133">
        <f>VLOOKUP(A160,'2022_PAPI_Indicators'!A155:BC335,54,FALSE)</f>
        <v>0.7437102198600769</v>
      </c>
      <c r="BE160" s="133">
        <f>VLOOKUP(A160,'2022_PAPI_Indicators'!A155:BD335,55,FALSE)</f>
        <v>0.6623874306678772</v>
      </c>
      <c r="BF160" s="133">
        <f>VLOOKUP(A160,'2022_PAPI_Indicators'!A155:BE335,56,FALSE)</f>
        <v>0.6925588846206665</v>
      </c>
      <c r="BG160" s="133">
        <f>VLOOKUP(A160,'2022_PAPI_Indicators'!A155:BF335,57,FALSE)</f>
        <v>0.61277037858963013</v>
      </c>
      <c r="BH160" s="133">
        <f>VLOOKUP(A160,'2022_PAPI_Indicators'!A155:BG335,58,FALSE)</f>
        <v>0.61336320638656616</v>
      </c>
      <c r="BI160" s="133">
        <f>VLOOKUP(A160,'2022_PAPI_Indicators'!A155:BH335,59,FALSE)</f>
        <v>0.62386131286621094</v>
      </c>
      <c r="BJ160" s="133">
        <f>VLOOKUP(A160,'2022_PAPI_Indicators'!A155:BI335,60,FALSE)</f>
        <v>0.66372352838516235</v>
      </c>
      <c r="BK160" s="133">
        <f>VLOOKUP(A160,'2022_PAPI_Indicators'!A155:BJ335,61,FALSE)</f>
        <v>0.60289382934570313</v>
      </c>
      <c r="BL160" s="133">
        <f>VLOOKUP(A160,'2022_PAPI_Indicators'!A155:BK335,62,FALSE)</f>
        <v>0.7249332070350647</v>
      </c>
      <c r="BM160" s="133">
        <f>VLOOKUP(A160,'2022_PAPI_Indicators'!A155:BL335,63,FALSE)</f>
        <v>0.78144961595535278</v>
      </c>
      <c r="BN160" s="133">
        <f>VLOOKUP(A160,'2022_PAPI_Indicators'!A155:BM335,64,FALSE)</f>
        <v>0.74551606178283691</v>
      </c>
    </row>
    <row r="161" spans="1:66" s="112" customFormat="1" x14ac:dyDescent="0.2">
      <c r="A161" s="77" t="s">
        <v>439</v>
      </c>
      <c r="B161" s="77" t="s">
        <v>430</v>
      </c>
      <c r="C161" s="92" t="s">
        <v>449</v>
      </c>
      <c r="D161" s="131">
        <f>VLOOKUP(A161,'2022_PAPI_Indicators'!A156:B336,2,)</f>
        <v>0.51888805627822876</v>
      </c>
      <c r="E161" s="131">
        <f>VLOOKUP(A161,'2022_PAPI_Indicators'!A156:C336,3,FALSE)</f>
        <v>0.51704519987106323</v>
      </c>
      <c r="F161" s="131">
        <f>VLOOKUP(A161,'2022_PAPI_Indicators'!A156:D336,4,FALSE)</f>
        <v>0.3561374843120575</v>
      </c>
      <c r="G161" s="131">
        <f>VLOOKUP(A161,'2022_PAPI_Indicators'!A156:E336,5,FALSE)</f>
        <v>0.36282446980476379</v>
      </c>
      <c r="H161" s="131">
        <f>VLOOKUP(A161,'2022_PAPI_Indicators'!A156:F336,6,FALSE)</f>
        <v>0.42659404873847961</v>
      </c>
      <c r="I161" s="131">
        <f>VLOOKUP(A161,'2022_PAPI_Indicators'!A156:G336,7,FALSE)</f>
        <v>0.42908453941345215</v>
      </c>
      <c r="J161" s="131">
        <f>VLOOKUP(A161,'2022_PAPI_Indicators'!A156:H336,8,FALSE)</f>
        <v>0.49235880374908447</v>
      </c>
      <c r="K161" s="131">
        <f>VLOOKUP(A161,'2022_PAPI_Indicators'!A156:I336,9,FALSE)</f>
        <v>0.4901469349861145</v>
      </c>
      <c r="L161" s="131">
        <f>VLOOKUP(A161,'2022_PAPI_Indicators'!A156:J336,10,FALSE)</f>
        <v>0.38305222988128662</v>
      </c>
      <c r="M161" s="131">
        <f>VLOOKUP(A161,'2022_PAPI_Indicators'!A156:K336,11,FALSE)</f>
        <v>0.4460044801235199</v>
      </c>
      <c r="N161" s="131">
        <f>VLOOKUP(A161,'2022_PAPI_Indicators'!A156:L336,12,FALSE)</f>
        <v>0.38577690720558167</v>
      </c>
      <c r="O161" s="131">
        <f>VLOOKUP(A161,'2022_PAPI_Indicators'!A156:M336,13,FALSE)</f>
        <v>0.41137281060218811</v>
      </c>
      <c r="P161" s="131">
        <f>VLOOKUP(A161,'2022_PAPI_Indicators'!A156:N336,14,FALSE)</f>
        <v>0.39093661308288574</v>
      </c>
      <c r="Q161" s="131">
        <f>VLOOKUP(A161,'2022_PAPI_Indicators'!A156:O336,15,FALSE)</f>
        <v>0.38784655928611755</v>
      </c>
      <c r="R161" s="132">
        <f>VLOOKUP(A161,'2022_PAPI_Indicators'!A156:P336,16,FALSE)</f>
        <v>0.40326148271560669</v>
      </c>
      <c r="S161" s="131">
        <f>VLOOKUP(A161,'2022_PAPI_Indicators'!A156:R336,17,FALSE)</f>
        <v>0.39887496829032898</v>
      </c>
      <c r="T161" s="131">
        <f>VLOOKUP(A161,'2022_PAPI_Indicators'!A156:S336,18,FALSE)</f>
        <v>0.44021680951118469</v>
      </c>
      <c r="U161" s="132">
        <f>VLOOKUP(A161,'2022_PAPI_Indicators'!A156:T336,19,FALSE)</f>
        <v>0</v>
      </c>
      <c r="V161" s="131">
        <f>VLOOKUP(A161,'2022_PAPI_Indicators'!A156:U336,20,FALSE)</f>
        <v>0.36126250028610229</v>
      </c>
      <c r="W161" s="131">
        <f>VLOOKUP(A161,'2022_PAPI_Indicators'!A156:V336,21,FALSE)</f>
        <v>0.4014008641242981</v>
      </c>
      <c r="X161" s="131">
        <f>VLOOKUP(A161,'2022_PAPI_Indicators'!A156:W336,22,FALSE)</f>
        <v>0.45256561040878296</v>
      </c>
      <c r="Y161" s="131">
        <f>VLOOKUP(A161,'2022_PAPI_Indicators'!A156:X336,23,FALSE)</f>
        <v>0.40207517147064209</v>
      </c>
      <c r="Z161" s="131">
        <f>VLOOKUP(A161,'2022_PAPI_Indicators'!A156:Y336,24,FALSE)</f>
        <v>0.37937742471694946</v>
      </c>
      <c r="AA161" s="131">
        <f>VLOOKUP(A161,'2022_PAPI_Indicators'!A156:Z336,25,FALSE)</f>
        <v>0.40946069359779358</v>
      </c>
      <c r="AB161" s="131">
        <f>VLOOKUP(A161,'2022_PAPI_Indicators'!A156:AA336,26,FALSE)</f>
        <v>0.3875405490398407</v>
      </c>
      <c r="AC161" s="131">
        <f>VLOOKUP(A161,'2022_PAPI_Indicators'!A156:AB336,27,FALSE)</f>
        <v>0.38053858280181885</v>
      </c>
      <c r="AD161" s="131">
        <f>VLOOKUP(A161,'2022_PAPI_Indicators'!A156:AC336,28,FALSE)</f>
        <v>0.39729949831962585</v>
      </c>
      <c r="AE161" s="131">
        <f>VLOOKUP(A161,'2022_PAPI_Indicators'!A156:AD336,29,FALSE)</f>
        <v>0.42991286516189575</v>
      </c>
      <c r="AF161" s="131">
        <f>VLOOKUP(A161,'2022_PAPI_Indicators'!A156:AE336,30,FALSE)</f>
        <v>0.43893566727638245</v>
      </c>
      <c r="AG161" s="131">
        <f>VLOOKUP(A161,'2022_PAPI_Indicators'!A156:AF336,31,FALSE)</f>
        <v>0.56115752458572388</v>
      </c>
      <c r="AH161" s="131">
        <f>VLOOKUP(A161,'2022_PAPI_Indicators'!A156:AG336,32,FALSE)</f>
        <v>0.36480775475502014</v>
      </c>
      <c r="AI161" s="131">
        <f>VLOOKUP(A161,'2022_PAPI_Indicators'!A156:AH336,33,FALSE)</f>
        <v>0.39743217825889587</v>
      </c>
      <c r="AJ161" s="131">
        <f>VLOOKUP(A161,'2022_PAPI_Indicators'!A156:AI336,34,FALSE)</f>
        <v>0.38148021697998047</v>
      </c>
      <c r="AK161" s="131">
        <f>VLOOKUP(A161,'2022_PAPI_Indicators'!A156:AJ336,35,FALSE)</f>
        <v>0.47702658176422119</v>
      </c>
      <c r="AL161" s="131">
        <f>VLOOKUP(A161,'2022_PAPI_Indicators'!A156:AK336,36,FALSE)</f>
        <v>0.37517091631889343</v>
      </c>
      <c r="AM161" s="131">
        <f>VLOOKUP(A161,'2022_PAPI_Indicators'!A156:AL336,37,FALSE)</f>
        <v>0.397544264793396</v>
      </c>
      <c r="AN161" s="131">
        <f>VLOOKUP(A161,'2022_PAPI_Indicators'!A156:AM336,38,FALSE)</f>
        <v>0.47490623593330383</v>
      </c>
      <c r="AO161" s="131">
        <f>VLOOKUP(A161,'2022_PAPI_Indicators'!A156:AN336,39,FALSE)</f>
        <v>0.41590654850006104</v>
      </c>
      <c r="AP161" s="131">
        <f>VLOOKUP(A161,'2022_PAPI_Indicators'!A156:AO336,40,FALSE)</f>
        <v>0.41160082817077637</v>
      </c>
      <c r="AQ161" s="131">
        <f>VLOOKUP(A161,'2022_PAPI_Indicators'!A156:AP336,41,FALSE)</f>
        <v>0.37119197845458984</v>
      </c>
      <c r="AR161" s="131">
        <f>VLOOKUP(A161,'2022_PAPI_Indicators'!A156:AQ336,42,FALSE)</f>
        <v>0.37665277719497681</v>
      </c>
      <c r="AS161" s="131">
        <f>VLOOKUP(A161,'2022_PAPI_Indicators'!A156:AR336,43,FALSE)</f>
        <v>0.37326890230178833</v>
      </c>
      <c r="AT161" s="131">
        <f>VLOOKUP(A161,'2022_PAPI_Indicators'!A156:AS336,44,FALSE)</f>
        <v>0.40145799517631531</v>
      </c>
      <c r="AU161" s="131">
        <f>VLOOKUP(A161,'2022_PAPI_Indicators'!A156:AT336,45,FALSE)</f>
        <v>0.40541940927505493</v>
      </c>
      <c r="AV161" s="131">
        <f>VLOOKUP(A161,'2022_PAPI_Indicators'!A156:AU336,46,FALSE)</f>
        <v>0.49466913938522339</v>
      </c>
      <c r="AW161" s="131">
        <f>VLOOKUP(A161,'2022_PAPI_Indicators'!A156:AV336,47,FALSE)</f>
        <v>0.47374817728996277</v>
      </c>
      <c r="AX161" s="131">
        <f>VLOOKUP(A161,'2022_PAPI_Indicators'!A156:AW336,48,FALSE)</f>
        <v>0.38921734690666199</v>
      </c>
      <c r="AY161" s="131">
        <f>VLOOKUP(A161,'2022_PAPI_Indicators'!A156:AX336,49,FALSE)</f>
        <v>0.3781985342502594</v>
      </c>
      <c r="AZ161" s="131">
        <f>VLOOKUP(A161,'2022_PAPI_Indicators'!A156:AY336,50,FALSE)</f>
        <v>0.35722306370735168</v>
      </c>
      <c r="BA161" s="131">
        <f>VLOOKUP(A161,'2022_PAPI_Indicators'!A156:AZ336,51,FALSE)</f>
        <v>0.38990801572799683</v>
      </c>
      <c r="BB161" s="131">
        <f>VLOOKUP(A161,'2022_PAPI_Indicators'!A156:BA336,52,FALSE)</f>
        <v>0.37881442904472351</v>
      </c>
      <c r="BC161" s="131">
        <f>VLOOKUP(A161,'2022_PAPI_Indicators'!A156:BB336,53,FALSE)</f>
        <v>0.34039971232414246</v>
      </c>
      <c r="BD161" s="131">
        <f>VLOOKUP(A161,'2022_PAPI_Indicators'!A156:BC336,54,FALSE)</f>
        <v>0.39037218689918518</v>
      </c>
      <c r="BE161" s="131">
        <f>VLOOKUP(A161,'2022_PAPI_Indicators'!A156:BD336,55,FALSE)</f>
        <v>0.3646179735660553</v>
      </c>
      <c r="BF161" s="131">
        <f>VLOOKUP(A161,'2022_PAPI_Indicators'!A156:BE336,56,FALSE)</f>
        <v>0.3817773163318634</v>
      </c>
      <c r="BG161" s="131">
        <f>VLOOKUP(A161,'2022_PAPI_Indicators'!A156:BF336,57,FALSE)</f>
        <v>0.4159354567527771</v>
      </c>
      <c r="BH161" s="131">
        <f>VLOOKUP(A161,'2022_PAPI_Indicators'!A156:BG336,58,FALSE)</f>
        <v>0.40096276998519897</v>
      </c>
      <c r="BI161" s="131">
        <f>VLOOKUP(A161,'2022_PAPI_Indicators'!A156:BH336,59,FALSE)</f>
        <v>0.42083457112312317</v>
      </c>
      <c r="BJ161" s="131">
        <f>VLOOKUP(A161,'2022_PAPI_Indicators'!A156:BI336,60,FALSE)</f>
        <v>0.37606692314147949</v>
      </c>
      <c r="BK161" s="131">
        <f>VLOOKUP(A161,'2022_PAPI_Indicators'!A156:BJ336,61,FALSE)</f>
        <v>0.47415181994438171</v>
      </c>
      <c r="BL161" s="131">
        <f>VLOOKUP(A161,'2022_PAPI_Indicators'!A156:BK336,62,FALSE)</f>
        <v>0.44550874829292297</v>
      </c>
      <c r="BM161" s="131">
        <f>VLOOKUP(A161,'2022_PAPI_Indicators'!A156:BL336,63,FALSE)</f>
        <v>0.41754356026649475</v>
      </c>
      <c r="BN161" s="131">
        <f>VLOOKUP(A161,'2022_PAPI_Indicators'!A156:BM336,64,FALSE)</f>
        <v>0.40505442023277283</v>
      </c>
    </row>
    <row r="162" spans="1:66" x14ac:dyDescent="0.2">
      <c r="A162" s="70" t="s">
        <v>407</v>
      </c>
      <c r="B162" s="70" t="s">
        <v>408</v>
      </c>
      <c r="C162" s="89" t="s">
        <v>90</v>
      </c>
      <c r="D162" s="133">
        <f>VLOOKUP(A162,'2022_PAPI_Indicators'!A157:B337,2,)</f>
        <v>6.150633841753006E-2</v>
      </c>
      <c r="E162" s="133">
        <f>VLOOKUP(A162,'2022_PAPI_Indicators'!A157:C337,3,FALSE)</f>
        <v>6.0893282294273376E-2</v>
      </c>
      <c r="F162" s="133">
        <f>VLOOKUP(A162,'2022_PAPI_Indicators'!A157:D337,4,FALSE)</f>
        <v>7.3644313961267471E-3</v>
      </c>
      <c r="G162" s="133">
        <f>VLOOKUP(A162,'2022_PAPI_Indicators'!A157:E337,5,FALSE)</f>
        <v>9.5889829099178314E-3</v>
      </c>
      <c r="H162" s="133">
        <f>VLOOKUP(A162,'2022_PAPI_Indicators'!A157:F337,6,FALSE)</f>
        <v>3.0803080648183823E-2</v>
      </c>
      <c r="I162" s="133">
        <f>VLOOKUP(A162,'2022_PAPI_Indicators'!A157:G337,7,FALSE)</f>
        <v>3.1631585210561752E-2</v>
      </c>
      <c r="J162" s="133">
        <f>VLOOKUP(A162,'2022_PAPI_Indicators'!A157:H337,8,FALSE)</f>
        <v>5.2680905908346176E-2</v>
      </c>
      <c r="K162" s="133">
        <f>VLOOKUP(A162,'2022_PAPI_Indicators'!A157:I337,9,FALSE)</f>
        <v>5.1945090293884277E-2</v>
      </c>
      <c r="L162" s="133">
        <f>VLOOKUP(A162,'2022_PAPI_Indicators'!A157:J337,10,FALSE)</f>
        <v>1.6318105161190033E-2</v>
      </c>
      <c r="M162" s="133">
        <f>VLOOKUP(A162,'2022_PAPI_Indicators'!A157:K337,11,FALSE)</f>
        <v>3.7260308861732483E-2</v>
      </c>
      <c r="N162" s="133">
        <f>VLOOKUP(A162,'2022_PAPI_Indicators'!A157:L337,12,FALSE)</f>
        <v>1.7224526032805443E-2</v>
      </c>
      <c r="O162" s="133">
        <f>VLOOKUP(A162,'2022_PAPI_Indicators'!A157:M337,13,FALSE)</f>
        <v>2.5739457458257675E-2</v>
      </c>
      <c r="P162" s="133">
        <f>VLOOKUP(A162,'2022_PAPI_Indicators'!A157:N337,14,FALSE)</f>
        <v>1.8940994516015053E-2</v>
      </c>
      <c r="Q162" s="133">
        <f>VLOOKUP(A162,'2022_PAPI_Indicators'!A157:O337,15,FALSE)</f>
        <v>1.7913030460476875E-2</v>
      </c>
      <c r="R162" s="135">
        <f>VLOOKUP(A162,'2022_PAPI_Indicators'!A157:P337,16,FALSE)</f>
        <v>2.3041082546114922E-2</v>
      </c>
      <c r="S162" s="133">
        <f>VLOOKUP(A162,'2022_PAPI_Indicators'!A157:R337,17,FALSE)</f>
        <v>2.1581828594207764E-2</v>
      </c>
      <c r="T162" s="133">
        <f>VLOOKUP(A162,'2022_PAPI_Indicators'!A157:S337,18,FALSE)</f>
        <v>3.5334933549165726E-2</v>
      </c>
      <c r="U162" s="135">
        <f>VLOOKUP(A162,'2022_PAPI_Indicators'!A157:T337,19,FALSE)</f>
        <v>0</v>
      </c>
      <c r="V162" s="133">
        <f>VLOOKUP(A162,'2022_PAPI_Indicators'!A157:U337,20,FALSE)</f>
        <v>9.0693682432174683E-3</v>
      </c>
      <c r="W162" s="133">
        <f>VLOOKUP(A162,'2022_PAPI_Indicators'!A157:V337,21,FALSE)</f>
        <v>2.242211252450943E-2</v>
      </c>
      <c r="X162" s="133">
        <f>VLOOKUP(A162,'2022_PAPI_Indicators'!A157:W337,22,FALSE)</f>
        <v>3.9442989975214005E-2</v>
      </c>
      <c r="Y162" s="133">
        <f>VLOOKUP(A162,'2022_PAPI_Indicators'!A157:X337,23,FALSE)</f>
        <v>2.2646430879831314E-2</v>
      </c>
      <c r="Z162" s="133">
        <f>VLOOKUP(A162,'2022_PAPI_Indicators'!A157:Y337,24,FALSE)</f>
        <v>1.5095618553459644E-2</v>
      </c>
      <c r="AA162" s="133">
        <f>VLOOKUP(A162,'2022_PAPI_Indicators'!A157:Z337,25,FALSE)</f>
        <v>2.5103360414505005E-2</v>
      </c>
      <c r="AB162" s="133">
        <f>VLOOKUP(A162,'2022_PAPI_Indicators'!A157:AA337,26,FALSE)</f>
        <v>1.7811231315135956E-2</v>
      </c>
      <c r="AC162" s="133">
        <f>VLOOKUP(A162,'2022_PAPI_Indicators'!A157:AB337,27,FALSE)</f>
        <v>1.5481901355087757E-2</v>
      </c>
      <c r="AD162" s="133">
        <f>VLOOKUP(A162,'2022_PAPI_Indicators'!A157:AC337,28,FALSE)</f>
        <v>2.1057721227407455E-2</v>
      </c>
      <c r="AE162" s="133">
        <f>VLOOKUP(A162,'2022_PAPI_Indicators'!A157:AD337,29,FALSE)</f>
        <v>3.190714493393898E-2</v>
      </c>
      <c r="AF162" s="133">
        <f>VLOOKUP(A162,'2022_PAPI_Indicators'!A157:AE337,30,FALSE)</f>
        <v>3.4908737987279892E-2</v>
      </c>
      <c r="AG162" s="133">
        <f>VLOOKUP(A162,'2022_PAPI_Indicators'!A157:AF337,31,FALSE)</f>
        <v>7.5568050146102905E-2</v>
      </c>
      <c r="AH162" s="133">
        <f>VLOOKUP(A162,'2022_PAPI_Indicators'!A157:AG337,32,FALSE)</f>
        <v>1.0248752310872078E-2</v>
      </c>
      <c r="AI162" s="133">
        <f>VLOOKUP(A162,'2022_PAPI_Indicators'!A157:AH337,33,FALSE)</f>
        <v>2.1101858466863632E-2</v>
      </c>
      <c r="AJ162" s="133">
        <f>VLOOKUP(A162,'2022_PAPI_Indicators'!A157:AI337,34,FALSE)</f>
        <v>1.5795152634382248E-2</v>
      </c>
      <c r="AK162" s="133">
        <f>VLOOKUP(A162,'2022_PAPI_Indicators'!A157:AJ337,35,FALSE)</f>
        <v>4.758036881685257E-2</v>
      </c>
      <c r="AL162" s="133">
        <f>VLOOKUP(A162,'2022_PAPI_Indicators'!A157:AK337,36,FALSE)</f>
        <v>1.3696254231035709E-2</v>
      </c>
      <c r="AM162" s="133">
        <f>VLOOKUP(A162,'2022_PAPI_Indicators'!A157:AL337,37,FALSE)</f>
        <v>2.1139146760106087E-2</v>
      </c>
      <c r="AN162" s="133">
        <f>VLOOKUP(A162,'2022_PAPI_Indicators'!A157:AM337,38,FALSE)</f>
        <v>4.6875E-2</v>
      </c>
      <c r="AO162" s="133">
        <f>VLOOKUP(A162,'2022_PAPI_Indicators'!A157:AN337,39,FALSE)</f>
        <v>2.7247689664363861E-2</v>
      </c>
      <c r="AP162" s="133">
        <f>VLOOKUP(A162,'2022_PAPI_Indicators'!A157:AO337,40,FALSE)</f>
        <v>2.5815311819314957E-2</v>
      </c>
      <c r="AQ162" s="133">
        <f>VLOOKUP(A162,'2022_PAPI_Indicators'!A157:AP337,41,FALSE)</f>
        <v>1.2372579425573349E-2</v>
      </c>
      <c r="AR162" s="133">
        <f>VLOOKUP(A162,'2022_PAPI_Indicators'!A157:AQ337,42,FALSE)</f>
        <v>1.4189213514328003E-2</v>
      </c>
      <c r="AS162" s="133">
        <f>VLOOKUP(A162,'2022_PAPI_Indicators'!A157:AR337,43,FALSE)</f>
        <v>1.3063510879874229E-2</v>
      </c>
      <c r="AT162" s="133">
        <f>VLOOKUP(A162,'2022_PAPI_Indicators'!A157:AS337,44,FALSE)</f>
        <v>2.2441115230321884E-2</v>
      </c>
      <c r="AU162" s="133">
        <f>VLOOKUP(A162,'2022_PAPI_Indicators'!A157:AT337,45,FALSE)</f>
        <v>2.3758957162499428E-2</v>
      </c>
      <c r="AV162" s="133">
        <f>VLOOKUP(A162,'2022_PAPI_Indicators'!A157:AU337,46,FALSE)</f>
        <v>5.3449481725692749E-2</v>
      </c>
      <c r="AW162" s="133">
        <f>VLOOKUP(A162,'2022_PAPI_Indicators'!A157:AV337,47,FALSE)</f>
        <v>4.648975282907486E-2</v>
      </c>
      <c r="AX162" s="133">
        <f>VLOOKUP(A162,'2022_PAPI_Indicators'!A157:AW337,48,FALSE)</f>
        <v>1.8369046971201897E-2</v>
      </c>
      <c r="AY162" s="133">
        <f>VLOOKUP(A162,'2022_PAPI_Indicators'!A157:AX337,49,FALSE)</f>
        <v>1.4703439548611641E-2</v>
      </c>
      <c r="AZ162" s="133">
        <f>VLOOKUP(A162,'2022_PAPI_Indicators'!A157:AY337,50,FALSE)</f>
        <v>7.7255712822079659E-3</v>
      </c>
      <c r="BA162" s="133">
        <f>VLOOKUP(A162,'2022_PAPI_Indicators'!A157:AZ337,51,FALSE)</f>
        <v>1.8598811700940132E-2</v>
      </c>
      <c r="BB162" s="133">
        <f>VLOOKUP(A162,'2022_PAPI_Indicators'!A157:BA337,52,FALSE)</f>
        <v>1.4908332377672195E-2</v>
      </c>
      <c r="BC162" s="133">
        <f>VLOOKUP(A162,'2022_PAPI_Indicators'!A157:BB337,53,FALSE)</f>
        <v>2.1289861761033535E-3</v>
      </c>
      <c r="BD162" s="133">
        <f>VLOOKUP(A162,'2022_PAPI_Indicators'!A157:BC337,54,FALSE)</f>
        <v>1.8753224983811378E-2</v>
      </c>
      <c r="BE162" s="133">
        <f>VLOOKUP(A162,'2022_PAPI_Indicators'!A157:BD337,55,FALSE)</f>
        <v>1.0185624472796917E-2</v>
      </c>
      <c r="BF162" s="133">
        <f>VLOOKUP(A162,'2022_PAPI_Indicators'!A157:BE337,56,FALSE)</f>
        <v>1.5893986448645592E-2</v>
      </c>
      <c r="BG162" s="133">
        <f>VLOOKUP(A162,'2022_PAPI_Indicators'!A157:BF337,57,FALSE)</f>
        <v>2.725730836391449E-2</v>
      </c>
      <c r="BH162" s="133">
        <f>VLOOKUP(A162,'2022_PAPI_Indicators'!A157:BG337,58,FALSE)</f>
        <v>2.2276371717453003E-2</v>
      </c>
      <c r="BI162" s="133">
        <f>VLOOKUP(A162,'2022_PAPI_Indicators'!A157:BH337,59,FALSE)</f>
        <v>2.8887089341878891E-2</v>
      </c>
      <c r="BJ162" s="133">
        <f>VLOOKUP(A162,'2022_PAPI_Indicators'!A157:BI337,60,FALSE)</f>
        <v>1.3994320295751095E-2</v>
      </c>
      <c r="BK162" s="133">
        <f>VLOOKUP(A162,'2022_PAPI_Indicators'!A157:BJ337,61,FALSE)</f>
        <v>4.6624034643173218E-2</v>
      </c>
      <c r="BL162" s="133">
        <f>VLOOKUP(A162,'2022_PAPI_Indicators'!A157:BK337,62,FALSE)</f>
        <v>3.7095393985509872E-2</v>
      </c>
      <c r="BM162" s="133">
        <f>VLOOKUP(A162,'2022_PAPI_Indicators'!A157:BL337,63,FALSE)</f>
        <v>2.7792267501354218E-2</v>
      </c>
      <c r="BN162" s="133">
        <f>VLOOKUP(A162,'2022_PAPI_Indicators'!A157:BM337,64,FALSE)</f>
        <v>2.3637538775801659E-2</v>
      </c>
    </row>
    <row r="163" spans="1:66" x14ac:dyDescent="0.2">
      <c r="A163" s="70" t="s">
        <v>409</v>
      </c>
      <c r="B163" s="70" t="s">
        <v>410</v>
      </c>
      <c r="C163" s="89" t="s">
        <v>90</v>
      </c>
      <c r="D163" s="133">
        <v>0.27</v>
      </c>
      <c r="E163" s="134">
        <v>0.22932916879653931</v>
      </c>
      <c r="F163" s="134">
        <v>0.17481102049350739</v>
      </c>
      <c r="G163" s="134">
        <v>0.19757936894893646</v>
      </c>
      <c r="H163" s="134">
        <v>0.17051710188388824</v>
      </c>
      <c r="I163" s="134">
        <v>0.20301839709281921</v>
      </c>
      <c r="J163" s="134">
        <v>0.27025339007377625</v>
      </c>
      <c r="K163" s="134">
        <v>0.24651475250720978</v>
      </c>
      <c r="L163" s="134">
        <v>0.21474958956241608</v>
      </c>
      <c r="M163" s="134">
        <v>0.23048971593379974</v>
      </c>
      <c r="N163" s="134">
        <v>0.16915027797222137</v>
      </c>
      <c r="O163" s="134">
        <v>0.1607217937707901</v>
      </c>
      <c r="P163" s="134">
        <v>0.21038483083248138</v>
      </c>
      <c r="Q163" s="134">
        <v>0.47072798013687134</v>
      </c>
      <c r="R163" s="136">
        <v>0.28866606950759888</v>
      </c>
      <c r="S163" s="134">
        <v>0.16367268562316895</v>
      </c>
      <c r="T163" s="134">
        <v>0.27751874923706055</v>
      </c>
      <c r="U163" s="136"/>
      <c r="V163" s="134">
        <v>0.30515411496162415</v>
      </c>
      <c r="W163" s="134">
        <v>0.34032762050628662</v>
      </c>
      <c r="X163" s="134">
        <v>0.21816681325435638</v>
      </c>
      <c r="Y163" s="134">
        <v>0.2046937495470047</v>
      </c>
      <c r="Z163" s="134">
        <v>0.18946695327758789</v>
      </c>
      <c r="AA163" s="134">
        <v>0.25333172082901001</v>
      </c>
      <c r="AB163" s="134">
        <v>0.26202428340911865</v>
      </c>
      <c r="AC163" s="134">
        <v>0.17001256346702576</v>
      </c>
      <c r="AD163" s="134">
        <v>0.23728232085704803</v>
      </c>
      <c r="AE163" s="134">
        <v>0.31644287705421448</v>
      </c>
      <c r="AF163" s="134">
        <v>0.21227185428142548</v>
      </c>
      <c r="AG163" s="134">
        <v>0.25049760937690735</v>
      </c>
      <c r="AH163" s="134">
        <v>0.30053406953811646</v>
      </c>
      <c r="AI163" s="134">
        <v>0.34082555770874023</v>
      </c>
      <c r="AJ163" s="134">
        <v>0.18099038302898407</v>
      </c>
      <c r="AK163" s="134">
        <v>0.27744424343109131</v>
      </c>
      <c r="AL163" s="134">
        <v>0.17368350923061371</v>
      </c>
      <c r="AM163" s="134">
        <v>0.25919342041015625</v>
      </c>
      <c r="AN163" s="134">
        <v>0.2694246768951416</v>
      </c>
      <c r="AO163" s="134">
        <v>0.35381662845611572</v>
      </c>
      <c r="AP163" s="134">
        <v>0.28849697113037109</v>
      </c>
      <c r="AQ163" s="134">
        <v>0.25389906764030457</v>
      </c>
      <c r="AR163" s="134">
        <v>0.28690880537033081</v>
      </c>
      <c r="AS163" s="134">
        <v>0.21245183050632477</v>
      </c>
      <c r="AT163" s="134">
        <v>0.22206959128379822</v>
      </c>
      <c r="AU163" s="134">
        <v>0.28360912203788757</v>
      </c>
      <c r="AV163" s="134">
        <v>0.19381231069564819</v>
      </c>
      <c r="AW163" s="134">
        <v>0.31602254509925842</v>
      </c>
      <c r="AX163" s="134">
        <v>0.46351653337478638</v>
      </c>
      <c r="AY163" s="134">
        <v>0.24641154706478119</v>
      </c>
      <c r="AZ163" s="134">
        <v>0.20432165265083313</v>
      </c>
      <c r="BA163" s="134">
        <v>0.27036449313163757</v>
      </c>
      <c r="BB163" s="134">
        <v>0.21056929230690002</v>
      </c>
      <c r="BC163" s="134">
        <v>0.2097933441400528</v>
      </c>
      <c r="BD163" s="134">
        <v>0.19840981066226959</v>
      </c>
      <c r="BE163" s="134">
        <v>0.17949017882347107</v>
      </c>
      <c r="BF163" s="134">
        <v>0.25198674201965332</v>
      </c>
      <c r="BG163" s="134">
        <v>0.20821808278560638</v>
      </c>
      <c r="BH163" s="134">
        <v>0.20346426963806152</v>
      </c>
      <c r="BI163" s="134">
        <v>0.20099660754203796</v>
      </c>
      <c r="BJ163" s="134">
        <v>0.14859685301780701</v>
      </c>
      <c r="BK163" s="134">
        <v>0.23794472217559814</v>
      </c>
      <c r="BL163" s="134">
        <v>0.26109391450881958</v>
      </c>
      <c r="BM163" s="134">
        <v>0.26105529069900513</v>
      </c>
      <c r="BN163" s="134">
        <v>0.2760479748249054</v>
      </c>
    </row>
    <row r="164" spans="1:66" x14ac:dyDescent="0.2">
      <c r="A164" s="63" t="s">
        <v>411</v>
      </c>
      <c r="B164" s="63" t="s">
        <v>412</v>
      </c>
      <c r="C164" s="94" t="s">
        <v>90</v>
      </c>
      <c r="D164" s="146">
        <v>0.7</v>
      </c>
      <c r="E164" s="147">
        <v>0.58044493198394775</v>
      </c>
      <c r="F164" s="147">
        <v>0.46314606070518494</v>
      </c>
      <c r="G164" s="147">
        <v>0.68494659662246704</v>
      </c>
      <c r="H164" s="147">
        <v>0.62376213073730469</v>
      </c>
      <c r="I164" s="147">
        <v>0.53835338354110718</v>
      </c>
      <c r="J164" s="147">
        <v>0.44533893465995789</v>
      </c>
      <c r="K164" s="147">
        <v>0.51288765668869019</v>
      </c>
      <c r="L164" s="147">
        <v>0.61284053325653076</v>
      </c>
      <c r="M164" s="147">
        <v>0.66481804847717285</v>
      </c>
      <c r="N164" s="147">
        <v>0.396555095911026</v>
      </c>
      <c r="O164" s="147">
        <v>0.61418378353118896</v>
      </c>
      <c r="P164" s="147">
        <v>0.546875</v>
      </c>
      <c r="Q164" s="147">
        <v>0.80424672365188599</v>
      </c>
      <c r="R164" s="148">
        <v>0.76534444093704224</v>
      </c>
      <c r="S164" s="147">
        <v>0.64287048578262329</v>
      </c>
      <c r="T164" s="147">
        <v>0.67817306518554688</v>
      </c>
      <c r="U164" s="136"/>
      <c r="V164" s="134">
        <v>0.61457681655883789</v>
      </c>
      <c r="W164" s="134">
        <v>0.43976888060569763</v>
      </c>
      <c r="X164" s="134">
        <v>0.53505492210388184</v>
      </c>
      <c r="Y164" s="134">
        <v>0.56884193420410156</v>
      </c>
      <c r="Z164" s="134">
        <v>0.66112029552459717</v>
      </c>
      <c r="AA164" s="134">
        <v>0.6953510046005249</v>
      </c>
      <c r="AB164" s="134">
        <v>0.66679531335830688</v>
      </c>
      <c r="AC164" s="134">
        <v>0.39703381061553955</v>
      </c>
      <c r="AD164" s="134">
        <v>0.58967894315719604</v>
      </c>
      <c r="AE164" s="134">
        <v>0.52902323007583618</v>
      </c>
      <c r="AF164" s="134">
        <v>0.70198380947113037</v>
      </c>
      <c r="AG164" s="134">
        <v>0.61448889970779419</v>
      </c>
      <c r="AH164" s="134">
        <v>0.60664963722229004</v>
      </c>
      <c r="AI164" s="134">
        <v>0.61243677139282227</v>
      </c>
      <c r="AJ164" s="134">
        <v>0.56138777732849121</v>
      </c>
      <c r="AK164" s="134">
        <v>0.53599900007247925</v>
      </c>
      <c r="AL164" s="134">
        <v>0.50176447629928589</v>
      </c>
      <c r="AM164" s="134">
        <v>0.4748789370059967</v>
      </c>
      <c r="AN164" s="134">
        <v>0.58164358139038086</v>
      </c>
      <c r="AO164" s="134">
        <v>0.65470027923583984</v>
      </c>
      <c r="AP164" s="134">
        <v>0.54710209369659424</v>
      </c>
      <c r="AQ164" s="134">
        <v>0.5</v>
      </c>
      <c r="AR164" s="134">
        <v>0.5270269513130188</v>
      </c>
      <c r="AS164" s="134">
        <v>0.49675297737121582</v>
      </c>
      <c r="AT164" s="134">
        <v>0.44124048948287964</v>
      </c>
      <c r="AU164" s="134">
        <v>0.45315581560134888</v>
      </c>
      <c r="AV164" s="134">
        <v>0.48815807700157166</v>
      </c>
      <c r="AW164" s="134">
        <v>0.52594327926635742</v>
      </c>
      <c r="AX164" s="134">
        <v>0.76824641227722168</v>
      </c>
      <c r="AY164" s="134">
        <v>0.50543183088302612</v>
      </c>
      <c r="AZ164" s="134">
        <v>0.48569601774215698</v>
      </c>
      <c r="BA164" s="134">
        <v>0.57363533973693848</v>
      </c>
      <c r="BB164" s="134">
        <v>0.49552777409553528</v>
      </c>
      <c r="BC164" s="134">
        <v>0.42193055152893066</v>
      </c>
      <c r="BD164" s="134">
        <v>0.47503548860549927</v>
      </c>
      <c r="BE164" s="134">
        <v>0.44315123558044434</v>
      </c>
      <c r="BF164" s="134">
        <v>0.5336189866065979</v>
      </c>
      <c r="BG164" s="134">
        <v>0.58152037858963013</v>
      </c>
      <c r="BH164" s="134">
        <v>0.50692987442016602</v>
      </c>
      <c r="BI164" s="134">
        <v>0.48986750841140747</v>
      </c>
      <c r="BJ164" s="134">
        <v>0.45346927642822266</v>
      </c>
      <c r="BK164" s="134">
        <v>0.66639715433120728</v>
      </c>
      <c r="BL164" s="134">
        <v>0.65118575096130371</v>
      </c>
      <c r="BM164" s="134">
        <v>0.59826713800430298</v>
      </c>
      <c r="BN164" s="134">
        <v>0.64149707555770874</v>
      </c>
    </row>
    <row r="165" spans="1:66" s="152" customFormat="1" x14ac:dyDescent="0.2">
      <c r="A165" s="152" t="s">
        <v>550</v>
      </c>
      <c r="B165" s="152" t="s">
        <v>551</v>
      </c>
      <c r="C165" s="153" t="s">
        <v>549</v>
      </c>
      <c r="D165" s="154">
        <v>1102</v>
      </c>
      <c r="E165" s="154">
        <v>193</v>
      </c>
      <c r="F165" s="154">
        <v>192</v>
      </c>
      <c r="G165" s="154">
        <v>195</v>
      </c>
      <c r="H165" s="154">
        <v>194</v>
      </c>
      <c r="I165" s="154">
        <v>197</v>
      </c>
      <c r="J165" s="154">
        <v>192</v>
      </c>
      <c r="K165" s="154">
        <v>294</v>
      </c>
      <c r="L165" s="154">
        <v>192</v>
      </c>
      <c r="M165" s="154">
        <v>193</v>
      </c>
      <c r="N165" s="154">
        <v>195</v>
      </c>
      <c r="O165" s="154">
        <v>300</v>
      </c>
      <c r="P165" s="154">
        <v>192</v>
      </c>
      <c r="Q165" s="154">
        <v>203</v>
      </c>
      <c r="R165" s="154">
        <v>192</v>
      </c>
      <c r="S165" s="154">
        <v>192</v>
      </c>
      <c r="T165" s="154">
        <v>199</v>
      </c>
      <c r="U165" s="154">
        <v>314</v>
      </c>
      <c r="V165" s="154">
        <v>198</v>
      </c>
      <c r="W165" s="154">
        <v>200</v>
      </c>
      <c r="X165" s="154">
        <v>192</v>
      </c>
      <c r="Y165" s="154">
        <v>194</v>
      </c>
      <c r="Z165" s="154">
        <v>197</v>
      </c>
      <c r="AA165" s="154">
        <v>192</v>
      </c>
      <c r="AB165" s="154">
        <v>192</v>
      </c>
      <c r="AC165" s="154">
        <v>395</v>
      </c>
      <c r="AD165" s="154">
        <v>391</v>
      </c>
      <c r="AE165" s="154">
        <v>192</v>
      </c>
      <c r="AF165" s="154">
        <v>196</v>
      </c>
      <c r="AG165" s="154">
        <v>192</v>
      </c>
      <c r="AH165" s="154">
        <v>197</v>
      </c>
      <c r="AI165" s="154">
        <v>300</v>
      </c>
      <c r="AJ165" s="154">
        <v>206</v>
      </c>
      <c r="AK165" s="154">
        <v>201</v>
      </c>
      <c r="AL165" s="154">
        <v>193</v>
      </c>
      <c r="AM165" s="154">
        <v>192</v>
      </c>
      <c r="AN165" s="154">
        <v>192</v>
      </c>
      <c r="AO165" s="154">
        <v>200</v>
      </c>
      <c r="AP165" s="154">
        <v>192</v>
      </c>
      <c r="AQ165" s="154">
        <v>200</v>
      </c>
      <c r="AR165" s="154">
        <v>192</v>
      </c>
      <c r="AS165" s="154">
        <v>204</v>
      </c>
      <c r="AT165" s="154">
        <v>295</v>
      </c>
      <c r="AU165" s="154">
        <v>197</v>
      </c>
      <c r="AV165" s="154">
        <v>194</v>
      </c>
      <c r="AW165" s="154">
        <v>194</v>
      </c>
      <c r="AX165" s="154">
        <v>319</v>
      </c>
      <c r="AY165" s="154">
        <v>593</v>
      </c>
      <c r="AZ165" s="154">
        <v>428</v>
      </c>
      <c r="BA165" s="154">
        <v>1024</v>
      </c>
      <c r="BB165" s="154">
        <v>289</v>
      </c>
      <c r="BC165" s="154">
        <v>194</v>
      </c>
      <c r="BD165" s="154">
        <v>195</v>
      </c>
      <c r="BE165" s="154">
        <v>192</v>
      </c>
      <c r="BF165" s="154">
        <v>202</v>
      </c>
      <c r="BG165" s="154">
        <v>192</v>
      </c>
      <c r="BH165" s="154">
        <v>390</v>
      </c>
      <c r="BI165" s="154">
        <v>198</v>
      </c>
      <c r="BJ165" s="154">
        <v>313</v>
      </c>
      <c r="BK165" s="154">
        <v>196</v>
      </c>
      <c r="BL165" s="154">
        <v>194</v>
      </c>
      <c r="BM165" s="154">
        <v>197</v>
      </c>
      <c r="BN165" s="154">
        <v>193</v>
      </c>
    </row>
    <row r="166" spans="1:66" s="69" customFormat="1" x14ac:dyDescent="0.2">
      <c r="A166" s="69" t="s">
        <v>415</v>
      </c>
      <c r="B166" s="69" t="s">
        <v>416</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
      <c r="A167" s="69" t="s">
        <v>552</v>
      </c>
      <c r="B167" s="69" t="s">
        <v>553</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
      <c r="Q168" s="149"/>
    </row>
    <row r="169" spans="1:66" x14ac:dyDescent="0.2">
      <c r="Q169" s="149"/>
    </row>
    <row r="170" spans="1:66" x14ac:dyDescent="0.2">
      <c r="Q170" s="149"/>
    </row>
    <row r="171" spans="1:66" x14ac:dyDescent="0.2">
      <c r="Q171" s="149"/>
    </row>
    <row r="172" spans="1:66" x14ac:dyDescent="0.2">
      <c r="Q172" s="149"/>
    </row>
    <row r="173" spans="1:66" x14ac:dyDescent="0.2">
      <c r="Q173" s="149"/>
    </row>
    <row r="174" spans="1:66" x14ac:dyDescent="0.2">
      <c r="Q174" s="149"/>
    </row>
    <row r="175" spans="1:66" x14ac:dyDescent="0.2">
      <c r="Q175" s="149"/>
    </row>
    <row r="176" spans="1:66" x14ac:dyDescent="0.2">
      <c r="Q176" s="149"/>
    </row>
    <row r="177" spans="17:17" x14ac:dyDescent="0.2">
      <c r="Q177" s="149"/>
    </row>
    <row r="178" spans="17:17" x14ac:dyDescent="0.2">
      <c r="Q178" s="149"/>
    </row>
    <row r="179" spans="17:17" x14ac:dyDescent="0.2">
      <c r="Q179" s="149"/>
    </row>
    <row r="180" spans="17:17" x14ac:dyDescent="0.2">
      <c r="Q180" s="149"/>
    </row>
    <row r="181" spans="17:17" x14ac:dyDescent="0.2">
      <c r="Q181" s="149"/>
    </row>
    <row r="182" spans="17:17" x14ac:dyDescent="0.2">
      <c r="Q182" s="149"/>
    </row>
    <row r="183" spans="17:17" x14ac:dyDescent="0.2">
      <c r="Q183" s="149"/>
    </row>
    <row r="184" spans="17:17" x14ac:dyDescent="0.2">
      <c r="Q184" s="149"/>
    </row>
    <row r="185" spans="17:17" x14ac:dyDescent="0.2">
      <c r="Q185" s="149"/>
    </row>
    <row r="186" spans="17:17" x14ac:dyDescent="0.2">
      <c r="Q186" s="149"/>
    </row>
    <row r="187" spans="17:17" x14ac:dyDescent="0.2">
      <c r="Q187" s="149"/>
    </row>
    <row r="188" spans="17:17" x14ac:dyDescent="0.2">
      <c r="Q188" s="149"/>
    </row>
    <row r="189" spans="17:17" x14ac:dyDescent="0.2">
      <c r="Q189" s="149"/>
    </row>
    <row r="190" spans="17:17" x14ac:dyDescent="0.2">
      <c r="Q190" s="149"/>
    </row>
    <row r="191" spans="17:17" x14ac:dyDescent="0.2">
      <c r="Q191" s="149"/>
    </row>
    <row r="192" spans="17:17" x14ac:dyDescent="0.2">
      <c r="Q192" s="149"/>
    </row>
    <row r="193" spans="17:17" x14ac:dyDescent="0.2">
      <c r="Q193" s="149"/>
    </row>
    <row r="194" spans="17:17" x14ac:dyDescent="0.2">
      <c r="Q194" s="149"/>
    </row>
    <row r="195" spans="17:17" x14ac:dyDescent="0.2">
      <c r="Q195" s="149"/>
    </row>
    <row r="196" spans="17:17" x14ac:dyDescent="0.2">
      <c r="Q196" s="149"/>
    </row>
    <row r="197" spans="17:17" x14ac:dyDescent="0.2">
      <c r="Q197" s="149"/>
    </row>
    <row r="198" spans="17:17" x14ac:dyDescent="0.2">
      <c r="Q198" s="149"/>
    </row>
    <row r="199" spans="17:17" x14ac:dyDescent="0.2">
      <c r="Q199" s="149"/>
    </row>
    <row r="200" spans="17:17" x14ac:dyDescent="0.2">
      <c r="Q200" s="149"/>
    </row>
    <row r="201" spans="17:17" x14ac:dyDescent="0.2">
      <c r="Q201" s="149"/>
    </row>
    <row r="202" spans="17:17" x14ac:dyDescent="0.2">
      <c r="Q202" s="149"/>
    </row>
    <row r="203" spans="17:17" x14ac:dyDescent="0.2">
      <c r="Q203" s="149"/>
    </row>
    <row r="204" spans="17:17" x14ac:dyDescent="0.2">
      <c r="Q204" s="149"/>
    </row>
    <row r="205" spans="17:17" x14ac:dyDescent="0.2">
      <c r="Q205" s="149"/>
    </row>
    <row r="206" spans="17:17" x14ac:dyDescent="0.2">
      <c r="Q206" s="149"/>
    </row>
    <row r="207" spans="17:17" x14ac:dyDescent="0.2">
      <c r="Q207" s="149"/>
    </row>
    <row r="208" spans="17:17" x14ac:dyDescent="0.2">
      <c r="Q208" s="149"/>
    </row>
    <row r="209" spans="17:17" x14ac:dyDescent="0.2">
      <c r="Q209" s="149"/>
    </row>
    <row r="210" spans="17:17" x14ac:dyDescent="0.2">
      <c r="Q210" s="149"/>
    </row>
    <row r="211" spans="17:17" x14ac:dyDescent="0.2">
      <c r="Q211" s="149"/>
    </row>
    <row r="212" spans="17:17" x14ac:dyDescent="0.2">
      <c r="Q212" s="149"/>
    </row>
    <row r="213" spans="17:17" x14ac:dyDescent="0.2">
      <c r="Q213" s="149"/>
    </row>
    <row r="214" spans="17:17" x14ac:dyDescent="0.2">
      <c r="Q214" s="149"/>
    </row>
    <row r="215" spans="17:17" x14ac:dyDescent="0.2">
      <c r="Q215" s="149"/>
    </row>
    <row r="216" spans="17:17" x14ac:dyDescent="0.2">
      <c r="Q216" s="149"/>
    </row>
    <row r="217" spans="17:17" x14ac:dyDescent="0.2">
      <c r="Q217" s="149"/>
    </row>
    <row r="218" spans="17:17" x14ac:dyDescent="0.2">
      <c r="Q218" s="149"/>
    </row>
    <row r="219" spans="17:17" x14ac:dyDescent="0.2">
      <c r="Q219" s="149"/>
    </row>
    <row r="220" spans="17:17" x14ac:dyDescent="0.2">
      <c r="Q220" s="149"/>
    </row>
    <row r="221" spans="17:17" x14ac:dyDescent="0.2">
      <c r="Q221" s="149"/>
    </row>
    <row r="222" spans="17:17" x14ac:dyDescent="0.2">
      <c r="Q222" s="149"/>
    </row>
    <row r="223" spans="17:17" x14ac:dyDescent="0.2">
      <c r="Q223" s="149"/>
    </row>
    <row r="224" spans="17:17" x14ac:dyDescent="0.2">
      <c r="Q224" s="149"/>
    </row>
    <row r="225" spans="17:17" x14ac:dyDescent="0.2">
      <c r="Q225" s="149"/>
    </row>
    <row r="226" spans="17:17" x14ac:dyDescent="0.2">
      <c r="Q226" s="149"/>
    </row>
    <row r="227" spans="17:17" x14ac:dyDescent="0.2">
      <c r="Q227" s="149"/>
    </row>
    <row r="228" spans="17:17" x14ac:dyDescent="0.2">
      <c r="Q228" s="149"/>
    </row>
    <row r="229" spans="17:17" x14ac:dyDescent="0.2">
      <c r="Q229" s="149"/>
    </row>
    <row r="230" spans="17:17" x14ac:dyDescent="0.2">
      <c r="Q230" s="149"/>
    </row>
    <row r="231" spans="17:17" x14ac:dyDescent="0.2">
      <c r="Q231" s="149"/>
    </row>
    <row r="232" spans="17:17" x14ac:dyDescent="0.2">
      <c r="Q232" s="149"/>
    </row>
    <row r="233" spans="17:17" x14ac:dyDescent="0.2">
      <c r="Q233" s="149"/>
    </row>
    <row r="234" spans="17:17" x14ac:dyDescent="0.2">
      <c r="Q234" s="149"/>
    </row>
    <row r="235" spans="17:17" x14ac:dyDescent="0.2">
      <c r="Q235" s="149"/>
    </row>
    <row r="236" spans="17:17" x14ac:dyDescent="0.2">
      <c r="Q236" s="149"/>
    </row>
    <row r="237" spans="17:17" x14ac:dyDescent="0.2">
      <c r="Q237" s="149"/>
    </row>
    <row r="238" spans="17:17" x14ac:dyDescent="0.2">
      <c r="Q238" s="149"/>
    </row>
    <row r="239" spans="17:17" x14ac:dyDescent="0.2">
      <c r="Q239" s="149"/>
    </row>
    <row r="240" spans="17:17" x14ac:dyDescent="0.2">
      <c r="Q240" s="149"/>
    </row>
    <row r="241" spans="17:17" x14ac:dyDescent="0.2">
      <c r="Q241" s="149"/>
    </row>
    <row r="242" spans="17:17" x14ac:dyDescent="0.2">
      <c r="Q242" s="149"/>
    </row>
    <row r="243" spans="17:17" x14ac:dyDescent="0.2">
      <c r="Q243" s="149"/>
    </row>
    <row r="244" spans="17:17" x14ac:dyDescent="0.2">
      <c r="Q244" s="149"/>
    </row>
    <row r="245" spans="17:17" x14ac:dyDescent="0.2">
      <c r="Q245" s="149"/>
    </row>
    <row r="246" spans="17:17" x14ac:dyDescent="0.2">
      <c r="Q246" s="149"/>
    </row>
    <row r="247" spans="17:17" x14ac:dyDescent="0.2">
      <c r="Q247" s="149"/>
    </row>
    <row r="248" spans="17:17" x14ac:dyDescent="0.2">
      <c r="Q248" s="149"/>
    </row>
    <row r="249" spans="17:17" x14ac:dyDescent="0.2">
      <c r="Q249" s="149"/>
    </row>
    <row r="250" spans="17:17" x14ac:dyDescent="0.2">
      <c r="Q250" s="149"/>
    </row>
    <row r="251" spans="17:17" x14ac:dyDescent="0.2">
      <c r="Q251" s="149"/>
    </row>
    <row r="252" spans="17:17" x14ac:dyDescent="0.2">
      <c r="Q252" s="149"/>
    </row>
    <row r="253" spans="17:17" x14ac:dyDescent="0.2">
      <c r="Q253" s="149"/>
    </row>
    <row r="254" spans="17:17" x14ac:dyDescent="0.2">
      <c r="Q254" s="149"/>
    </row>
    <row r="255" spans="17:17" x14ac:dyDescent="0.2">
      <c r="Q255" s="149"/>
    </row>
    <row r="256" spans="17:17" x14ac:dyDescent="0.2">
      <c r="Q256" s="149"/>
    </row>
    <row r="257" spans="17:17" x14ac:dyDescent="0.2">
      <c r="Q257" s="149"/>
    </row>
    <row r="258" spans="17:17" x14ac:dyDescent="0.2">
      <c r="Q258" s="149"/>
    </row>
    <row r="259" spans="17:17" x14ac:dyDescent="0.2">
      <c r="Q259" s="149"/>
    </row>
    <row r="260" spans="17:17" x14ac:dyDescent="0.2">
      <c r="Q260" s="149"/>
    </row>
    <row r="261" spans="17:17" x14ac:dyDescent="0.2">
      <c r="Q261" s="149"/>
    </row>
    <row r="262" spans="17:17" x14ac:dyDescent="0.2">
      <c r="Q262" s="149"/>
    </row>
    <row r="263" spans="17:17" x14ac:dyDescent="0.2">
      <c r="Q263" s="149"/>
    </row>
    <row r="264" spans="17:17" x14ac:dyDescent="0.2">
      <c r="Q264" s="149"/>
    </row>
    <row r="265" spans="17:17" x14ac:dyDescent="0.2">
      <c r="Q265" s="149"/>
    </row>
    <row r="266" spans="17:17" x14ac:dyDescent="0.2">
      <c r="Q266" s="149"/>
    </row>
    <row r="267" spans="17:17" x14ac:dyDescent="0.2">
      <c r="Q267" s="149"/>
    </row>
    <row r="268" spans="17:17" x14ac:dyDescent="0.2">
      <c r="Q268" s="149"/>
    </row>
    <row r="269" spans="17:17" x14ac:dyDescent="0.2">
      <c r="Q269" s="149"/>
    </row>
    <row r="270" spans="17:17" x14ac:dyDescent="0.2">
      <c r="Q270" s="149"/>
    </row>
    <row r="271" spans="17:17" x14ac:dyDescent="0.2">
      <c r="Q271" s="149"/>
    </row>
    <row r="272" spans="17:17" x14ac:dyDescent="0.2">
      <c r="Q272" s="149"/>
    </row>
    <row r="273" spans="17:17" x14ac:dyDescent="0.2">
      <c r="Q273" s="149"/>
    </row>
    <row r="274" spans="17:17" x14ac:dyDescent="0.2">
      <c r="Q274" s="149"/>
    </row>
    <row r="275" spans="17:17" x14ac:dyDescent="0.2">
      <c r="Q275" s="149"/>
    </row>
    <row r="276" spans="17:17" x14ac:dyDescent="0.2">
      <c r="Q276" s="149"/>
    </row>
    <row r="277" spans="17:17" x14ac:dyDescent="0.2">
      <c r="Q277" s="149"/>
    </row>
    <row r="278" spans="17:17" x14ac:dyDescent="0.2">
      <c r="Q278" s="149"/>
    </row>
    <row r="279" spans="17:17" x14ac:dyDescent="0.2">
      <c r="Q279" s="149"/>
    </row>
    <row r="280" spans="17:17" x14ac:dyDescent="0.2">
      <c r="Q280" s="149"/>
    </row>
    <row r="281" spans="17:17" x14ac:dyDescent="0.2">
      <c r="Q281" s="149"/>
    </row>
    <row r="282" spans="17:17" x14ac:dyDescent="0.2">
      <c r="Q282" s="149"/>
    </row>
    <row r="283" spans="17:17" x14ac:dyDescent="0.2">
      <c r="Q283" s="149"/>
    </row>
    <row r="284" spans="17:17" x14ac:dyDescent="0.2">
      <c r="Q284" s="149"/>
    </row>
    <row r="285" spans="17:17" x14ac:dyDescent="0.2">
      <c r="Q285" s="149"/>
    </row>
    <row r="286" spans="17:17" x14ac:dyDescent="0.2">
      <c r="Q286" s="149"/>
    </row>
    <row r="287" spans="17:17" x14ac:dyDescent="0.2">
      <c r="Q287" s="149"/>
    </row>
    <row r="288" spans="17:17" x14ac:dyDescent="0.2">
      <c r="Q288" s="149"/>
    </row>
    <row r="289" spans="17:17" x14ac:dyDescent="0.2">
      <c r="Q289" s="149"/>
    </row>
    <row r="290" spans="17:17" x14ac:dyDescent="0.2">
      <c r="Q290" s="149"/>
    </row>
    <row r="291" spans="17:17" x14ac:dyDescent="0.2">
      <c r="Q291" s="149"/>
    </row>
    <row r="292" spans="17:17" x14ac:dyDescent="0.2">
      <c r="Q292" s="149"/>
    </row>
    <row r="293" spans="17:17" x14ac:dyDescent="0.2">
      <c r="Q293" s="149"/>
    </row>
    <row r="294" spans="17:17" x14ac:dyDescent="0.2">
      <c r="Q294" s="149"/>
    </row>
    <row r="295" spans="17:17" x14ac:dyDescent="0.2">
      <c r="Q295" s="149"/>
    </row>
    <row r="296" spans="17:17" x14ac:dyDescent="0.2">
      <c r="Q296" s="149"/>
    </row>
    <row r="297" spans="17:17" x14ac:dyDescent="0.2">
      <c r="Q297" s="149"/>
    </row>
    <row r="298" spans="17:17" x14ac:dyDescent="0.2">
      <c r="Q298" s="149"/>
    </row>
    <row r="299" spans="17:17" x14ac:dyDescent="0.2">
      <c r="Q299" s="149"/>
    </row>
    <row r="300" spans="17:17" x14ac:dyDescent="0.2">
      <c r="Q300" s="149"/>
    </row>
    <row r="301" spans="17:17" x14ac:dyDescent="0.2">
      <c r="Q301" s="149"/>
    </row>
    <row r="302" spans="17:17" x14ac:dyDescent="0.2">
      <c r="Q302" s="149"/>
    </row>
    <row r="303" spans="17:17" x14ac:dyDescent="0.2">
      <c r="Q303" s="149"/>
    </row>
    <row r="304" spans="17:17" x14ac:dyDescent="0.2">
      <c r="Q304" s="149"/>
    </row>
    <row r="305" spans="17:17" x14ac:dyDescent="0.2">
      <c r="Q305" s="149"/>
    </row>
    <row r="306" spans="17:17" x14ac:dyDescent="0.2">
      <c r="Q306" s="149"/>
    </row>
    <row r="307" spans="17:17" x14ac:dyDescent="0.2">
      <c r="Q307" s="149"/>
    </row>
    <row r="308" spans="17:17" x14ac:dyDescent="0.2">
      <c r="Q308" s="149"/>
    </row>
    <row r="309" spans="17:17" x14ac:dyDescent="0.2">
      <c r="Q309" s="149"/>
    </row>
    <row r="310" spans="17:17" x14ac:dyDescent="0.2">
      <c r="Q310" s="149"/>
    </row>
    <row r="311" spans="17:17" x14ac:dyDescent="0.2">
      <c r="Q311" s="149"/>
    </row>
    <row r="312" spans="17:17" x14ac:dyDescent="0.2">
      <c r="Q312" s="149"/>
    </row>
    <row r="313" spans="17:17" x14ac:dyDescent="0.2">
      <c r="Q313" s="149"/>
    </row>
    <row r="314" spans="17:17" x14ac:dyDescent="0.2">
      <c r="Q314" s="149"/>
    </row>
    <row r="315" spans="17:17" x14ac:dyDescent="0.2">
      <c r="Q315" s="149"/>
    </row>
    <row r="316" spans="17:17" x14ac:dyDescent="0.2">
      <c r="Q316" s="149"/>
    </row>
    <row r="317" spans="17:17" x14ac:dyDescent="0.2">
      <c r="Q317" s="149"/>
    </row>
    <row r="318" spans="17:17" x14ac:dyDescent="0.2">
      <c r="Q318" s="149"/>
    </row>
    <row r="319" spans="17:17" x14ac:dyDescent="0.2">
      <c r="Q319" s="149"/>
    </row>
    <row r="320" spans="17:17" x14ac:dyDescent="0.2">
      <c r="Q320" s="149"/>
    </row>
    <row r="321" spans="17:17" x14ac:dyDescent="0.2">
      <c r="Q321" s="149"/>
    </row>
    <row r="322" spans="17:17" x14ac:dyDescent="0.2">
      <c r="Q322" s="149"/>
    </row>
    <row r="323" spans="17:17" x14ac:dyDescent="0.2">
      <c r="Q323" s="149"/>
    </row>
    <row r="324" spans="17:17" x14ac:dyDescent="0.2">
      <c r="Q324" s="149"/>
    </row>
    <row r="325" spans="17:17" x14ac:dyDescent="0.2">
      <c r="Q325" s="149"/>
    </row>
    <row r="326" spans="17:17" x14ac:dyDescent="0.2">
      <c r="Q326" s="149"/>
    </row>
    <row r="327" spans="17:17" x14ac:dyDescent="0.2">
      <c r="Q327" s="149"/>
    </row>
    <row r="328" spans="17:17" x14ac:dyDescent="0.2">
      <c r="Q328" s="149"/>
    </row>
    <row r="329" spans="17:17" x14ac:dyDescent="0.2">
      <c r="Q329" s="149"/>
    </row>
    <row r="330" spans="17:17" x14ac:dyDescent="0.2">
      <c r="Q330" s="149"/>
    </row>
    <row r="331" spans="17:17" x14ac:dyDescent="0.2">
      <c r="Q331" s="149"/>
    </row>
    <row r="332" spans="17:17" x14ac:dyDescent="0.2">
      <c r="Q332" s="149"/>
    </row>
    <row r="333" spans="17:17" x14ac:dyDescent="0.2">
      <c r="Q333" s="149"/>
    </row>
    <row r="334" spans="17:17" x14ac:dyDescent="0.2">
      <c r="Q334" s="149"/>
    </row>
    <row r="335" spans="17:17" x14ac:dyDescent="0.2">
      <c r="Q335" s="149"/>
    </row>
    <row r="336" spans="17:17" x14ac:dyDescent="0.2">
      <c r="Q336" s="149"/>
    </row>
    <row r="337" spans="17:17" x14ac:dyDescent="0.2">
      <c r="Q337" s="149"/>
    </row>
    <row r="338" spans="17:17" x14ac:dyDescent="0.2">
      <c r="Q338" s="149"/>
    </row>
    <row r="339" spans="17:17" x14ac:dyDescent="0.2">
      <c r="Q339" s="149"/>
    </row>
    <row r="340" spans="17:17" x14ac:dyDescent="0.2">
      <c r="Q340" s="149"/>
    </row>
    <row r="341" spans="17:17" x14ac:dyDescent="0.2">
      <c r="Q341" s="149"/>
    </row>
    <row r="342" spans="17:17" x14ac:dyDescent="0.2">
      <c r="Q342" s="149"/>
    </row>
    <row r="343" spans="17:17" x14ac:dyDescent="0.2">
      <c r="Q343" s="149"/>
    </row>
    <row r="344" spans="17:17" x14ac:dyDescent="0.2">
      <c r="Q344" s="149"/>
    </row>
    <row r="345" spans="17:17" x14ac:dyDescent="0.2">
      <c r="Q345" s="149"/>
    </row>
    <row r="346" spans="17:17" x14ac:dyDescent="0.2">
      <c r="Q346" s="149"/>
    </row>
    <row r="347" spans="17:17" x14ac:dyDescent="0.2">
      <c r="Q347" s="149"/>
    </row>
    <row r="348" spans="17:17" x14ac:dyDescent="0.2">
      <c r="Q348" s="149"/>
    </row>
    <row r="349" spans="17:17" x14ac:dyDescent="0.2">
      <c r="Q349" s="149"/>
    </row>
    <row r="350" spans="17:17" x14ac:dyDescent="0.2">
      <c r="Q350" s="149"/>
    </row>
    <row r="351" spans="17:17" x14ac:dyDescent="0.2">
      <c r="Q351" s="149"/>
    </row>
    <row r="352" spans="17:17" x14ac:dyDescent="0.2">
      <c r="Q352" s="149"/>
    </row>
    <row r="353" spans="17:17" x14ac:dyDescent="0.2">
      <c r="Q353" s="149"/>
    </row>
    <row r="354" spans="17:17" x14ac:dyDescent="0.2">
      <c r="Q354" s="149"/>
    </row>
    <row r="355" spans="17:17" x14ac:dyDescent="0.2">
      <c r="Q355" s="149"/>
    </row>
    <row r="356" spans="17:17" x14ac:dyDescent="0.2">
      <c r="Q356" s="149"/>
    </row>
    <row r="357" spans="17:17" x14ac:dyDescent="0.2">
      <c r="Q357" s="149"/>
    </row>
    <row r="358" spans="17:17" x14ac:dyDescent="0.2">
      <c r="Q358" s="149"/>
    </row>
    <row r="359" spans="17:17" x14ac:dyDescent="0.2">
      <c r="Q359" s="149"/>
    </row>
    <row r="360" spans="17:17" x14ac:dyDescent="0.2">
      <c r="Q360" s="149"/>
    </row>
    <row r="361" spans="17:17" x14ac:dyDescent="0.2">
      <c r="Q361" s="149"/>
    </row>
    <row r="362" spans="17:17" x14ac:dyDescent="0.2">
      <c r="Q362" s="149"/>
    </row>
    <row r="363" spans="17:17" x14ac:dyDescent="0.2">
      <c r="Q363" s="149"/>
    </row>
    <row r="364" spans="17:17" x14ac:dyDescent="0.2">
      <c r="Q364" s="149"/>
    </row>
    <row r="365" spans="17:17" x14ac:dyDescent="0.2">
      <c r="Q365" s="149"/>
    </row>
    <row r="366" spans="17:17" x14ac:dyDescent="0.2">
      <c r="Q366" s="149"/>
    </row>
    <row r="367" spans="17:17" x14ac:dyDescent="0.2">
      <c r="Q367" s="149"/>
    </row>
    <row r="368" spans="17:17" x14ac:dyDescent="0.2">
      <c r="Q368" s="149"/>
    </row>
    <row r="369" spans="17:17" x14ac:dyDescent="0.2">
      <c r="Q369" s="149"/>
    </row>
    <row r="370" spans="17:17" x14ac:dyDescent="0.2">
      <c r="Q370" s="149"/>
    </row>
    <row r="371" spans="17:17" x14ac:dyDescent="0.2">
      <c r="Q371" s="149"/>
    </row>
    <row r="372" spans="17:17" x14ac:dyDescent="0.2">
      <c r="Q372" s="149"/>
    </row>
    <row r="373" spans="17:17" x14ac:dyDescent="0.2">
      <c r="Q373" s="149"/>
    </row>
    <row r="374" spans="17:17" x14ac:dyDescent="0.2">
      <c r="Q374" s="149"/>
    </row>
    <row r="375" spans="17:17" x14ac:dyDescent="0.2">
      <c r="Q375" s="149"/>
    </row>
    <row r="376" spans="17:17" x14ac:dyDescent="0.2">
      <c r="Q376" s="149"/>
    </row>
    <row r="377" spans="17:17" x14ac:dyDescent="0.2">
      <c r="Q377" s="149"/>
    </row>
    <row r="378" spans="17:17" x14ac:dyDescent="0.2">
      <c r="Q378" s="149"/>
    </row>
    <row r="379" spans="17:17" x14ac:dyDescent="0.2">
      <c r="Q379" s="149"/>
    </row>
    <row r="380" spans="17:17" x14ac:dyDescent="0.2">
      <c r="Q380" s="149"/>
    </row>
    <row r="381" spans="17:17" x14ac:dyDescent="0.2">
      <c r="Q381" s="149"/>
    </row>
    <row r="382" spans="17:17" x14ac:dyDescent="0.2">
      <c r="Q382" s="149"/>
    </row>
    <row r="383" spans="17:17" x14ac:dyDescent="0.2">
      <c r="Q383" s="149"/>
    </row>
    <row r="384" spans="17:17" x14ac:dyDescent="0.2">
      <c r="Q384" s="149"/>
    </row>
    <row r="385" spans="17:17" x14ac:dyDescent="0.2">
      <c r="Q385" s="149"/>
    </row>
    <row r="386" spans="17:17" x14ac:dyDescent="0.2">
      <c r="Q386" s="149"/>
    </row>
    <row r="387" spans="17:17" x14ac:dyDescent="0.2">
      <c r="Q387" s="149"/>
    </row>
    <row r="388" spans="17:17" x14ac:dyDescent="0.2">
      <c r="Q388" s="149"/>
    </row>
    <row r="389" spans="17:17" x14ac:dyDescent="0.2">
      <c r="Q389" s="149"/>
    </row>
    <row r="390" spans="17:17" x14ac:dyDescent="0.2">
      <c r="Q390" s="149"/>
    </row>
    <row r="391" spans="17:17" x14ac:dyDescent="0.2">
      <c r="Q391" s="149"/>
    </row>
    <row r="392" spans="17:17" x14ac:dyDescent="0.2">
      <c r="Q392" s="149"/>
    </row>
    <row r="393" spans="17:17" x14ac:dyDescent="0.2">
      <c r="Q393" s="149"/>
    </row>
    <row r="394" spans="17:17" x14ac:dyDescent="0.2">
      <c r="Q394" s="149"/>
    </row>
    <row r="395" spans="17:17" x14ac:dyDescent="0.2">
      <c r="Q395" s="149"/>
    </row>
    <row r="396" spans="17:17" x14ac:dyDescent="0.2">
      <c r="Q396" s="149"/>
    </row>
    <row r="397" spans="17:17" x14ac:dyDescent="0.2">
      <c r="Q397" s="149"/>
    </row>
    <row r="398" spans="17:17" x14ac:dyDescent="0.2">
      <c r="Q398" s="149"/>
    </row>
    <row r="399" spans="17:17" x14ac:dyDescent="0.2">
      <c r="Q399" s="149"/>
    </row>
    <row r="400" spans="17:17" x14ac:dyDescent="0.2">
      <c r="Q400" s="149"/>
    </row>
    <row r="401" spans="17:17" x14ac:dyDescent="0.2">
      <c r="Q401" s="149"/>
    </row>
    <row r="402" spans="17:17" x14ac:dyDescent="0.2">
      <c r="Q402" s="149"/>
    </row>
    <row r="403" spans="17:17" x14ac:dyDescent="0.2">
      <c r="Q403" s="149"/>
    </row>
    <row r="404" spans="17:17" x14ac:dyDescent="0.2">
      <c r="Q404" s="149"/>
    </row>
    <row r="405" spans="17:17" x14ac:dyDescent="0.2">
      <c r="Q405" s="149"/>
    </row>
    <row r="406" spans="17:17" x14ac:dyDescent="0.2">
      <c r="Q406" s="149"/>
    </row>
    <row r="407" spans="17:17" x14ac:dyDescent="0.2">
      <c r="Q407" s="149"/>
    </row>
    <row r="408" spans="17:17" x14ac:dyDescent="0.2">
      <c r="Q408" s="149"/>
    </row>
    <row r="409" spans="17:17" x14ac:dyDescent="0.2">
      <c r="Q409" s="149"/>
    </row>
    <row r="410" spans="17:17" x14ac:dyDescent="0.2">
      <c r="Q410" s="149"/>
    </row>
    <row r="411" spans="17:17" x14ac:dyDescent="0.2">
      <c r="Q411" s="149"/>
    </row>
    <row r="412" spans="17:17" x14ac:dyDescent="0.2">
      <c r="Q412" s="149"/>
    </row>
    <row r="413" spans="17:17" x14ac:dyDescent="0.2">
      <c r="Q413" s="149"/>
    </row>
    <row r="414" spans="17:17" x14ac:dyDescent="0.2">
      <c r="Q414" s="149"/>
    </row>
    <row r="415" spans="17:17" x14ac:dyDescent="0.2">
      <c r="Q415" s="149"/>
    </row>
    <row r="416" spans="17:17" x14ac:dyDescent="0.2">
      <c r="Q416" s="149"/>
    </row>
    <row r="417" spans="17:17" x14ac:dyDescent="0.2">
      <c r="Q417" s="149"/>
    </row>
    <row r="418" spans="17:17" x14ac:dyDescent="0.2">
      <c r="Q418" s="149"/>
    </row>
    <row r="419" spans="17:17" x14ac:dyDescent="0.2">
      <c r="Q419" s="149"/>
    </row>
    <row r="420" spans="17:17" x14ac:dyDescent="0.2">
      <c r="Q420" s="149"/>
    </row>
    <row r="421" spans="17:17" x14ac:dyDescent="0.2">
      <c r="Q421" s="149"/>
    </row>
    <row r="422" spans="17:17" x14ac:dyDescent="0.2">
      <c r="Q422" s="149"/>
    </row>
    <row r="423" spans="17:17" x14ac:dyDescent="0.2">
      <c r="Q423" s="149"/>
    </row>
    <row r="424" spans="17:17" x14ac:dyDescent="0.2">
      <c r="Q424" s="149"/>
    </row>
    <row r="425" spans="17:17" x14ac:dyDescent="0.2">
      <c r="Q425" s="149"/>
    </row>
    <row r="426" spans="17:17" x14ac:dyDescent="0.2">
      <c r="Q426" s="149"/>
    </row>
    <row r="427" spans="17:17" x14ac:dyDescent="0.2">
      <c r="Q427" s="149"/>
    </row>
    <row r="428" spans="17:17" x14ac:dyDescent="0.2">
      <c r="Q428" s="149"/>
    </row>
    <row r="429" spans="17:17" x14ac:dyDescent="0.2">
      <c r="Q429" s="149"/>
    </row>
    <row r="430" spans="17:17" x14ac:dyDescent="0.2">
      <c r="Q430" s="149"/>
    </row>
    <row r="431" spans="17:17" x14ac:dyDescent="0.2">
      <c r="Q431" s="149"/>
    </row>
    <row r="432" spans="17:17" x14ac:dyDescent="0.2">
      <c r="Q432" s="149"/>
    </row>
    <row r="433" spans="17:17" x14ac:dyDescent="0.2">
      <c r="Q433" s="149"/>
    </row>
    <row r="434" spans="17:17" x14ac:dyDescent="0.2">
      <c r="Q434" s="149"/>
    </row>
    <row r="435" spans="17:17" x14ac:dyDescent="0.2">
      <c r="Q435" s="149"/>
    </row>
    <row r="436" spans="17:17" x14ac:dyDescent="0.2">
      <c r="Q436" s="149"/>
    </row>
    <row r="437" spans="17:17" x14ac:dyDescent="0.2">
      <c r="Q437" s="149"/>
    </row>
    <row r="438" spans="17:17" x14ac:dyDescent="0.2">
      <c r="Q438" s="149"/>
    </row>
    <row r="439" spans="17:17" x14ac:dyDescent="0.2">
      <c r="Q439" s="149"/>
    </row>
    <row r="440" spans="17:17" x14ac:dyDescent="0.2">
      <c r="Q440" s="149"/>
    </row>
    <row r="441" spans="17:17" x14ac:dyDescent="0.2">
      <c r="Q441" s="149"/>
    </row>
    <row r="442" spans="17:17" x14ac:dyDescent="0.2">
      <c r="Q442" s="149"/>
    </row>
    <row r="443" spans="17:17" x14ac:dyDescent="0.2">
      <c r="Q443" s="149"/>
    </row>
    <row r="444" spans="17:17" x14ac:dyDescent="0.2">
      <c r="Q444" s="149"/>
    </row>
    <row r="445" spans="17:17" x14ac:dyDescent="0.2">
      <c r="Q445" s="149"/>
    </row>
    <row r="446" spans="17:17" x14ac:dyDescent="0.2">
      <c r="Q446" s="149"/>
    </row>
    <row r="447" spans="17:17" x14ac:dyDescent="0.2">
      <c r="Q447" s="149"/>
    </row>
    <row r="448" spans="17:17" x14ac:dyDescent="0.2">
      <c r="Q448" s="149"/>
    </row>
    <row r="449" spans="17:17" x14ac:dyDescent="0.2">
      <c r="Q449" s="149"/>
    </row>
    <row r="450" spans="17:17" x14ac:dyDescent="0.2">
      <c r="Q450" s="149"/>
    </row>
    <row r="451" spans="17:17" x14ac:dyDescent="0.2">
      <c r="Q451" s="149"/>
    </row>
    <row r="452" spans="17:17" x14ac:dyDescent="0.2">
      <c r="Q452" s="149"/>
    </row>
    <row r="453" spans="17:17" x14ac:dyDescent="0.2">
      <c r="Q453" s="149"/>
    </row>
    <row r="454" spans="17:17" x14ac:dyDescent="0.2">
      <c r="Q454" s="149"/>
    </row>
    <row r="455" spans="17:17" x14ac:dyDescent="0.2">
      <c r="Q455" s="149"/>
    </row>
    <row r="456" spans="17:17" x14ac:dyDescent="0.2">
      <c r="Q456" s="149"/>
    </row>
    <row r="457" spans="17:17" x14ac:dyDescent="0.2">
      <c r="Q457" s="149"/>
    </row>
    <row r="458" spans="17:17" x14ac:dyDescent="0.2">
      <c r="Q458" s="149"/>
    </row>
    <row r="459" spans="17:17" x14ac:dyDescent="0.2">
      <c r="Q459" s="149"/>
    </row>
    <row r="460" spans="17:17" x14ac:dyDescent="0.2">
      <c r="Q460" s="149"/>
    </row>
    <row r="461" spans="17:17" x14ac:dyDescent="0.2">
      <c r="Q461" s="149"/>
    </row>
    <row r="462" spans="17:17" x14ac:dyDescent="0.2">
      <c r="Q462" s="149"/>
    </row>
    <row r="463" spans="17:17" x14ac:dyDescent="0.2">
      <c r="Q463" s="149"/>
    </row>
    <row r="464" spans="17:17" x14ac:dyDescent="0.2">
      <c r="Q464" s="149"/>
    </row>
    <row r="465" spans="17:17" x14ac:dyDescent="0.2">
      <c r="Q465" s="149"/>
    </row>
    <row r="466" spans="17:17" x14ac:dyDescent="0.2">
      <c r="Q466" s="149"/>
    </row>
    <row r="467" spans="17:17" x14ac:dyDescent="0.2">
      <c r="Q467" s="149"/>
    </row>
    <row r="468" spans="17:17" x14ac:dyDescent="0.2">
      <c r="Q468" s="149"/>
    </row>
    <row r="469" spans="17:17" x14ac:dyDescent="0.2">
      <c r="Q469" s="149"/>
    </row>
    <row r="470" spans="17:17" x14ac:dyDescent="0.2">
      <c r="Q470" s="149"/>
    </row>
    <row r="471" spans="17:17" x14ac:dyDescent="0.2">
      <c r="Q471" s="149"/>
    </row>
    <row r="472" spans="17:17" x14ac:dyDescent="0.2">
      <c r="Q472" s="149"/>
    </row>
    <row r="473" spans="17:17" x14ac:dyDescent="0.2">
      <c r="Q473" s="149"/>
    </row>
    <row r="474" spans="17:17" x14ac:dyDescent="0.2">
      <c r="Q474" s="149"/>
    </row>
    <row r="475" spans="17:17" x14ac:dyDescent="0.2">
      <c r="Q475" s="149"/>
    </row>
    <row r="476" spans="17:17" x14ac:dyDescent="0.2">
      <c r="Q476" s="149"/>
    </row>
    <row r="477" spans="17:17" x14ac:dyDescent="0.2">
      <c r="Q477" s="149"/>
    </row>
    <row r="478" spans="17:17" x14ac:dyDescent="0.2">
      <c r="Q478" s="149"/>
    </row>
    <row r="479" spans="17:17" x14ac:dyDescent="0.2">
      <c r="Q479" s="149"/>
    </row>
    <row r="480" spans="17:17" x14ac:dyDescent="0.2">
      <c r="Q480" s="149"/>
    </row>
    <row r="481" spans="17:17" x14ac:dyDescent="0.2">
      <c r="Q481" s="149"/>
    </row>
    <row r="482" spans="17:17" x14ac:dyDescent="0.2">
      <c r="Q482" s="149"/>
    </row>
    <row r="483" spans="17:17" x14ac:dyDescent="0.2">
      <c r="Q483" s="149"/>
    </row>
    <row r="484" spans="17:17" x14ac:dyDescent="0.2">
      <c r="Q484" s="149"/>
    </row>
    <row r="485" spans="17:17" x14ac:dyDescent="0.2">
      <c r="Q485" s="149"/>
    </row>
    <row r="486" spans="17:17" x14ac:dyDescent="0.2">
      <c r="Q486" s="149"/>
    </row>
    <row r="487" spans="17:17" x14ac:dyDescent="0.2">
      <c r="Q487" s="149"/>
    </row>
    <row r="488" spans="17:17" x14ac:dyDescent="0.2">
      <c r="Q488" s="149"/>
    </row>
    <row r="489" spans="17:17" x14ac:dyDescent="0.2">
      <c r="Q489" s="149"/>
    </row>
    <row r="490" spans="17:17" x14ac:dyDescent="0.2">
      <c r="Q490" s="149"/>
    </row>
    <row r="491" spans="17:17" x14ac:dyDescent="0.2">
      <c r="Q491" s="149"/>
    </row>
    <row r="492" spans="17:17" x14ac:dyDescent="0.2">
      <c r="Q492" s="149"/>
    </row>
    <row r="493" spans="17:17" x14ac:dyDescent="0.2">
      <c r="Q493" s="149"/>
    </row>
    <row r="494" spans="17:17" x14ac:dyDescent="0.2">
      <c r="Q494" s="149"/>
    </row>
    <row r="495" spans="17:17" x14ac:dyDescent="0.2">
      <c r="Q495" s="149"/>
    </row>
    <row r="496" spans="17:17" x14ac:dyDescent="0.2">
      <c r="Q496" s="149"/>
    </row>
    <row r="497" spans="17:17" x14ac:dyDescent="0.2">
      <c r="Q497" s="149"/>
    </row>
    <row r="498" spans="17:17" x14ac:dyDescent="0.2">
      <c r="Q498" s="149"/>
    </row>
    <row r="499" spans="17:17" x14ac:dyDescent="0.2">
      <c r="Q499" s="149"/>
    </row>
    <row r="500" spans="17:17" x14ac:dyDescent="0.2">
      <c r="Q500" s="149"/>
    </row>
    <row r="501" spans="17:17" x14ac:dyDescent="0.2">
      <c r="Q501" s="149"/>
    </row>
    <row r="502" spans="17:17" x14ac:dyDescent="0.2">
      <c r="Q502" s="149"/>
    </row>
    <row r="503" spans="17:17" x14ac:dyDescent="0.2">
      <c r="Q503" s="149"/>
    </row>
    <row r="504" spans="17:17" x14ac:dyDescent="0.2">
      <c r="Q504" s="149"/>
    </row>
    <row r="505" spans="17:17" x14ac:dyDescent="0.2">
      <c r="Q505" s="149"/>
    </row>
    <row r="506" spans="17:17" x14ac:dyDescent="0.2">
      <c r="Q506" s="149"/>
    </row>
    <row r="507" spans="17:17" x14ac:dyDescent="0.2">
      <c r="Q507" s="149"/>
    </row>
    <row r="508" spans="17:17" x14ac:dyDescent="0.2">
      <c r="Q508" s="149"/>
    </row>
    <row r="509" spans="17:17" x14ac:dyDescent="0.2">
      <c r="Q509" s="149"/>
    </row>
    <row r="510" spans="17:17" x14ac:dyDescent="0.2">
      <c r="Q510" s="149"/>
    </row>
    <row r="511" spans="17:17" x14ac:dyDescent="0.2">
      <c r="Q511" s="149"/>
    </row>
    <row r="512" spans="17:17" x14ac:dyDescent="0.2">
      <c r="Q512" s="149"/>
    </row>
    <row r="513" spans="17:17" x14ac:dyDescent="0.2">
      <c r="Q513" s="149"/>
    </row>
    <row r="514" spans="17:17" x14ac:dyDescent="0.2">
      <c r="Q514" s="149"/>
    </row>
    <row r="515" spans="17:17" x14ac:dyDescent="0.2">
      <c r="Q515" s="149"/>
    </row>
    <row r="516" spans="17:17" x14ac:dyDescent="0.2">
      <c r="Q516" s="149"/>
    </row>
    <row r="517" spans="17:17" x14ac:dyDescent="0.2">
      <c r="Q517" s="149"/>
    </row>
    <row r="518" spans="17:17" x14ac:dyDescent="0.2">
      <c r="Q518" s="149"/>
    </row>
    <row r="519" spans="17:17" x14ac:dyDescent="0.2">
      <c r="Q519" s="149"/>
    </row>
    <row r="520" spans="17:17" x14ac:dyDescent="0.2">
      <c r="Q520" s="149"/>
    </row>
    <row r="521" spans="17:17" x14ac:dyDescent="0.2">
      <c r="Q521" s="149"/>
    </row>
    <row r="522" spans="17:17" x14ac:dyDescent="0.2">
      <c r="Q522" s="149"/>
    </row>
    <row r="523" spans="17:17" x14ac:dyDescent="0.2">
      <c r="Q523" s="149"/>
    </row>
    <row r="524" spans="17:17" x14ac:dyDescent="0.2">
      <c r="Q524" s="149"/>
    </row>
    <row r="525" spans="17:17" x14ac:dyDescent="0.2">
      <c r="Q525" s="149"/>
    </row>
    <row r="526" spans="17:17" x14ac:dyDescent="0.2">
      <c r="Q526" s="149"/>
    </row>
    <row r="527" spans="17:17" x14ac:dyDescent="0.2">
      <c r="Q527" s="149"/>
    </row>
    <row r="528" spans="17:17" x14ac:dyDescent="0.2">
      <c r="Q528" s="149"/>
    </row>
    <row r="529" spans="17:17" x14ac:dyDescent="0.2">
      <c r="Q529" s="149"/>
    </row>
    <row r="530" spans="17:17" x14ac:dyDescent="0.2">
      <c r="Q530" s="149"/>
    </row>
    <row r="531" spans="17:17" x14ac:dyDescent="0.2">
      <c r="Q531" s="149"/>
    </row>
    <row r="532" spans="17:17" x14ac:dyDescent="0.2">
      <c r="Q532" s="149"/>
    </row>
    <row r="533" spans="17:17" x14ac:dyDescent="0.2">
      <c r="Q533" s="149"/>
    </row>
    <row r="534" spans="17:17" x14ac:dyDescent="0.2">
      <c r="Q534" s="149"/>
    </row>
    <row r="535" spans="17:17" x14ac:dyDescent="0.2">
      <c r="Q535" s="149"/>
    </row>
    <row r="536" spans="17:17" x14ac:dyDescent="0.2">
      <c r="Q536" s="149"/>
    </row>
    <row r="537" spans="17:17" x14ac:dyDescent="0.2">
      <c r="Q537" s="149"/>
    </row>
    <row r="538" spans="17:17" x14ac:dyDescent="0.2">
      <c r="Q538" s="149"/>
    </row>
    <row r="539" spans="17:17" x14ac:dyDescent="0.2">
      <c r="Q539" s="149"/>
    </row>
    <row r="540" spans="17:17" x14ac:dyDescent="0.2">
      <c r="Q540" s="149"/>
    </row>
    <row r="541" spans="17:17" x14ac:dyDescent="0.2">
      <c r="Q541" s="149"/>
    </row>
    <row r="542" spans="17:17" x14ac:dyDescent="0.2">
      <c r="Q542" s="149"/>
    </row>
    <row r="543" spans="17:17" x14ac:dyDescent="0.2">
      <c r="Q543" s="149"/>
    </row>
    <row r="544" spans="17:17" x14ac:dyDescent="0.2">
      <c r="Q544" s="149"/>
    </row>
    <row r="545" spans="17:17" x14ac:dyDescent="0.2">
      <c r="Q545" s="149"/>
    </row>
    <row r="546" spans="17:17" x14ac:dyDescent="0.2">
      <c r="Q546" s="149"/>
    </row>
    <row r="547" spans="17:17" x14ac:dyDescent="0.2">
      <c r="Q547" s="149"/>
    </row>
    <row r="548" spans="17:17" x14ac:dyDescent="0.2">
      <c r="Q548" s="149"/>
    </row>
    <row r="549" spans="17:17" x14ac:dyDescent="0.2">
      <c r="Q549" s="149"/>
    </row>
    <row r="550" spans="17:17" x14ac:dyDescent="0.2">
      <c r="Q550" s="149"/>
    </row>
    <row r="551" spans="17:17" x14ac:dyDescent="0.2">
      <c r="Q551" s="149"/>
    </row>
    <row r="552" spans="17:17" x14ac:dyDescent="0.2">
      <c r="Q552" s="149"/>
    </row>
    <row r="553" spans="17:17" x14ac:dyDescent="0.2">
      <c r="Q553" s="149"/>
    </row>
    <row r="554" spans="17:17" x14ac:dyDescent="0.2">
      <c r="Q554" s="149"/>
    </row>
    <row r="555" spans="17:17" x14ac:dyDescent="0.2">
      <c r="Q555" s="149"/>
    </row>
    <row r="556" spans="17:17" x14ac:dyDescent="0.2">
      <c r="Q556" s="149"/>
    </row>
    <row r="557" spans="17:17" x14ac:dyDescent="0.2">
      <c r="Q557" s="149"/>
    </row>
    <row r="558" spans="17:17" x14ac:dyDescent="0.2">
      <c r="Q558" s="149"/>
    </row>
    <row r="559" spans="17:17" x14ac:dyDescent="0.2">
      <c r="Q559" s="149"/>
    </row>
    <row r="560" spans="17:17" x14ac:dyDescent="0.2">
      <c r="Q560" s="149"/>
    </row>
    <row r="561" spans="17:17" x14ac:dyDescent="0.2">
      <c r="Q561" s="149"/>
    </row>
    <row r="562" spans="17:17" x14ac:dyDescent="0.2">
      <c r="Q562" s="149"/>
    </row>
    <row r="563" spans="17:17" x14ac:dyDescent="0.2">
      <c r="Q563" s="149"/>
    </row>
    <row r="564" spans="17:17" x14ac:dyDescent="0.2">
      <c r="Q564" s="149"/>
    </row>
    <row r="565" spans="17:17" x14ac:dyDescent="0.2">
      <c r="Q565" s="149"/>
    </row>
    <row r="566" spans="17:17" x14ac:dyDescent="0.2">
      <c r="Q566" s="149"/>
    </row>
    <row r="567" spans="17:17" x14ac:dyDescent="0.2">
      <c r="Q567" s="149"/>
    </row>
    <row r="568" spans="17:17" x14ac:dyDescent="0.2">
      <c r="Q568" s="149"/>
    </row>
    <row r="569" spans="17:17" x14ac:dyDescent="0.2">
      <c r="Q569" s="149"/>
    </row>
    <row r="570" spans="17:17" x14ac:dyDescent="0.2">
      <c r="Q570" s="149"/>
    </row>
    <row r="571" spans="17:17" x14ac:dyDescent="0.2">
      <c r="Q571" s="149"/>
    </row>
    <row r="572" spans="17:17" x14ac:dyDescent="0.2">
      <c r="Q572" s="149"/>
    </row>
    <row r="573" spans="17:17" x14ac:dyDescent="0.2">
      <c r="Q573" s="149"/>
    </row>
    <row r="574" spans="17:17" x14ac:dyDescent="0.2">
      <c r="Q574" s="149"/>
    </row>
    <row r="575" spans="17:17" x14ac:dyDescent="0.2">
      <c r="Q575" s="149"/>
    </row>
    <row r="576" spans="17:17" x14ac:dyDescent="0.2">
      <c r="Q576" s="149"/>
    </row>
    <row r="577" spans="17:17" x14ac:dyDescent="0.2">
      <c r="Q577" s="149"/>
    </row>
    <row r="578" spans="17:17" x14ac:dyDescent="0.2">
      <c r="Q578" s="149"/>
    </row>
    <row r="579" spans="17:17" x14ac:dyDescent="0.2">
      <c r="Q579" s="149"/>
    </row>
    <row r="580" spans="17:17" x14ac:dyDescent="0.2">
      <c r="Q580" s="149"/>
    </row>
    <row r="581" spans="17:17" x14ac:dyDescent="0.2">
      <c r="Q581" s="149"/>
    </row>
    <row r="582" spans="17:17" x14ac:dyDescent="0.2">
      <c r="Q582" s="149"/>
    </row>
    <row r="583" spans="17:17" x14ac:dyDescent="0.2">
      <c r="Q583" s="149"/>
    </row>
    <row r="584" spans="17:17" x14ac:dyDescent="0.2">
      <c r="Q584" s="149"/>
    </row>
    <row r="585" spans="17:17" x14ac:dyDescent="0.2">
      <c r="Q585" s="149"/>
    </row>
    <row r="586" spans="17:17" x14ac:dyDescent="0.2">
      <c r="Q586" s="149"/>
    </row>
    <row r="587" spans="17:17" x14ac:dyDescent="0.2">
      <c r="Q587" s="149"/>
    </row>
    <row r="588" spans="17:17" x14ac:dyDescent="0.2">
      <c r="Q588" s="149"/>
    </row>
    <row r="589" spans="17:17" x14ac:dyDescent="0.2">
      <c r="Q589" s="149"/>
    </row>
    <row r="590" spans="17:17" x14ac:dyDescent="0.2">
      <c r="Q590" s="149"/>
    </row>
    <row r="591" spans="17:17" x14ac:dyDescent="0.2">
      <c r="Q591" s="149"/>
    </row>
    <row r="592" spans="17:17" x14ac:dyDescent="0.2">
      <c r="Q592" s="149"/>
    </row>
    <row r="593" spans="17:17" x14ac:dyDescent="0.2">
      <c r="Q593" s="149"/>
    </row>
    <row r="594" spans="17:17" x14ac:dyDescent="0.2">
      <c r="Q594" s="149"/>
    </row>
    <row r="595" spans="17:17" x14ac:dyDescent="0.2">
      <c r="Q595" s="149"/>
    </row>
    <row r="596" spans="17:17" x14ac:dyDescent="0.2">
      <c r="Q596" s="149"/>
    </row>
    <row r="597" spans="17:17" x14ac:dyDescent="0.2">
      <c r="Q597" s="149"/>
    </row>
    <row r="598" spans="17:17" x14ac:dyDescent="0.2">
      <c r="Q598" s="149"/>
    </row>
    <row r="599" spans="17:17" x14ac:dyDescent="0.2">
      <c r="Q599" s="149"/>
    </row>
    <row r="600" spans="17:17" x14ac:dyDescent="0.2">
      <c r="Q600" s="149"/>
    </row>
    <row r="601" spans="17:17" x14ac:dyDescent="0.2">
      <c r="Q601" s="149"/>
    </row>
    <row r="602" spans="17:17" x14ac:dyDescent="0.2">
      <c r="Q602" s="149"/>
    </row>
    <row r="603" spans="17:17" x14ac:dyDescent="0.2">
      <c r="Q603" s="149"/>
    </row>
    <row r="604" spans="17:17" x14ac:dyDescent="0.2">
      <c r="Q604" s="149"/>
    </row>
    <row r="605" spans="17:17" x14ac:dyDescent="0.2">
      <c r="Q605" s="149"/>
    </row>
    <row r="606" spans="17:17" x14ac:dyDescent="0.2">
      <c r="Q606" s="149"/>
    </row>
    <row r="607" spans="17:17" x14ac:dyDescent="0.2">
      <c r="Q607" s="149"/>
    </row>
    <row r="608" spans="17:17" x14ac:dyDescent="0.2">
      <c r="Q608" s="149"/>
    </row>
    <row r="609" spans="17:17" x14ac:dyDescent="0.2">
      <c r="Q609" s="149"/>
    </row>
    <row r="610" spans="17:17" x14ac:dyDescent="0.2">
      <c r="Q610" s="149"/>
    </row>
    <row r="611" spans="17:17" x14ac:dyDescent="0.2">
      <c r="Q611" s="149"/>
    </row>
    <row r="612" spans="17:17" x14ac:dyDescent="0.2">
      <c r="Q612" s="149"/>
    </row>
    <row r="613" spans="17:17" x14ac:dyDescent="0.2">
      <c r="Q613" s="149"/>
    </row>
    <row r="614" spans="17:17" x14ac:dyDescent="0.2">
      <c r="Q614" s="149"/>
    </row>
    <row r="615" spans="17:17" x14ac:dyDescent="0.2">
      <c r="Q615" s="149"/>
    </row>
    <row r="616" spans="17:17" x14ac:dyDescent="0.2">
      <c r="Q616" s="149"/>
    </row>
    <row r="617" spans="17:17" x14ac:dyDescent="0.2">
      <c r="Q617" s="149"/>
    </row>
    <row r="618" spans="17:17" x14ac:dyDescent="0.2">
      <c r="Q618" s="149"/>
    </row>
    <row r="619" spans="17:17" x14ac:dyDescent="0.2">
      <c r="Q619" s="149"/>
    </row>
    <row r="620" spans="17:17" x14ac:dyDescent="0.2">
      <c r="Q620" s="149"/>
    </row>
    <row r="621" spans="17:17" x14ac:dyDescent="0.2">
      <c r="Q621" s="149"/>
    </row>
    <row r="622" spans="17:17" x14ac:dyDescent="0.2">
      <c r="Q622" s="149"/>
    </row>
    <row r="623" spans="17:17" x14ac:dyDescent="0.2">
      <c r="Q623" s="149"/>
    </row>
    <row r="624" spans="17:17" x14ac:dyDescent="0.2">
      <c r="Q624" s="149"/>
    </row>
    <row r="625" spans="17:17" x14ac:dyDescent="0.2">
      <c r="Q625" s="149"/>
    </row>
    <row r="626" spans="17:17" x14ac:dyDescent="0.2">
      <c r="Q626" s="149"/>
    </row>
    <row r="627" spans="17:17" x14ac:dyDescent="0.2">
      <c r="Q627" s="149"/>
    </row>
    <row r="628" spans="17:17" x14ac:dyDescent="0.2">
      <c r="Q628" s="149"/>
    </row>
    <row r="629" spans="17:17" x14ac:dyDescent="0.2">
      <c r="Q629" s="149"/>
    </row>
    <row r="630" spans="17:17" x14ac:dyDescent="0.2">
      <c r="Q630" s="149"/>
    </row>
    <row r="631" spans="17:17" x14ac:dyDescent="0.2">
      <c r="Q631" s="149"/>
    </row>
    <row r="632" spans="17:17" x14ac:dyDescent="0.2">
      <c r="Q632" s="149"/>
    </row>
    <row r="633" spans="17:17" x14ac:dyDescent="0.2">
      <c r="Q633" s="149"/>
    </row>
    <row r="634" spans="17:17" x14ac:dyDescent="0.2">
      <c r="Q634" s="149"/>
    </row>
    <row r="635" spans="17:17" x14ac:dyDescent="0.2">
      <c r="Q635" s="149"/>
    </row>
    <row r="636" spans="17:17" x14ac:dyDescent="0.2">
      <c r="Q636" s="149"/>
    </row>
    <row r="637" spans="17:17" x14ac:dyDescent="0.2">
      <c r="Q637" s="149"/>
    </row>
    <row r="638" spans="17:17" x14ac:dyDescent="0.2">
      <c r="Q638" s="149"/>
    </row>
    <row r="639" spans="17:17" x14ac:dyDescent="0.2">
      <c r="Q639" s="149"/>
    </row>
    <row r="640" spans="17:17" x14ac:dyDescent="0.2">
      <c r="Q640" s="149"/>
    </row>
    <row r="641" spans="17:17" x14ac:dyDescent="0.2">
      <c r="Q641" s="149"/>
    </row>
    <row r="642" spans="17:17" x14ac:dyDescent="0.2">
      <c r="Q642" s="149"/>
    </row>
    <row r="643" spans="17:17" x14ac:dyDescent="0.2">
      <c r="Q643" s="149"/>
    </row>
    <row r="644" spans="17:17" x14ac:dyDescent="0.2">
      <c r="Q644" s="149"/>
    </row>
    <row r="645" spans="17:17" x14ac:dyDescent="0.2">
      <c r="Q645" s="149"/>
    </row>
    <row r="646" spans="17:17" x14ac:dyDescent="0.2">
      <c r="Q646" s="149"/>
    </row>
    <row r="647" spans="17:17" x14ac:dyDescent="0.2">
      <c r="Q647" s="149"/>
    </row>
    <row r="648" spans="17:17" x14ac:dyDescent="0.2">
      <c r="Q648" s="149"/>
    </row>
    <row r="649" spans="17:17" x14ac:dyDescent="0.2">
      <c r="Q649" s="149"/>
    </row>
    <row r="650" spans="17:17" x14ac:dyDescent="0.2">
      <c r="Q650" s="149"/>
    </row>
    <row r="651" spans="17:17" x14ac:dyDescent="0.2">
      <c r="Q651" s="149"/>
    </row>
    <row r="652" spans="17:17" x14ac:dyDescent="0.2">
      <c r="Q652" s="149"/>
    </row>
    <row r="653" spans="17:17" x14ac:dyDescent="0.2">
      <c r="Q653" s="149"/>
    </row>
    <row r="654" spans="17:17" x14ac:dyDescent="0.2">
      <c r="Q654" s="149"/>
    </row>
    <row r="655" spans="17:17" x14ac:dyDescent="0.2">
      <c r="Q655" s="149"/>
    </row>
    <row r="656" spans="17:17" x14ac:dyDescent="0.2">
      <c r="Q656" s="149"/>
    </row>
    <row r="657" spans="17:17" x14ac:dyDescent="0.2">
      <c r="Q657" s="149"/>
    </row>
    <row r="658" spans="17:17" x14ac:dyDescent="0.2">
      <c r="Q658" s="149"/>
    </row>
    <row r="659" spans="17:17" x14ac:dyDescent="0.2">
      <c r="Q659" s="149"/>
    </row>
    <row r="660" spans="17:17" x14ac:dyDescent="0.2">
      <c r="Q660" s="149"/>
    </row>
    <row r="661" spans="17:17" x14ac:dyDescent="0.2">
      <c r="Q661" s="149"/>
    </row>
    <row r="662" spans="17:17" x14ac:dyDescent="0.2">
      <c r="Q662" s="149"/>
    </row>
    <row r="663" spans="17:17" x14ac:dyDescent="0.2">
      <c r="Q663" s="149"/>
    </row>
    <row r="664" spans="17:17" x14ac:dyDescent="0.2">
      <c r="Q664" s="149"/>
    </row>
    <row r="665" spans="17:17" x14ac:dyDescent="0.2">
      <c r="Q665" s="149"/>
    </row>
    <row r="666" spans="17:17" x14ac:dyDescent="0.2">
      <c r="Q666" s="149"/>
    </row>
    <row r="667" spans="17:17" x14ac:dyDescent="0.2">
      <c r="Q667" s="149"/>
    </row>
    <row r="668" spans="17:17" x14ac:dyDescent="0.2">
      <c r="Q668" s="149"/>
    </row>
    <row r="669" spans="17:17" x14ac:dyDescent="0.2">
      <c r="Q669" s="149"/>
    </row>
    <row r="670" spans="17:17" x14ac:dyDescent="0.2">
      <c r="Q670" s="149"/>
    </row>
    <row r="671" spans="17:17" x14ac:dyDescent="0.2">
      <c r="Q671" s="149"/>
    </row>
    <row r="672" spans="17:17" x14ac:dyDescent="0.2">
      <c r="Q672" s="149"/>
    </row>
    <row r="673" spans="17:17" x14ac:dyDescent="0.2">
      <c r="Q673" s="149"/>
    </row>
    <row r="674" spans="17:17" x14ac:dyDescent="0.2">
      <c r="Q674" s="149"/>
    </row>
    <row r="675" spans="17:17" x14ac:dyDescent="0.2">
      <c r="Q675" s="149"/>
    </row>
    <row r="676" spans="17:17" x14ac:dyDescent="0.2">
      <c r="Q676" s="149"/>
    </row>
    <row r="677" spans="17:17" x14ac:dyDescent="0.2">
      <c r="Q677" s="149"/>
    </row>
    <row r="678" spans="17:17" x14ac:dyDescent="0.2">
      <c r="Q678" s="149"/>
    </row>
    <row r="679" spans="17:17" x14ac:dyDescent="0.2">
      <c r="Q679" s="149"/>
    </row>
    <row r="680" spans="17:17" x14ac:dyDescent="0.2">
      <c r="Q680" s="149"/>
    </row>
    <row r="681" spans="17:17" x14ac:dyDescent="0.2">
      <c r="Q681" s="149"/>
    </row>
    <row r="682" spans="17:17" x14ac:dyDescent="0.2">
      <c r="Q682" s="149"/>
    </row>
    <row r="683" spans="17:17" x14ac:dyDescent="0.2">
      <c r="Q683" s="149"/>
    </row>
    <row r="684" spans="17:17" x14ac:dyDescent="0.2">
      <c r="Q684" s="149"/>
    </row>
    <row r="685" spans="17:17" x14ac:dyDescent="0.2">
      <c r="Q685" s="149"/>
    </row>
    <row r="686" spans="17:17" x14ac:dyDescent="0.2">
      <c r="Q686" s="149"/>
    </row>
    <row r="687" spans="17:17" x14ac:dyDescent="0.2">
      <c r="Q687" s="149"/>
    </row>
    <row r="688" spans="17:17" x14ac:dyDescent="0.2">
      <c r="Q688" s="149"/>
    </row>
    <row r="689" spans="17:17" x14ac:dyDescent="0.2">
      <c r="Q689" s="149"/>
    </row>
    <row r="690" spans="17:17" x14ac:dyDescent="0.2">
      <c r="Q690" s="149"/>
    </row>
    <row r="691" spans="17:17" x14ac:dyDescent="0.2">
      <c r="Q691" s="149"/>
    </row>
    <row r="692" spans="17:17" x14ac:dyDescent="0.2">
      <c r="Q692" s="149"/>
    </row>
    <row r="693" spans="17:17" x14ac:dyDescent="0.2">
      <c r="Q693" s="149"/>
    </row>
    <row r="694" spans="17:17" x14ac:dyDescent="0.2">
      <c r="Q694" s="149"/>
    </row>
    <row r="695" spans="17:17" x14ac:dyDescent="0.2">
      <c r="Q695" s="149"/>
    </row>
    <row r="696" spans="17:17" x14ac:dyDescent="0.2">
      <c r="Q696" s="149"/>
    </row>
    <row r="697" spans="17:17" x14ac:dyDescent="0.2">
      <c r="Q697" s="149"/>
    </row>
    <row r="698" spans="17:17" x14ac:dyDescent="0.2">
      <c r="Q698" s="149"/>
    </row>
    <row r="699" spans="17:17" x14ac:dyDescent="0.2">
      <c r="Q699" s="149"/>
    </row>
    <row r="700" spans="17:17" x14ac:dyDescent="0.2">
      <c r="Q700" s="149"/>
    </row>
    <row r="701" spans="17:17" x14ac:dyDescent="0.2">
      <c r="Q701" s="149"/>
    </row>
    <row r="702" spans="17:17" x14ac:dyDescent="0.2">
      <c r="Q702" s="149"/>
    </row>
    <row r="703" spans="17:17" x14ac:dyDescent="0.2">
      <c r="Q703" s="149"/>
    </row>
    <row r="704" spans="17:17" x14ac:dyDescent="0.2">
      <c r="Q704" s="149"/>
    </row>
    <row r="705" spans="17:17" x14ac:dyDescent="0.2">
      <c r="Q705" s="149"/>
    </row>
    <row r="706" spans="17:17" x14ac:dyDescent="0.2">
      <c r="Q706" s="149"/>
    </row>
    <row r="707" spans="17:17" x14ac:dyDescent="0.2">
      <c r="Q707" s="149"/>
    </row>
    <row r="708" spans="17:17" x14ac:dyDescent="0.2">
      <c r="Q708" s="149"/>
    </row>
    <row r="709" spans="17:17" x14ac:dyDescent="0.2">
      <c r="Q709" s="149"/>
    </row>
    <row r="710" spans="17:17" x14ac:dyDescent="0.2">
      <c r="Q710" s="149"/>
    </row>
    <row r="711" spans="17:17" x14ac:dyDescent="0.2">
      <c r="Q711" s="149"/>
    </row>
    <row r="712" spans="17:17" x14ac:dyDescent="0.2">
      <c r="Q712" s="149"/>
    </row>
    <row r="713" spans="17:17" x14ac:dyDescent="0.2">
      <c r="Q713" s="149"/>
    </row>
    <row r="714" spans="17:17" x14ac:dyDescent="0.2">
      <c r="Q714" s="149"/>
    </row>
    <row r="715" spans="17:17" x14ac:dyDescent="0.2">
      <c r="Q715" s="149"/>
    </row>
    <row r="716" spans="17:17" x14ac:dyDescent="0.2">
      <c r="Q716" s="149"/>
    </row>
    <row r="717" spans="17:17" x14ac:dyDescent="0.2">
      <c r="Q717" s="149"/>
    </row>
    <row r="718" spans="17:17" x14ac:dyDescent="0.2">
      <c r="Q718" s="149"/>
    </row>
    <row r="719" spans="17:17" x14ac:dyDescent="0.2">
      <c r="Q719" s="149"/>
    </row>
    <row r="720" spans="17:17" x14ac:dyDescent="0.2">
      <c r="Q720" s="149"/>
    </row>
    <row r="721" spans="17:17" x14ac:dyDescent="0.2">
      <c r="Q721" s="149"/>
    </row>
    <row r="722" spans="17:17" x14ac:dyDescent="0.2">
      <c r="Q722" s="149"/>
    </row>
    <row r="723" spans="17:17" x14ac:dyDescent="0.2">
      <c r="Q723" s="149"/>
    </row>
    <row r="724" spans="17:17" x14ac:dyDescent="0.2">
      <c r="Q724" s="149"/>
    </row>
    <row r="725" spans="17:17" x14ac:dyDescent="0.2">
      <c r="Q725" s="149"/>
    </row>
    <row r="726" spans="17:17" x14ac:dyDescent="0.2">
      <c r="Q726" s="149"/>
    </row>
    <row r="727" spans="17:17" x14ac:dyDescent="0.2">
      <c r="Q727" s="149"/>
    </row>
    <row r="728" spans="17:17" x14ac:dyDescent="0.2">
      <c r="Q728" s="149"/>
    </row>
    <row r="729" spans="17:17" x14ac:dyDescent="0.2">
      <c r="Q729" s="149"/>
    </row>
    <row r="730" spans="17:17" x14ac:dyDescent="0.2">
      <c r="Q730" s="149"/>
    </row>
    <row r="731" spans="17:17" x14ac:dyDescent="0.2">
      <c r="Q731" s="149"/>
    </row>
    <row r="732" spans="17:17" x14ac:dyDescent="0.2">
      <c r="Q732" s="149"/>
    </row>
    <row r="733" spans="17:17" x14ac:dyDescent="0.2">
      <c r="Q733" s="149"/>
    </row>
    <row r="734" spans="17:17" x14ac:dyDescent="0.2">
      <c r="Q734" s="149"/>
    </row>
    <row r="735" spans="17:17" x14ac:dyDescent="0.2">
      <c r="Q735" s="149"/>
    </row>
    <row r="736" spans="17:17" x14ac:dyDescent="0.2">
      <c r="Q736" s="149"/>
    </row>
    <row r="737" spans="17:17" x14ac:dyDescent="0.2">
      <c r="Q737" s="149"/>
    </row>
    <row r="738" spans="17:17" x14ac:dyDescent="0.2">
      <c r="Q738" s="149"/>
    </row>
    <row r="739" spans="17:17" x14ac:dyDescent="0.2">
      <c r="Q739" s="149"/>
    </row>
    <row r="740" spans="17:17" x14ac:dyDescent="0.2">
      <c r="Q740" s="149"/>
    </row>
    <row r="741" spans="17:17" x14ac:dyDescent="0.2">
      <c r="Q741" s="149"/>
    </row>
    <row r="742" spans="17:17" x14ac:dyDescent="0.2">
      <c r="Q742" s="149"/>
    </row>
    <row r="743" spans="17:17" x14ac:dyDescent="0.2">
      <c r="Q743" s="149"/>
    </row>
    <row r="744" spans="17:17" x14ac:dyDescent="0.2">
      <c r="Q744" s="149"/>
    </row>
    <row r="745" spans="17:17" x14ac:dyDescent="0.2">
      <c r="Q745" s="149"/>
    </row>
    <row r="746" spans="17:17" x14ac:dyDescent="0.2">
      <c r="Q746" s="149"/>
    </row>
    <row r="747" spans="17:17" x14ac:dyDescent="0.2">
      <c r="Q747" s="149"/>
    </row>
    <row r="748" spans="17:17" x14ac:dyDescent="0.2">
      <c r="Q748" s="149"/>
    </row>
    <row r="749" spans="17:17" x14ac:dyDescent="0.2">
      <c r="Q749" s="149"/>
    </row>
    <row r="750" spans="17:17" x14ac:dyDescent="0.2">
      <c r="Q750" s="149"/>
    </row>
    <row r="751" spans="17:17" x14ac:dyDescent="0.2">
      <c r="Q751" s="149"/>
    </row>
    <row r="752" spans="17:17" x14ac:dyDescent="0.2">
      <c r="Q752" s="149"/>
    </row>
    <row r="753" spans="17:17" x14ac:dyDescent="0.2">
      <c r="Q753" s="149"/>
    </row>
    <row r="754" spans="17:17" x14ac:dyDescent="0.2">
      <c r="Q754" s="149"/>
    </row>
    <row r="755" spans="17:17" x14ac:dyDescent="0.2">
      <c r="Q755" s="149"/>
    </row>
    <row r="756" spans="17:17" x14ac:dyDescent="0.2">
      <c r="Q756" s="149"/>
    </row>
    <row r="757" spans="17:17" x14ac:dyDescent="0.2">
      <c r="Q757" s="149"/>
    </row>
    <row r="758" spans="17:17" x14ac:dyDescent="0.2">
      <c r="Q758" s="149"/>
    </row>
    <row r="759" spans="17:17" x14ac:dyDescent="0.2">
      <c r="Q759" s="149"/>
    </row>
    <row r="760" spans="17:17" x14ac:dyDescent="0.2">
      <c r="Q760" s="149"/>
    </row>
    <row r="761" spans="17:17" x14ac:dyDescent="0.2">
      <c r="Q761" s="149"/>
    </row>
    <row r="762" spans="17:17" x14ac:dyDescent="0.2">
      <c r="Q762" s="149"/>
    </row>
    <row r="763" spans="17:17" x14ac:dyDescent="0.2">
      <c r="Q763" s="149"/>
    </row>
    <row r="764" spans="17:17" x14ac:dyDescent="0.2">
      <c r="Q764" s="149"/>
    </row>
    <row r="765" spans="17:17" x14ac:dyDescent="0.2">
      <c r="Q765" s="149"/>
    </row>
    <row r="766" spans="17:17" x14ac:dyDescent="0.2">
      <c r="Q766" s="149"/>
    </row>
    <row r="767" spans="17:17" x14ac:dyDescent="0.2">
      <c r="Q767" s="149"/>
    </row>
    <row r="768" spans="17:17" x14ac:dyDescent="0.2">
      <c r="Q768" s="149"/>
    </row>
    <row r="769" spans="17:17" x14ac:dyDescent="0.2">
      <c r="Q769" s="149"/>
    </row>
    <row r="770" spans="17:17" x14ac:dyDescent="0.2">
      <c r="Q770" s="149"/>
    </row>
    <row r="771" spans="17:17" x14ac:dyDescent="0.2">
      <c r="Q771" s="149"/>
    </row>
    <row r="772" spans="17:17" x14ac:dyDescent="0.2">
      <c r="Q772" s="149"/>
    </row>
    <row r="773" spans="17:17" x14ac:dyDescent="0.2">
      <c r="Q773" s="149"/>
    </row>
    <row r="774" spans="17:17" x14ac:dyDescent="0.2">
      <c r="Q774" s="149"/>
    </row>
    <row r="775" spans="17:17" x14ac:dyDescent="0.2">
      <c r="Q775" s="149"/>
    </row>
    <row r="776" spans="17:17" x14ac:dyDescent="0.2">
      <c r="Q776" s="149"/>
    </row>
    <row r="777" spans="17:17" x14ac:dyDescent="0.2">
      <c r="Q777" s="149"/>
    </row>
    <row r="778" spans="17:17" x14ac:dyDescent="0.2">
      <c r="Q778" s="149"/>
    </row>
    <row r="779" spans="17:17" x14ac:dyDescent="0.2">
      <c r="Q779" s="149"/>
    </row>
    <row r="780" spans="17:17" x14ac:dyDescent="0.2">
      <c r="Q780" s="149"/>
    </row>
    <row r="781" spans="17:17" x14ac:dyDescent="0.2">
      <c r="Q781" s="149"/>
    </row>
    <row r="782" spans="17:17" x14ac:dyDescent="0.2">
      <c r="Q782" s="149"/>
    </row>
    <row r="783" spans="17:17" x14ac:dyDescent="0.2">
      <c r="Q783" s="149"/>
    </row>
    <row r="784" spans="17:17" x14ac:dyDescent="0.2">
      <c r="Q784" s="149"/>
    </row>
    <row r="785" spans="17:17" x14ac:dyDescent="0.2">
      <c r="Q785" s="149"/>
    </row>
    <row r="786" spans="17:17" x14ac:dyDescent="0.2">
      <c r="Q786" s="149"/>
    </row>
    <row r="787" spans="17:17" x14ac:dyDescent="0.2">
      <c r="Q787" s="149"/>
    </row>
    <row r="788" spans="17:17" x14ac:dyDescent="0.2">
      <c r="Q788" s="149"/>
    </row>
    <row r="789" spans="17:17" x14ac:dyDescent="0.2">
      <c r="Q789" s="149"/>
    </row>
    <row r="790" spans="17:17" x14ac:dyDescent="0.2">
      <c r="Q790" s="149"/>
    </row>
    <row r="791" spans="17:17" x14ac:dyDescent="0.2">
      <c r="Q791" s="149"/>
    </row>
    <row r="792" spans="17:17" x14ac:dyDescent="0.2">
      <c r="Q792" s="149"/>
    </row>
    <row r="793" spans="17:17" x14ac:dyDescent="0.2">
      <c r="Q793" s="149"/>
    </row>
    <row r="794" spans="17:17" x14ac:dyDescent="0.2">
      <c r="Q794" s="149"/>
    </row>
    <row r="795" spans="17:17" x14ac:dyDescent="0.2">
      <c r="Q795" s="149"/>
    </row>
    <row r="796" spans="17:17" x14ac:dyDescent="0.2">
      <c r="Q796" s="149"/>
    </row>
    <row r="797" spans="17:17" x14ac:dyDescent="0.2">
      <c r="Q797" s="149"/>
    </row>
    <row r="798" spans="17:17" x14ac:dyDescent="0.2">
      <c r="Q798" s="149"/>
    </row>
    <row r="799" spans="17:17" x14ac:dyDescent="0.2">
      <c r="Q799" s="149"/>
    </row>
    <row r="800" spans="17:17" x14ac:dyDescent="0.2">
      <c r="Q800" s="149"/>
    </row>
    <row r="801" spans="17:17" x14ac:dyDescent="0.2">
      <c r="Q801" s="149"/>
    </row>
    <row r="802" spans="17:17" x14ac:dyDescent="0.2">
      <c r="Q802" s="149"/>
    </row>
    <row r="803" spans="17:17" x14ac:dyDescent="0.2">
      <c r="Q803" s="149"/>
    </row>
    <row r="804" spans="17:17" x14ac:dyDescent="0.2">
      <c r="Q804" s="149"/>
    </row>
    <row r="805" spans="17:17" x14ac:dyDescent="0.2">
      <c r="Q805" s="149"/>
    </row>
    <row r="806" spans="17:17" x14ac:dyDescent="0.2">
      <c r="Q806" s="149"/>
    </row>
    <row r="807" spans="17:17" x14ac:dyDescent="0.2">
      <c r="Q807" s="149"/>
    </row>
    <row r="808" spans="17:17" x14ac:dyDescent="0.2">
      <c r="Q808" s="149"/>
    </row>
    <row r="809" spans="17:17" x14ac:dyDescent="0.2">
      <c r="Q809" s="149"/>
    </row>
    <row r="810" spans="17:17" x14ac:dyDescent="0.2">
      <c r="Q810" s="149"/>
    </row>
    <row r="811" spans="17:17" x14ac:dyDescent="0.2">
      <c r="Q811" s="149"/>
    </row>
    <row r="812" spans="17:17" x14ac:dyDescent="0.2">
      <c r="Q812" s="149"/>
    </row>
    <row r="813" spans="17:17" x14ac:dyDescent="0.2">
      <c r="Q813" s="149"/>
    </row>
    <row r="814" spans="17:17" x14ac:dyDescent="0.2">
      <c r="Q814" s="149"/>
    </row>
    <row r="815" spans="17:17" x14ac:dyDescent="0.2">
      <c r="Q815" s="149"/>
    </row>
    <row r="816" spans="17:17" x14ac:dyDescent="0.2">
      <c r="Q816" s="149"/>
    </row>
    <row r="817" spans="17:17" x14ac:dyDescent="0.2">
      <c r="Q817" s="149"/>
    </row>
    <row r="818" spans="17:17" x14ac:dyDescent="0.2">
      <c r="Q818" s="149"/>
    </row>
    <row r="819" spans="17:17" x14ac:dyDescent="0.2">
      <c r="Q819" s="149"/>
    </row>
    <row r="820" spans="17:17" x14ac:dyDescent="0.2">
      <c r="Q820" s="149"/>
    </row>
    <row r="821" spans="17:17" x14ac:dyDescent="0.2">
      <c r="Q821" s="149"/>
    </row>
    <row r="822" spans="17:17" x14ac:dyDescent="0.2">
      <c r="Q822" s="149"/>
    </row>
    <row r="823" spans="17:17" x14ac:dyDescent="0.2">
      <c r="Q823" s="149"/>
    </row>
    <row r="824" spans="17:17" x14ac:dyDescent="0.2">
      <c r="Q824" s="149"/>
    </row>
    <row r="825" spans="17:17" x14ac:dyDescent="0.2">
      <c r="Q825" s="149"/>
    </row>
    <row r="826" spans="17:17" x14ac:dyDescent="0.2">
      <c r="Q826" s="149"/>
    </row>
    <row r="827" spans="17:17" x14ac:dyDescent="0.2">
      <c r="Q827" s="149"/>
    </row>
    <row r="828" spans="17:17" x14ac:dyDescent="0.2">
      <c r="Q828" s="149"/>
    </row>
    <row r="829" spans="17:17" x14ac:dyDescent="0.2">
      <c r="Q829" s="149"/>
    </row>
    <row r="830" spans="17:17" x14ac:dyDescent="0.2">
      <c r="Q830" s="149"/>
    </row>
    <row r="831" spans="17:17" x14ac:dyDescent="0.2">
      <c r="Q831" s="149"/>
    </row>
    <row r="832" spans="17:17" x14ac:dyDescent="0.2">
      <c r="Q832" s="149"/>
    </row>
    <row r="833" spans="17:17" x14ac:dyDescent="0.2">
      <c r="Q833" s="149"/>
    </row>
    <row r="834" spans="17:17" x14ac:dyDescent="0.2">
      <c r="Q834" s="149"/>
    </row>
    <row r="835" spans="17:17" x14ac:dyDescent="0.2">
      <c r="Q835" s="149"/>
    </row>
    <row r="836" spans="17:17" x14ac:dyDescent="0.2">
      <c r="Q836" s="149"/>
    </row>
    <row r="837" spans="17:17" x14ac:dyDescent="0.2">
      <c r="Q837" s="149"/>
    </row>
    <row r="838" spans="17:17" x14ac:dyDescent="0.2">
      <c r="Q838" s="149"/>
    </row>
    <row r="839" spans="17:17" x14ac:dyDescent="0.2">
      <c r="Q839" s="149"/>
    </row>
    <row r="840" spans="17:17" x14ac:dyDescent="0.2">
      <c r="Q840" s="149"/>
    </row>
    <row r="841" spans="17:17" x14ac:dyDescent="0.2">
      <c r="Q841" s="149"/>
    </row>
    <row r="842" spans="17:17" x14ac:dyDescent="0.2">
      <c r="Q842" s="149"/>
    </row>
    <row r="843" spans="17:17" x14ac:dyDescent="0.2">
      <c r="Q843" s="149"/>
    </row>
    <row r="844" spans="17:17" x14ac:dyDescent="0.2">
      <c r="Q844" s="149"/>
    </row>
    <row r="845" spans="17:17" x14ac:dyDescent="0.2">
      <c r="Q845" s="149"/>
    </row>
    <row r="846" spans="17:17" x14ac:dyDescent="0.2">
      <c r="Q846" s="149"/>
    </row>
    <row r="847" spans="17:17" x14ac:dyDescent="0.2">
      <c r="Q847" s="149"/>
    </row>
    <row r="848" spans="17:17" x14ac:dyDescent="0.2">
      <c r="Q848" s="149"/>
    </row>
    <row r="849" spans="17:17" x14ac:dyDescent="0.2">
      <c r="Q849" s="149"/>
    </row>
    <row r="850" spans="17:17" x14ac:dyDescent="0.2">
      <c r="Q850" s="149"/>
    </row>
    <row r="851" spans="17:17" x14ac:dyDescent="0.2">
      <c r="Q851" s="149"/>
    </row>
    <row r="852" spans="17:17" x14ac:dyDescent="0.2">
      <c r="Q852" s="149"/>
    </row>
    <row r="853" spans="17:17" x14ac:dyDescent="0.2">
      <c r="Q853" s="149"/>
    </row>
    <row r="854" spans="17:17" x14ac:dyDescent="0.2">
      <c r="Q854" s="149"/>
    </row>
    <row r="855" spans="17:17" x14ac:dyDescent="0.2">
      <c r="Q855" s="149"/>
    </row>
    <row r="856" spans="17:17" x14ac:dyDescent="0.2">
      <c r="Q856" s="149"/>
    </row>
    <row r="857" spans="17:17" x14ac:dyDescent="0.2">
      <c r="Q857" s="149"/>
    </row>
    <row r="858" spans="17:17" x14ac:dyDescent="0.2">
      <c r="Q858" s="149"/>
    </row>
    <row r="859" spans="17:17" x14ac:dyDescent="0.2">
      <c r="Q859" s="149"/>
    </row>
    <row r="860" spans="17:17" x14ac:dyDescent="0.2">
      <c r="Q860" s="149"/>
    </row>
    <row r="861" spans="17:17" x14ac:dyDescent="0.2">
      <c r="Q861" s="149"/>
    </row>
    <row r="862" spans="17:17" x14ac:dyDescent="0.2">
      <c r="Q862" s="149"/>
    </row>
    <row r="863" spans="17:17" x14ac:dyDescent="0.2">
      <c r="Q863" s="149"/>
    </row>
    <row r="864" spans="17:17" x14ac:dyDescent="0.2">
      <c r="Q864" s="149"/>
    </row>
    <row r="865" spans="17:17" x14ac:dyDescent="0.2">
      <c r="Q865" s="149"/>
    </row>
    <row r="866" spans="17:17" x14ac:dyDescent="0.2">
      <c r="Q866" s="149"/>
    </row>
    <row r="867" spans="17:17" x14ac:dyDescent="0.2">
      <c r="Q867" s="149"/>
    </row>
    <row r="868" spans="17:17" x14ac:dyDescent="0.2">
      <c r="Q868" s="149"/>
    </row>
    <row r="869" spans="17:17" x14ac:dyDescent="0.2">
      <c r="Q869" s="149"/>
    </row>
    <row r="870" spans="17:17" x14ac:dyDescent="0.2">
      <c r="Q870" s="149"/>
    </row>
    <row r="871" spans="17:17" x14ac:dyDescent="0.2">
      <c r="Q871" s="149"/>
    </row>
    <row r="872" spans="17:17" x14ac:dyDescent="0.2">
      <c r="Q872" s="149"/>
    </row>
    <row r="873" spans="17:17" x14ac:dyDescent="0.2">
      <c r="Q873" s="149"/>
    </row>
    <row r="874" spans="17:17" x14ac:dyDescent="0.2">
      <c r="Q874" s="149"/>
    </row>
    <row r="875" spans="17:17" x14ac:dyDescent="0.2">
      <c r="Q875" s="149"/>
    </row>
    <row r="876" spans="17:17" x14ac:dyDescent="0.2">
      <c r="Q876" s="149"/>
    </row>
    <row r="877" spans="17:17" x14ac:dyDescent="0.2">
      <c r="Q877" s="149"/>
    </row>
    <row r="878" spans="17:17" x14ac:dyDescent="0.2">
      <c r="Q878" s="149"/>
    </row>
    <row r="879" spans="17:17" x14ac:dyDescent="0.2">
      <c r="Q879" s="149"/>
    </row>
    <row r="880" spans="17:17" x14ac:dyDescent="0.2">
      <c r="Q880" s="149"/>
    </row>
    <row r="881" spans="17:17" x14ac:dyDescent="0.2">
      <c r="Q881" s="149"/>
    </row>
    <row r="882" spans="17:17" x14ac:dyDescent="0.2">
      <c r="Q882" s="149"/>
    </row>
    <row r="883" spans="17:17" x14ac:dyDescent="0.2">
      <c r="Q883" s="149"/>
    </row>
    <row r="884" spans="17:17" x14ac:dyDescent="0.2">
      <c r="Q884" s="149"/>
    </row>
    <row r="885" spans="17:17" x14ac:dyDescent="0.2">
      <c r="Q885" s="149"/>
    </row>
    <row r="886" spans="17:17" x14ac:dyDescent="0.2">
      <c r="Q886" s="149"/>
    </row>
    <row r="887" spans="17:17" x14ac:dyDescent="0.2">
      <c r="Q887" s="149"/>
    </row>
    <row r="888" spans="17:17" x14ac:dyDescent="0.2">
      <c r="Q888" s="149"/>
    </row>
    <row r="889" spans="17:17" x14ac:dyDescent="0.2">
      <c r="Q889" s="149"/>
    </row>
    <row r="890" spans="17:17" x14ac:dyDescent="0.2">
      <c r="Q890" s="149"/>
    </row>
    <row r="891" spans="17:17" x14ac:dyDescent="0.2">
      <c r="Q891" s="149"/>
    </row>
    <row r="892" spans="17:17" x14ac:dyDescent="0.2">
      <c r="Q892" s="149"/>
    </row>
    <row r="893" spans="17:17" x14ac:dyDescent="0.2">
      <c r="Q893" s="149"/>
    </row>
    <row r="894" spans="17:17" x14ac:dyDescent="0.2">
      <c r="Q894" s="149"/>
    </row>
    <row r="895" spans="17:17" x14ac:dyDescent="0.2">
      <c r="Q895" s="149"/>
    </row>
    <row r="896" spans="17:17" x14ac:dyDescent="0.2">
      <c r="Q896" s="149"/>
    </row>
    <row r="897" spans="17:17" x14ac:dyDescent="0.2">
      <c r="Q897" s="149"/>
    </row>
    <row r="898" spans="17:17" x14ac:dyDescent="0.2">
      <c r="Q898" s="149"/>
    </row>
    <row r="899" spans="17:17" x14ac:dyDescent="0.2">
      <c r="Q899" s="149"/>
    </row>
    <row r="900" spans="17:17" x14ac:dyDescent="0.2">
      <c r="Q900" s="149"/>
    </row>
    <row r="901" spans="17:17" x14ac:dyDescent="0.2">
      <c r="Q901" s="149"/>
    </row>
    <row r="902" spans="17:17" x14ac:dyDescent="0.2">
      <c r="Q902" s="149"/>
    </row>
    <row r="903" spans="17:17" x14ac:dyDescent="0.2">
      <c r="Q903" s="149"/>
    </row>
    <row r="904" spans="17:17" x14ac:dyDescent="0.2">
      <c r="Q904" s="149"/>
    </row>
    <row r="905" spans="17:17" x14ac:dyDescent="0.2">
      <c r="Q905" s="149"/>
    </row>
    <row r="906" spans="17:17" x14ac:dyDescent="0.2">
      <c r="Q906" s="149"/>
    </row>
    <row r="907" spans="17:17" x14ac:dyDescent="0.2">
      <c r="Q907" s="149"/>
    </row>
    <row r="908" spans="17:17" x14ac:dyDescent="0.2">
      <c r="Q908" s="149"/>
    </row>
    <row r="909" spans="17:17" x14ac:dyDescent="0.2">
      <c r="Q909" s="149"/>
    </row>
    <row r="910" spans="17:17" x14ac:dyDescent="0.2">
      <c r="Q910" s="149"/>
    </row>
    <row r="911" spans="17:17" x14ac:dyDescent="0.2">
      <c r="Q911" s="149"/>
    </row>
    <row r="912" spans="17:17" x14ac:dyDescent="0.2">
      <c r="Q912" s="149"/>
    </row>
    <row r="913" spans="17:17" x14ac:dyDescent="0.2">
      <c r="Q913" s="149"/>
    </row>
    <row r="914" spans="17:17" x14ac:dyDescent="0.2">
      <c r="Q914" s="149"/>
    </row>
    <row r="915" spans="17:17" x14ac:dyDescent="0.2">
      <c r="Q915" s="149"/>
    </row>
    <row r="916" spans="17:17" x14ac:dyDescent="0.2">
      <c r="Q916" s="149"/>
    </row>
    <row r="917" spans="17:17" x14ac:dyDescent="0.2">
      <c r="Q917" s="149"/>
    </row>
    <row r="918" spans="17:17" x14ac:dyDescent="0.2">
      <c r="Q918" s="149"/>
    </row>
    <row r="919" spans="17:17" x14ac:dyDescent="0.2">
      <c r="Q919" s="149"/>
    </row>
    <row r="920" spans="17:17" x14ac:dyDescent="0.2">
      <c r="Q920" s="149"/>
    </row>
    <row r="921" spans="17:17" x14ac:dyDescent="0.2">
      <c r="Q921" s="149"/>
    </row>
    <row r="922" spans="17:17" x14ac:dyDescent="0.2">
      <c r="Q922" s="149"/>
    </row>
    <row r="923" spans="17:17" x14ac:dyDescent="0.2">
      <c r="Q923" s="149"/>
    </row>
    <row r="924" spans="17:17" x14ac:dyDescent="0.2">
      <c r="Q924" s="149"/>
    </row>
    <row r="925" spans="17:17" x14ac:dyDescent="0.2">
      <c r="Q925" s="149"/>
    </row>
    <row r="926" spans="17:17" x14ac:dyDescent="0.2">
      <c r="Q926" s="149"/>
    </row>
    <row r="927" spans="17:17" x14ac:dyDescent="0.2">
      <c r="Q927" s="149"/>
    </row>
    <row r="928" spans="17:17" x14ac:dyDescent="0.2">
      <c r="Q928" s="149"/>
    </row>
    <row r="929" spans="17:17" x14ac:dyDescent="0.2">
      <c r="Q929" s="149"/>
    </row>
    <row r="930" spans="17:17" x14ac:dyDescent="0.2">
      <c r="Q930" s="149"/>
    </row>
    <row r="931" spans="17:17" x14ac:dyDescent="0.2">
      <c r="Q931" s="149"/>
    </row>
    <row r="932" spans="17:17" x14ac:dyDescent="0.2">
      <c r="Q932" s="149"/>
    </row>
    <row r="933" spans="17:17" x14ac:dyDescent="0.2">
      <c r="Q933" s="149"/>
    </row>
    <row r="934" spans="17:17" x14ac:dyDescent="0.2">
      <c r="Q934" s="149"/>
    </row>
    <row r="935" spans="17:17" x14ac:dyDescent="0.2">
      <c r="Q935" s="149"/>
    </row>
    <row r="936" spans="17:17" x14ac:dyDescent="0.2">
      <c r="Q936" s="149"/>
    </row>
    <row r="937" spans="17:17" x14ac:dyDescent="0.2">
      <c r="Q937" s="149"/>
    </row>
    <row r="938" spans="17:17" x14ac:dyDescent="0.2">
      <c r="Q938" s="149"/>
    </row>
    <row r="939" spans="17:17" x14ac:dyDescent="0.2">
      <c r="Q939" s="149"/>
    </row>
    <row r="940" spans="17:17" x14ac:dyDescent="0.2">
      <c r="Q940" s="149"/>
    </row>
    <row r="941" spans="17:17" x14ac:dyDescent="0.2">
      <c r="Q941" s="149"/>
    </row>
    <row r="942" spans="17:17" x14ac:dyDescent="0.2">
      <c r="Q942" s="149"/>
    </row>
    <row r="943" spans="17:17" x14ac:dyDescent="0.2">
      <c r="Q943" s="149"/>
    </row>
    <row r="944" spans="17:17" x14ac:dyDescent="0.2">
      <c r="Q944" s="149"/>
    </row>
    <row r="945" spans="17:17" x14ac:dyDescent="0.2">
      <c r="Q945" s="149"/>
    </row>
    <row r="946" spans="17:17" x14ac:dyDescent="0.2">
      <c r="Q946" s="149"/>
    </row>
    <row r="947" spans="17:17" x14ac:dyDescent="0.2">
      <c r="Q947" s="149"/>
    </row>
    <row r="948" spans="17:17" x14ac:dyDescent="0.2">
      <c r="Q948" s="149"/>
    </row>
    <row r="949" spans="17:17" x14ac:dyDescent="0.2">
      <c r="Q949" s="149"/>
    </row>
    <row r="950" spans="17:17" x14ac:dyDescent="0.2">
      <c r="Q950" s="149"/>
    </row>
    <row r="951" spans="17:17" x14ac:dyDescent="0.2">
      <c r="Q951" s="149"/>
    </row>
    <row r="952" spans="17:17" x14ac:dyDescent="0.2">
      <c r="Q952" s="149"/>
    </row>
    <row r="953" spans="17:17" x14ac:dyDescent="0.2">
      <c r="Q953" s="149"/>
    </row>
    <row r="954" spans="17:17" x14ac:dyDescent="0.2">
      <c r="Q954" s="149"/>
    </row>
    <row r="955" spans="17:17" x14ac:dyDescent="0.2">
      <c r="Q955" s="149"/>
    </row>
    <row r="956" spans="17:17" x14ac:dyDescent="0.2">
      <c r="Q956" s="149"/>
    </row>
    <row r="957" spans="17:17" x14ac:dyDescent="0.2">
      <c r="Q957" s="149"/>
    </row>
    <row r="958" spans="17:17" x14ac:dyDescent="0.2">
      <c r="Q958" s="149"/>
    </row>
    <row r="959" spans="17:17" x14ac:dyDescent="0.2">
      <c r="Q959" s="149"/>
    </row>
    <row r="960" spans="17:17" x14ac:dyDescent="0.2">
      <c r="Q960" s="149"/>
    </row>
    <row r="961" spans="17:17" x14ac:dyDescent="0.2">
      <c r="Q961" s="149"/>
    </row>
    <row r="962" spans="17:17" x14ac:dyDescent="0.2">
      <c r="Q962" s="149"/>
    </row>
    <row r="963" spans="17:17" x14ac:dyDescent="0.2">
      <c r="Q963" s="149"/>
    </row>
    <row r="964" spans="17:17" x14ac:dyDescent="0.2">
      <c r="Q964" s="149"/>
    </row>
    <row r="965" spans="17:17" x14ac:dyDescent="0.2">
      <c r="Q965" s="149"/>
    </row>
    <row r="966" spans="17:17" x14ac:dyDescent="0.2">
      <c r="Q966" s="149"/>
    </row>
    <row r="967" spans="17:17" x14ac:dyDescent="0.2">
      <c r="Q967" s="149"/>
    </row>
    <row r="968" spans="17:17" x14ac:dyDescent="0.2">
      <c r="Q968" s="149"/>
    </row>
    <row r="969" spans="17:17" x14ac:dyDescent="0.2">
      <c r="Q969" s="149"/>
    </row>
    <row r="970" spans="17:17" x14ac:dyDescent="0.2">
      <c r="Q970" s="149"/>
    </row>
    <row r="971" spans="17:17" x14ac:dyDescent="0.2">
      <c r="Q971" s="149"/>
    </row>
    <row r="972" spans="17:17" x14ac:dyDescent="0.2">
      <c r="Q972" s="149"/>
    </row>
    <row r="973" spans="17:17" x14ac:dyDescent="0.2">
      <c r="Q973" s="149"/>
    </row>
    <row r="974" spans="17:17" x14ac:dyDescent="0.2">
      <c r="Q974" s="149"/>
    </row>
    <row r="975" spans="17:17" x14ac:dyDescent="0.2">
      <c r="Q975" s="149"/>
    </row>
    <row r="976" spans="17:17" x14ac:dyDescent="0.2">
      <c r="Q976" s="149"/>
    </row>
    <row r="977" spans="17:17" x14ac:dyDescent="0.2">
      <c r="Q977" s="149"/>
    </row>
    <row r="978" spans="17:17" x14ac:dyDescent="0.2">
      <c r="Q978" s="149"/>
    </row>
    <row r="979" spans="17:17" x14ac:dyDescent="0.2">
      <c r="Q979" s="149"/>
    </row>
    <row r="980" spans="17:17" x14ac:dyDescent="0.2">
      <c r="Q980" s="149"/>
    </row>
    <row r="981" spans="17:17" x14ac:dyDescent="0.2">
      <c r="Q981" s="149"/>
    </row>
    <row r="982" spans="17:17" x14ac:dyDescent="0.2">
      <c r="Q982" s="149"/>
    </row>
    <row r="983" spans="17:17" x14ac:dyDescent="0.2">
      <c r="Q983" s="149"/>
    </row>
    <row r="984" spans="17:17" x14ac:dyDescent="0.2">
      <c r="Q984" s="149"/>
    </row>
    <row r="985" spans="17:17" x14ac:dyDescent="0.2">
      <c r="Q985" s="149"/>
    </row>
    <row r="986" spans="17:17" x14ac:dyDescent="0.2">
      <c r="Q986" s="149"/>
    </row>
    <row r="987" spans="17:17" x14ac:dyDescent="0.2">
      <c r="Q987" s="149"/>
    </row>
    <row r="988" spans="17:17" x14ac:dyDescent="0.2">
      <c r="Q988" s="149"/>
    </row>
    <row r="989" spans="17:17" x14ac:dyDescent="0.2">
      <c r="Q989" s="149"/>
    </row>
    <row r="990" spans="17:17" x14ac:dyDescent="0.2">
      <c r="Q990" s="149"/>
    </row>
    <row r="991" spans="17:17" x14ac:dyDescent="0.2">
      <c r="Q991" s="149"/>
    </row>
    <row r="992" spans="17:17" x14ac:dyDescent="0.2">
      <c r="Q992" s="149"/>
    </row>
    <row r="993" spans="17:17" x14ac:dyDescent="0.2">
      <c r="Q993" s="149"/>
    </row>
    <row r="994" spans="17:17" x14ac:dyDescent="0.2">
      <c r="Q994" s="149"/>
    </row>
    <row r="995" spans="17:17" x14ac:dyDescent="0.2">
      <c r="Q995" s="149"/>
    </row>
    <row r="996" spans="17:17" x14ac:dyDescent="0.2">
      <c r="Q996" s="149"/>
    </row>
    <row r="997" spans="17:17" x14ac:dyDescent="0.2">
      <c r="Q997" s="149"/>
    </row>
    <row r="998" spans="17:17" x14ac:dyDescent="0.2">
      <c r="Q998" s="149"/>
    </row>
    <row r="999" spans="17:17" x14ac:dyDescent="0.2">
      <c r="Q999" s="149"/>
    </row>
    <row r="1000" spans="17:17" x14ac:dyDescent="0.2">
      <c r="Q1000" s="149"/>
    </row>
    <row r="1001" spans="17:17" x14ac:dyDescent="0.2">
      <c r="Q1001" s="149"/>
    </row>
    <row r="1002" spans="17:17" x14ac:dyDescent="0.2">
      <c r="Q1002" s="149"/>
    </row>
    <row r="1003" spans="17:17" x14ac:dyDescent="0.2">
      <c r="Q1003" s="149"/>
    </row>
    <row r="1004" spans="17:17" x14ac:dyDescent="0.2">
      <c r="Q1004" s="149"/>
    </row>
    <row r="1005" spans="17:17" x14ac:dyDescent="0.2">
      <c r="Q1005" s="149"/>
    </row>
    <row r="1006" spans="17:17" x14ac:dyDescent="0.2">
      <c r="Q1006" s="149"/>
    </row>
    <row r="1007" spans="17:17" x14ac:dyDescent="0.2">
      <c r="Q1007" s="149"/>
    </row>
    <row r="1008" spans="17:17" x14ac:dyDescent="0.2">
      <c r="Q1008" s="149"/>
    </row>
    <row r="1009" spans="17:17" x14ac:dyDescent="0.2">
      <c r="Q1009" s="149"/>
    </row>
    <row r="1010" spans="17:17" x14ac:dyDescent="0.2">
      <c r="Q1010" s="149"/>
    </row>
    <row r="1011" spans="17:17" x14ac:dyDescent="0.2">
      <c r="Q1011" s="149"/>
    </row>
    <row r="1012" spans="17:17" x14ac:dyDescent="0.2">
      <c r="Q1012" s="149"/>
    </row>
    <row r="1013" spans="17:17" x14ac:dyDescent="0.2">
      <c r="Q1013" s="149"/>
    </row>
    <row r="1014" spans="17:17" x14ac:dyDescent="0.2">
      <c r="Q1014" s="149"/>
    </row>
    <row r="1015" spans="17:17" x14ac:dyDescent="0.2">
      <c r="Q1015" s="149"/>
    </row>
    <row r="1016" spans="17:17" x14ac:dyDescent="0.2">
      <c r="Q1016" s="149"/>
    </row>
    <row r="1017" spans="17:17" x14ac:dyDescent="0.2">
      <c r="Q1017" s="149"/>
    </row>
    <row r="1018" spans="17:17" x14ac:dyDescent="0.2">
      <c r="Q1018" s="149"/>
    </row>
    <row r="1019" spans="17:17" x14ac:dyDescent="0.2">
      <c r="Q1019" s="149"/>
    </row>
    <row r="1020" spans="17:17" x14ac:dyDescent="0.2">
      <c r="Q1020" s="149"/>
    </row>
    <row r="1021" spans="17:17" x14ac:dyDescent="0.2">
      <c r="Q1021" s="149"/>
    </row>
    <row r="1022" spans="17:17" x14ac:dyDescent="0.2">
      <c r="Q1022" s="149"/>
    </row>
    <row r="1023" spans="17:17" x14ac:dyDescent="0.2">
      <c r="Q1023" s="149"/>
    </row>
    <row r="1024" spans="17:17" x14ac:dyDescent="0.2">
      <c r="Q1024" s="149"/>
    </row>
    <row r="1025" spans="17:17" x14ac:dyDescent="0.2">
      <c r="Q1025" s="149"/>
    </row>
    <row r="1026" spans="17:17" x14ac:dyDescent="0.2">
      <c r="Q1026" s="149"/>
    </row>
    <row r="1027" spans="17:17" x14ac:dyDescent="0.2">
      <c r="Q1027" s="149"/>
    </row>
    <row r="1028" spans="17:17" x14ac:dyDescent="0.2">
      <c r="Q1028" s="149"/>
    </row>
    <row r="1029" spans="17:17" x14ac:dyDescent="0.2">
      <c r="Q1029" s="149"/>
    </row>
    <row r="1030" spans="17:17" x14ac:dyDescent="0.2">
      <c r="Q1030" s="149"/>
    </row>
    <row r="1031" spans="17:17" x14ac:dyDescent="0.2">
      <c r="Q1031" s="149"/>
    </row>
    <row r="1032" spans="17:17" x14ac:dyDescent="0.2">
      <c r="Q1032" s="149"/>
    </row>
    <row r="1033" spans="17:17" x14ac:dyDescent="0.2">
      <c r="Q1033" s="149"/>
    </row>
    <row r="1034" spans="17:17" x14ac:dyDescent="0.2">
      <c r="Q1034" s="149"/>
    </row>
    <row r="1035" spans="17:17" x14ac:dyDescent="0.2">
      <c r="Q1035" s="149"/>
    </row>
    <row r="1036" spans="17:17" x14ac:dyDescent="0.2">
      <c r="Q1036" s="149"/>
    </row>
    <row r="1037" spans="17:17" x14ac:dyDescent="0.2">
      <c r="Q1037" s="149"/>
    </row>
    <row r="1038" spans="17:17" x14ac:dyDescent="0.2">
      <c r="Q1038" s="149"/>
    </row>
    <row r="1039" spans="17:17" x14ac:dyDescent="0.2">
      <c r="Q1039" s="149"/>
    </row>
    <row r="1040" spans="17:17" x14ac:dyDescent="0.2">
      <c r="Q1040" s="149"/>
    </row>
    <row r="1041" spans="17:17" x14ac:dyDescent="0.2">
      <c r="Q1041" s="149"/>
    </row>
    <row r="1042" spans="17:17" x14ac:dyDescent="0.2">
      <c r="Q1042" s="149"/>
    </row>
    <row r="1043" spans="17:17" x14ac:dyDescent="0.2">
      <c r="Q1043" s="149"/>
    </row>
    <row r="1044" spans="17:17" x14ac:dyDescent="0.2">
      <c r="Q1044" s="149"/>
    </row>
    <row r="1045" spans="17:17" x14ac:dyDescent="0.2">
      <c r="Q1045" s="149"/>
    </row>
    <row r="1046" spans="17:17" x14ac:dyDescent="0.2">
      <c r="Q1046" s="149"/>
    </row>
    <row r="1047" spans="17:17" x14ac:dyDescent="0.2">
      <c r="Q1047" s="149"/>
    </row>
    <row r="1048" spans="17:17" x14ac:dyDescent="0.2">
      <c r="Q1048" s="149"/>
    </row>
    <row r="1049" spans="17:17" x14ac:dyDescent="0.2">
      <c r="Q1049" s="149"/>
    </row>
    <row r="1050" spans="17:17" x14ac:dyDescent="0.2">
      <c r="Q1050" s="149"/>
    </row>
    <row r="1051" spans="17:17" x14ac:dyDescent="0.2">
      <c r="Q1051" s="149"/>
    </row>
    <row r="1052" spans="17:17" x14ac:dyDescent="0.2">
      <c r="Q1052" s="149"/>
    </row>
    <row r="1053" spans="17:17" x14ac:dyDescent="0.2">
      <c r="Q1053" s="149"/>
    </row>
    <row r="1054" spans="17:17" x14ac:dyDescent="0.2">
      <c r="Q1054" s="149"/>
    </row>
    <row r="1055" spans="17:17" x14ac:dyDescent="0.2">
      <c r="Q1055" s="149"/>
    </row>
    <row r="1056" spans="17:17" x14ac:dyDescent="0.2">
      <c r="Q1056" s="149"/>
    </row>
    <row r="1057" spans="17:17" x14ac:dyDescent="0.2">
      <c r="Q1057" s="149"/>
    </row>
    <row r="1058" spans="17:17" x14ac:dyDescent="0.2">
      <c r="Q1058" s="149"/>
    </row>
    <row r="1059" spans="17:17" x14ac:dyDescent="0.2">
      <c r="Q1059" s="149"/>
    </row>
    <row r="1060" spans="17:17" x14ac:dyDescent="0.2">
      <c r="Q1060" s="149"/>
    </row>
    <row r="1061" spans="17:17" x14ac:dyDescent="0.2">
      <c r="Q1061" s="149"/>
    </row>
    <row r="1062" spans="17:17" x14ac:dyDescent="0.2">
      <c r="Q1062" s="149"/>
    </row>
    <row r="1063" spans="17:17" x14ac:dyDescent="0.2">
      <c r="Q1063" s="149"/>
    </row>
    <row r="1064" spans="17:17" x14ac:dyDescent="0.2">
      <c r="Q1064" s="149"/>
    </row>
    <row r="1065" spans="17:17" x14ac:dyDescent="0.2">
      <c r="Q1065" s="149"/>
    </row>
    <row r="1066" spans="17:17" x14ac:dyDescent="0.2">
      <c r="Q1066" s="149"/>
    </row>
    <row r="1067" spans="17:17" x14ac:dyDescent="0.2">
      <c r="Q1067" s="149"/>
    </row>
    <row r="1068" spans="17:17" x14ac:dyDescent="0.2">
      <c r="Q1068" s="149"/>
    </row>
    <row r="1069" spans="17:17" x14ac:dyDescent="0.2">
      <c r="Q1069" s="149"/>
    </row>
    <row r="1070" spans="17:17" x14ac:dyDescent="0.2">
      <c r="Q1070" s="149"/>
    </row>
    <row r="1071" spans="17:17" x14ac:dyDescent="0.2">
      <c r="Q1071" s="149"/>
    </row>
    <row r="1072" spans="17:17" x14ac:dyDescent="0.2">
      <c r="Q1072" s="149"/>
    </row>
    <row r="1073" spans="17:17" x14ac:dyDescent="0.2">
      <c r="Q1073" s="149"/>
    </row>
    <row r="1074" spans="17:17" x14ac:dyDescent="0.2">
      <c r="Q1074" s="149"/>
    </row>
    <row r="1075" spans="17:17" x14ac:dyDescent="0.2">
      <c r="Q1075" s="149"/>
    </row>
    <row r="1076" spans="17:17" x14ac:dyDescent="0.2">
      <c r="Q1076" s="149"/>
    </row>
    <row r="1077" spans="17:17" x14ac:dyDescent="0.2">
      <c r="Q1077" s="149"/>
    </row>
    <row r="1078" spans="17:17" x14ac:dyDescent="0.2">
      <c r="Q1078" s="149"/>
    </row>
    <row r="1079" spans="17:17" x14ac:dyDescent="0.2">
      <c r="Q1079" s="149"/>
    </row>
    <row r="1080" spans="17:17" x14ac:dyDescent="0.2">
      <c r="Q1080" s="149"/>
    </row>
    <row r="1081" spans="17:17" x14ac:dyDescent="0.2">
      <c r="Q1081" s="149"/>
    </row>
    <row r="1082" spans="17:17" x14ac:dyDescent="0.2">
      <c r="Q1082" s="149"/>
    </row>
    <row r="1083" spans="17:17" x14ac:dyDescent="0.2">
      <c r="Q1083" s="149"/>
    </row>
    <row r="1084" spans="17:17" x14ac:dyDescent="0.2">
      <c r="Q1084" s="149"/>
    </row>
    <row r="1085" spans="17:17" x14ac:dyDescent="0.2">
      <c r="Q1085" s="149"/>
    </row>
    <row r="1086" spans="17:17" x14ac:dyDescent="0.2">
      <c r="Q1086" s="149"/>
    </row>
    <row r="1087" spans="17:17" x14ac:dyDescent="0.2">
      <c r="Q1087" s="149"/>
    </row>
    <row r="1088" spans="17:17" x14ac:dyDescent="0.2">
      <c r="Q1088" s="149"/>
    </row>
    <row r="1089" spans="17:17" x14ac:dyDescent="0.2">
      <c r="Q1089" s="149"/>
    </row>
    <row r="1090" spans="17:17" x14ac:dyDescent="0.2">
      <c r="Q1090" s="149"/>
    </row>
    <row r="1091" spans="17:17" x14ac:dyDescent="0.2">
      <c r="Q1091" s="149"/>
    </row>
    <row r="1092" spans="17:17" x14ac:dyDescent="0.2">
      <c r="Q1092" s="149"/>
    </row>
    <row r="1093" spans="17:17" x14ac:dyDescent="0.2">
      <c r="Q1093" s="149"/>
    </row>
    <row r="1094" spans="17:17" x14ac:dyDescent="0.2">
      <c r="Q1094" s="149"/>
    </row>
    <row r="1095" spans="17:17" x14ac:dyDescent="0.2">
      <c r="Q1095" s="149"/>
    </row>
    <row r="1096" spans="17:17" x14ac:dyDescent="0.2">
      <c r="Q1096" s="149"/>
    </row>
    <row r="1097" spans="17:17" x14ac:dyDescent="0.2">
      <c r="Q1097" s="149"/>
    </row>
    <row r="1098" spans="17:17" x14ac:dyDescent="0.2">
      <c r="Q1098" s="149"/>
    </row>
    <row r="1099" spans="17:17" x14ac:dyDescent="0.2">
      <c r="Q1099" s="149"/>
    </row>
    <row r="1100" spans="17:17" x14ac:dyDescent="0.2">
      <c r="Q1100" s="149"/>
    </row>
    <row r="1101" spans="17:17" x14ac:dyDescent="0.2">
      <c r="Q1101" s="149"/>
    </row>
    <row r="1102" spans="17:17" x14ac:dyDescent="0.2">
      <c r="Q1102" s="149"/>
    </row>
    <row r="1103" spans="17:17" x14ac:dyDescent="0.2">
      <c r="Q1103" s="149"/>
    </row>
    <row r="1104" spans="17:17" x14ac:dyDescent="0.2">
      <c r="Q1104" s="149"/>
    </row>
    <row r="1105" spans="17:17" x14ac:dyDescent="0.2">
      <c r="Q1105" s="149"/>
    </row>
    <row r="1106" spans="17:17" x14ac:dyDescent="0.2">
      <c r="Q1106" s="149"/>
    </row>
    <row r="1107" spans="17:17" x14ac:dyDescent="0.2">
      <c r="Q1107" s="149"/>
    </row>
    <row r="1108" spans="17:17" x14ac:dyDescent="0.2">
      <c r="Q1108" s="149"/>
    </row>
    <row r="1109" spans="17:17" x14ac:dyDescent="0.2">
      <c r="Q1109" s="149"/>
    </row>
    <row r="1110" spans="17:17" x14ac:dyDescent="0.2">
      <c r="Q1110" s="149"/>
    </row>
    <row r="1111" spans="17:17" x14ac:dyDescent="0.2">
      <c r="Q1111" s="149"/>
    </row>
    <row r="1112" spans="17:17" x14ac:dyDescent="0.2">
      <c r="Q1112" s="149"/>
    </row>
    <row r="1113" spans="17:17" x14ac:dyDescent="0.2">
      <c r="Q1113" s="149"/>
    </row>
    <row r="1114" spans="17:17" x14ac:dyDescent="0.2">
      <c r="Q1114" s="149"/>
    </row>
    <row r="1115" spans="17:17" x14ac:dyDescent="0.2">
      <c r="Q1115" s="149"/>
    </row>
    <row r="1116" spans="17:17" x14ac:dyDescent="0.2">
      <c r="Q1116" s="149"/>
    </row>
    <row r="1117" spans="17:17" x14ac:dyDescent="0.2">
      <c r="Q1117" s="149"/>
    </row>
    <row r="1118" spans="17:17" x14ac:dyDescent="0.2">
      <c r="Q1118" s="149"/>
    </row>
    <row r="1119" spans="17:17" x14ac:dyDescent="0.2">
      <c r="Q1119" s="149"/>
    </row>
    <row r="1120" spans="17:17" x14ac:dyDescent="0.2">
      <c r="Q1120" s="149"/>
    </row>
    <row r="1121" spans="17:17" x14ac:dyDescent="0.2">
      <c r="Q1121" s="149"/>
    </row>
    <row r="1122" spans="17:17" x14ac:dyDescent="0.2">
      <c r="Q1122" s="149"/>
    </row>
    <row r="1123" spans="17:17" x14ac:dyDescent="0.2">
      <c r="Q1123" s="149"/>
    </row>
    <row r="1124" spans="17:17" x14ac:dyDescent="0.2">
      <c r="Q1124" s="149"/>
    </row>
    <row r="1125" spans="17:17" x14ac:dyDescent="0.2">
      <c r="Q1125" s="149"/>
    </row>
    <row r="1126" spans="17:17" x14ac:dyDescent="0.2">
      <c r="Q1126" s="149"/>
    </row>
    <row r="1127" spans="17:17" x14ac:dyDescent="0.2">
      <c r="Q1127" s="149"/>
    </row>
    <row r="1128" spans="17:17" x14ac:dyDescent="0.2">
      <c r="Q1128" s="149"/>
    </row>
    <row r="1129" spans="17:17" x14ac:dyDescent="0.2">
      <c r="Q1129" s="149"/>
    </row>
    <row r="1130" spans="17:17" x14ac:dyDescent="0.2">
      <c r="Q1130" s="149"/>
    </row>
    <row r="1131" spans="17:17" x14ac:dyDescent="0.2">
      <c r="Q1131" s="149"/>
    </row>
    <row r="1132" spans="17:17" x14ac:dyDescent="0.2">
      <c r="Q1132" s="149"/>
    </row>
    <row r="1133" spans="17:17" x14ac:dyDescent="0.2">
      <c r="Q1133" s="149"/>
    </row>
    <row r="1134" spans="17:17" x14ac:dyDescent="0.2">
      <c r="Q1134" s="149"/>
    </row>
    <row r="1135" spans="17:17" x14ac:dyDescent="0.2">
      <c r="Q1135" s="149"/>
    </row>
    <row r="1136" spans="17:17" x14ac:dyDescent="0.2">
      <c r="Q1136" s="149"/>
    </row>
    <row r="1137" spans="17:17" x14ac:dyDescent="0.2">
      <c r="Q1137" s="149"/>
    </row>
    <row r="1138" spans="17:17" x14ac:dyDescent="0.2">
      <c r="Q1138" s="149"/>
    </row>
    <row r="1139" spans="17:17" x14ac:dyDescent="0.2">
      <c r="Q1139" s="149"/>
    </row>
    <row r="1140" spans="17:17" x14ac:dyDescent="0.2">
      <c r="Q1140" s="149"/>
    </row>
    <row r="1141" spans="17:17" x14ac:dyDescent="0.2">
      <c r="Q1141" s="149"/>
    </row>
    <row r="1142" spans="17:17" x14ac:dyDescent="0.2">
      <c r="Q1142" s="149"/>
    </row>
    <row r="1143" spans="17:17" x14ac:dyDescent="0.2">
      <c r="Q1143" s="149"/>
    </row>
    <row r="1144" spans="17:17" x14ac:dyDescent="0.2">
      <c r="Q1144" s="149"/>
    </row>
    <row r="1145" spans="17:17" x14ac:dyDescent="0.2">
      <c r="Q1145" s="149"/>
    </row>
    <row r="1146" spans="17:17" x14ac:dyDescent="0.2">
      <c r="Q1146" s="149"/>
    </row>
    <row r="1147" spans="17:17" x14ac:dyDescent="0.2">
      <c r="Q1147" s="149"/>
    </row>
    <row r="1148" spans="17:17" x14ac:dyDescent="0.2">
      <c r="Q1148" s="149"/>
    </row>
    <row r="1149" spans="17:17" x14ac:dyDescent="0.2">
      <c r="Q1149" s="149"/>
    </row>
    <row r="1150" spans="17:17" x14ac:dyDescent="0.2">
      <c r="Q1150" s="149"/>
    </row>
    <row r="1151" spans="17:17" x14ac:dyDescent="0.2">
      <c r="Q1151" s="149"/>
    </row>
    <row r="1152" spans="17:17" x14ac:dyDescent="0.2">
      <c r="Q1152" s="149"/>
    </row>
    <row r="1153" spans="17:17" x14ac:dyDescent="0.2">
      <c r="Q1153" s="149"/>
    </row>
    <row r="1154" spans="17:17" x14ac:dyDescent="0.2">
      <c r="Q1154" s="149"/>
    </row>
    <row r="1155" spans="17:17" x14ac:dyDescent="0.2">
      <c r="Q1155" s="149"/>
    </row>
    <row r="1156" spans="17:17" x14ac:dyDescent="0.2">
      <c r="Q1156" s="149"/>
    </row>
    <row r="1157" spans="17:17" x14ac:dyDescent="0.2">
      <c r="Q1157" s="149"/>
    </row>
    <row r="1158" spans="17:17" x14ac:dyDescent="0.2">
      <c r="Q1158" s="149"/>
    </row>
    <row r="1159" spans="17:17" x14ac:dyDescent="0.2">
      <c r="Q1159" s="149"/>
    </row>
    <row r="1160" spans="17:17" x14ac:dyDescent="0.2">
      <c r="Q1160" s="149"/>
    </row>
    <row r="1161" spans="17:17" x14ac:dyDescent="0.2">
      <c r="Q1161" s="149"/>
    </row>
    <row r="1162" spans="17:17" x14ac:dyDescent="0.2">
      <c r="Q1162" s="149"/>
    </row>
    <row r="1163" spans="17:17" x14ac:dyDescent="0.2">
      <c r="Q1163" s="149"/>
    </row>
    <row r="1164" spans="17:17" x14ac:dyDescent="0.2">
      <c r="Q1164" s="149"/>
    </row>
    <row r="1165" spans="17:17" x14ac:dyDescent="0.2">
      <c r="Q1165" s="149"/>
    </row>
    <row r="1166" spans="17:17" x14ac:dyDescent="0.2">
      <c r="Q1166" s="149"/>
    </row>
    <row r="1167" spans="17:17" x14ac:dyDescent="0.2">
      <c r="Q1167" s="149"/>
    </row>
    <row r="1168" spans="17:17" x14ac:dyDescent="0.2">
      <c r="Q1168" s="149"/>
    </row>
    <row r="1169" spans="17:17" x14ac:dyDescent="0.2">
      <c r="Q1169" s="149"/>
    </row>
    <row r="1170" spans="17:17" x14ac:dyDescent="0.2">
      <c r="Q1170" s="149"/>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A5D-684A-4CB3-B0B0-47C3086E4D7E}">
  <dimension ref="A1:BL183"/>
  <sheetViews>
    <sheetView topLeftCell="A157" workbookViewId="0">
      <selection activeCell="C165" sqref="C165"/>
    </sheetView>
  </sheetViews>
  <sheetFormatPr defaultRowHeight="12.75" x14ac:dyDescent="0.2"/>
  <cols>
    <col min="1" max="1" width="72.7109375" bestFit="1" customWidth="1"/>
    <col min="2" max="2" width="8.5703125" bestFit="1" customWidth="1"/>
  </cols>
  <sheetData>
    <row r="1" spans="1:64" x14ac:dyDescent="0.2">
      <c r="A1" s="104" t="s">
        <v>454</v>
      </c>
      <c r="B1" s="105">
        <v>1</v>
      </c>
      <c r="C1" s="105">
        <v>2</v>
      </c>
      <c r="D1" s="105">
        <v>4</v>
      </c>
      <c r="E1" s="105">
        <v>6</v>
      </c>
      <c r="F1" s="105">
        <v>8</v>
      </c>
      <c r="G1" s="105">
        <v>10</v>
      </c>
      <c r="H1" s="105">
        <v>11</v>
      </c>
      <c r="I1" s="105">
        <v>12</v>
      </c>
      <c r="J1" s="105">
        <v>14</v>
      </c>
      <c r="K1" s="105">
        <v>15</v>
      </c>
      <c r="L1" s="105">
        <v>17</v>
      </c>
      <c r="M1" s="105">
        <v>19</v>
      </c>
      <c r="N1" s="105">
        <v>20</v>
      </c>
      <c r="O1" s="105">
        <v>22</v>
      </c>
      <c r="P1" s="106">
        <v>24</v>
      </c>
      <c r="Q1" s="105">
        <v>25</v>
      </c>
      <c r="R1" s="105">
        <v>26</v>
      </c>
      <c r="S1" s="106">
        <v>27</v>
      </c>
      <c r="T1" s="105">
        <v>30</v>
      </c>
      <c r="U1" s="105">
        <v>31</v>
      </c>
      <c r="V1" s="105">
        <v>33</v>
      </c>
      <c r="W1" s="105">
        <v>34</v>
      </c>
      <c r="X1" s="105">
        <v>35</v>
      </c>
      <c r="Y1" s="105">
        <v>36</v>
      </c>
      <c r="Z1" s="105">
        <v>37</v>
      </c>
      <c r="AA1" s="105">
        <v>38</v>
      </c>
      <c r="AB1" s="105">
        <v>40</v>
      </c>
      <c r="AC1" s="105">
        <v>42</v>
      </c>
      <c r="AD1" s="105">
        <v>44</v>
      </c>
      <c r="AE1" s="105">
        <v>45</v>
      </c>
      <c r="AF1" s="105">
        <v>46</v>
      </c>
      <c r="AG1" s="105">
        <v>48</v>
      </c>
      <c r="AH1" s="105">
        <v>49</v>
      </c>
      <c r="AI1" s="105">
        <v>51</v>
      </c>
      <c r="AJ1" s="105">
        <v>52</v>
      </c>
      <c r="AK1" s="105">
        <v>54</v>
      </c>
      <c r="AL1" s="105">
        <v>56</v>
      </c>
      <c r="AM1" s="105">
        <v>58</v>
      </c>
      <c r="AN1" s="105">
        <v>60</v>
      </c>
      <c r="AO1" s="105">
        <v>62</v>
      </c>
      <c r="AP1" s="105">
        <v>64</v>
      </c>
      <c r="AQ1" s="105">
        <v>66</v>
      </c>
      <c r="AR1" s="105">
        <v>67</v>
      </c>
      <c r="AS1" s="105">
        <v>68</v>
      </c>
      <c r="AT1" s="105">
        <v>70</v>
      </c>
      <c r="AU1" s="105">
        <v>72</v>
      </c>
      <c r="AV1" s="105">
        <v>74</v>
      </c>
      <c r="AW1" s="105">
        <v>75</v>
      </c>
      <c r="AX1" s="105">
        <v>77</v>
      </c>
      <c r="AY1" s="105">
        <v>79</v>
      </c>
      <c r="AZ1" s="105">
        <v>80</v>
      </c>
      <c r="BA1" s="105">
        <v>82</v>
      </c>
      <c r="BB1" s="105">
        <v>83</v>
      </c>
      <c r="BC1" s="105">
        <v>84</v>
      </c>
      <c r="BD1" s="105">
        <v>86</v>
      </c>
      <c r="BE1" s="105">
        <v>87</v>
      </c>
      <c r="BF1" s="105">
        <v>89</v>
      </c>
      <c r="BG1" s="105">
        <v>91</v>
      </c>
      <c r="BH1" s="105">
        <v>92</v>
      </c>
      <c r="BI1" s="105">
        <v>93</v>
      </c>
      <c r="BJ1" s="105">
        <v>94</v>
      </c>
      <c r="BK1" s="105">
        <v>95</v>
      </c>
      <c r="BL1" s="105">
        <v>96</v>
      </c>
    </row>
    <row r="2" spans="1:64" x14ac:dyDescent="0.2">
      <c r="A2" s="104" t="s">
        <v>455</v>
      </c>
      <c r="B2" s="104" t="s">
        <v>456</v>
      </c>
      <c r="C2" s="104" t="s">
        <v>457</v>
      </c>
      <c r="D2" s="104" t="s">
        <v>458</v>
      </c>
      <c r="E2" s="104" t="s">
        <v>459</v>
      </c>
      <c r="F2" s="104" t="s">
        <v>460</v>
      </c>
      <c r="G2" s="104" t="s">
        <v>461</v>
      </c>
      <c r="H2" s="104" t="s">
        <v>462</v>
      </c>
      <c r="I2" s="104" t="s">
        <v>463</v>
      </c>
      <c r="J2" s="104" t="s">
        <v>464</v>
      </c>
      <c r="K2" s="104" t="s">
        <v>465</v>
      </c>
      <c r="L2" s="104" t="s">
        <v>466</v>
      </c>
      <c r="M2" s="104" t="s">
        <v>467</v>
      </c>
      <c r="N2" s="104" t="s">
        <v>468</v>
      </c>
      <c r="O2" s="104" t="s">
        <v>469</v>
      </c>
      <c r="P2" s="107" t="s">
        <v>470</v>
      </c>
      <c r="Q2" s="104" t="s">
        <v>471</v>
      </c>
      <c r="R2" s="104" t="s">
        <v>472</v>
      </c>
      <c r="S2" s="107" t="s">
        <v>473</v>
      </c>
      <c r="T2" s="104" t="s">
        <v>474</v>
      </c>
      <c r="U2" s="104" t="s">
        <v>475</v>
      </c>
      <c r="V2" s="104" t="s">
        <v>476</v>
      </c>
      <c r="W2" s="104" t="s">
        <v>477</v>
      </c>
      <c r="X2" s="104" t="s">
        <v>478</v>
      </c>
      <c r="Y2" s="104" t="s">
        <v>479</v>
      </c>
      <c r="Z2" s="104" t="s">
        <v>480</v>
      </c>
      <c r="AA2" s="104" t="s">
        <v>481</v>
      </c>
      <c r="AB2" s="104" t="s">
        <v>482</v>
      </c>
      <c r="AC2" s="104" t="s">
        <v>483</v>
      </c>
      <c r="AD2" s="104" t="s">
        <v>484</v>
      </c>
      <c r="AE2" s="104" t="s">
        <v>485</v>
      </c>
      <c r="AF2" s="104" t="s">
        <v>486</v>
      </c>
      <c r="AG2" s="104" t="s">
        <v>487</v>
      </c>
      <c r="AH2" s="104" t="s">
        <v>488</v>
      </c>
      <c r="AI2" s="104" t="s">
        <v>489</v>
      </c>
      <c r="AJ2" s="104" t="s">
        <v>490</v>
      </c>
      <c r="AK2" s="104" t="s">
        <v>491</v>
      </c>
      <c r="AL2" s="104" t="s">
        <v>492</v>
      </c>
      <c r="AM2" s="104" t="s">
        <v>493</v>
      </c>
      <c r="AN2" s="104" t="s">
        <v>494</v>
      </c>
      <c r="AO2" s="104" t="s">
        <v>42</v>
      </c>
      <c r="AP2" s="104" t="s">
        <v>43</v>
      </c>
      <c r="AQ2" s="104" t="s">
        <v>495</v>
      </c>
      <c r="AR2" s="104" t="s">
        <v>496</v>
      </c>
      <c r="AS2" s="104" t="s">
        <v>497</v>
      </c>
      <c r="AT2" s="104" t="s">
        <v>498</v>
      </c>
      <c r="AU2" s="104" t="s">
        <v>499</v>
      </c>
      <c r="AV2" s="104" t="s">
        <v>500</v>
      </c>
      <c r="AW2" s="104" t="s">
        <v>501</v>
      </c>
      <c r="AX2" s="104" t="s">
        <v>502</v>
      </c>
      <c r="AY2" s="104" t="s">
        <v>503</v>
      </c>
      <c r="AZ2" s="104" t="s">
        <v>53</v>
      </c>
      <c r="BA2" s="104" t="s">
        <v>504</v>
      </c>
      <c r="BB2" s="104" t="s">
        <v>505</v>
      </c>
      <c r="BC2" s="104" t="s">
        <v>506</v>
      </c>
      <c r="BD2" s="104" t="s">
        <v>507</v>
      </c>
      <c r="BE2" s="104" t="s">
        <v>508</v>
      </c>
      <c r="BF2" s="104" t="s">
        <v>59</v>
      </c>
      <c r="BG2" s="104" t="s">
        <v>509</v>
      </c>
      <c r="BH2" s="104" t="s">
        <v>510</v>
      </c>
      <c r="BI2" s="104" t="s">
        <v>511</v>
      </c>
      <c r="BJ2" s="104" t="s">
        <v>512</v>
      </c>
      <c r="BK2" s="104" t="s">
        <v>513</v>
      </c>
      <c r="BL2" s="104" t="s">
        <v>514</v>
      </c>
    </row>
    <row r="3" spans="1:64" x14ac:dyDescent="0.2">
      <c r="A3" t="s">
        <v>69</v>
      </c>
      <c r="B3" s="108">
        <v>44.644058227539063</v>
      </c>
      <c r="C3" s="108">
        <v>42.895217895507813</v>
      </c>
      <c r="D3" s="108">
        <v>40.380256652832031</v>
      </c>
      <c r="E3" s="108">
        <v>42.925212860107422</v>
      </c>
      <c r="F3" s="108">
        <v>44.821155548095703</v>
      </c>
      <c r="G3" s="108">
        <v>40.191131591796875</v>
      </c>
      <c r="H3" s="108">
        <v>38.500087738037109</v>
      </c>
      <c r="I3" s="108">
        <v>43.571765899658203</v>
      </c>
      <c r="J3" s="108">
        <v>40.450801849365234</v>
      </c>
      <c r="K3" s="108">
        <v>42.165641784667969</v>
      </c>
      <c r="L3" s="108">
        <v>41.192031860351563</v>
      </c>
      <c r="M3" s="108">
        <v>44.283908843994141</v>
      </c>
      <c r="N3" s="108">
        <v>43.655658721923828</v>
      </c>
      <c r="O3" s="108">
        <v>48.656803131103516</v>
      </c>
      <c r="P3" s="109"/>
      <c r="Q3" s="108">
        <v>44.684574127197266</v>
      </c>
      <c r="R3" s="108">
        <v>44.497509002685547</v>
      </c>
      <c r="S3" s="109"/>
      <c r="T3" s="108">
        <v>42.926204681396484</v>
      </c>
      <c r="U3" s="108">
        <v>45.020942687988281</v>
      </c>
      <c r="V3" s="108">
        <v>45.005622863769531</v>
      </c>
      <c r="W3" s="108">
        <v>44.686920166015625</v>
      </c>
      <c r="X3" s="108">
        <v>43.719272613525391</v>
      </c>
      <c r="Y3" s="108">
        <v>44.499931335449219</v>
      </c>
      <c r="Z3" s="108">
        <v>44.385509490966797</v>
      </c>
      <c r="AA3" s="108">
        <v>48.193363189697266</v>
      </c>
      <c r="AB3" s="108">
        <v>44.727947235107422</v>
      </c>
      <c r="AC3" s="108">
        <v>44.85015869140625</v>
      </c>
      <c r="AD3" s="108">
        <v>45.418323516845703</v>
      </c>
      <c r="AE3" s="108">
        <v>41.187896728515625</v>
      </c>
      <c r="AF3" s="108">
        <v>47.321273803710938</v>
      </c>
      <c r="AG3" s="108">
        <v>43.094844818115234</v>
      </c>
      <c r="AH3" s="108">
        <v>43.681865692138672</v>
      </c>
      <c r="AI3" s="108">
        <v>44.462379455566406</v>
      </c>
      <c r="AJ3" s="108">
        <v>42.561187744140625</v>
      </c>
      <c r="AK3" s="108">
        <v>41.220466613769531</v>
      </c>
      <c r="AL3" s="108">
        <v>44.092159271240234</v>
      </c>
      <c r="AM3" s="108">
        <v>44.869640350341797</v>
      </c>
      <c r="AN3" s="108">
        <v>42.506458282470703</v>
      </c>
      <c r="AO3" s="108">
        <v>40.738533020019531</v>
      </c>
      <c r="AP3" s="108">
        <v>39.936305999755859</v>
      </c>
      <c r="AQ3" s="108">
        <v>40.002269744873047</v>
      </c>
      <c r="AR3" s="108">
        <v>40.201633453369141</v>
      </c>
      <c r="AS3" s="108">
        <v>41.710479736328125</v>
      </c>
      <c r="AT3" s="108">
        <v>40.27685546875</v>
      </c>
      <c r="AU3" s="108">
        <v>39.592338562011719</v>
      </c>
      <c r="AV3" s="108">
        <v>47.501064300537109</v>
      </c>
      <c r="AW3" s="108">
        <v>42.073909759521484</v>
      </c>
      <c r="AX3" s="108">
        <v>42.699672698974609</v>
      </c>
      <c r="AY3" s="108">
        <v>41.605255126953125</v>
      </c>
      <c r="AZ3" s="108">
        <v>40.948940277099609</v>
      </c>
      <c r="BA3" s="108">
        <v>41.717029571533203</v>
      </c>
      <c r="BB3" s="108">
        <v>39.963520050048828</v>
      </c>
      <c r="BC3" s="108">
        <v>41.301467895507813</v>
      </c>
      <c r="BD3" s="108">
        <v>44.011116027832031</v>
      </c>
      <c r="BE3" s="108">
        <v>42.442790985107422</v>
      </c>
      <c r="BF3" s="108">
        <v>42.454441070556641</v>
      </c>
      <c r="BG3" s="108">
        <v>41.662315368652344</v>
      </c>
      <c r="BH3" s="108">
        <v>42.000339508056641</v>
      </c>
      <c r="BI3" s="108">
        <v>43.653285980224609</v>
      </c>
      <c r="BJ3" s="108">
        <v>45.542118072509766</v>
      </c>
      <c r="BK3" s="108">
        <v>47.803886413574219</v>
      </c>
      <c r="BL3" s="108">
        <v>44.210891723632813</v>
      </c>
    </row>
    <row r="4" spans="1:64" x14ac:dyDescent="0.2">
      <c r="A4" t="s">
        <v>71</v>
      </c>
      <c r="B4" s="108">
        <v>46.309463500976563</v>
      </c>
      <c r="C4" s="108">
        <v>43.979827880859375</v>
      </c>
      <c r="D4" s="108">
        <v>41.642860412597656</v>
      </c>
      <c r="E4" s="108">
        <v>45.702739715576172</v>
      </c>
      <c r="F4" s="108">
        <v>45.858074188232422</v>
      </c>
      <c r="G4" s="108">
        <v>42.860557556152344</v>
      </c>
      <c r="H4" s="108">
        <v>44.789051055908203</v>
      </c>
      <c r="I4" s="108">
        <v>44.965236663818359</v>
      </c>
      <c r="J4" s="108">
        <v>46.124370574951172</v>
      </c>
      <c r="K4" s="108">
        <v>46.005691528320313</v>
      </c>
      <c r="L4" s="108">
        <v>45.263008117675781</v>
      </c>
      <c r="M4" s="108">
        <v>44.914234161376953</v>
      </c>
      <c r="N4" s="108">
        <v>47.623668670654297</v>
      </c>
      <c r="O4" s="108">
        <v>52.161190032958984</v>
      </c>
      <c r="P4" s="109"/>
      <c r="Q4" s="108">
        <v>48.179485321044922</v>
      </c>
      <c r="R4" s="108">
        <v>47.436283111572266</v>
      </c>
      <c r="S4" s="109"/>
      <c r="T4" s="108">
        <v>43.898059844970703</v>
      </c>
      <c r="U4" s="108">
        <v>46.945365905761719</v>
      </c>
      <c r="V4" s="108">
        <v>47.494338989257813</v>
      </c>
      <c r="W4" s="108">
        <v>46.2550048828125</v>
      </c>
      <c r="X4" s="108">
        <v>46.248798370361328</v>
      </c>
      <c r="Y4" s="108">
        <v>45.733222961425781</v>
      </c>
      <c r="Z4" s="108">
        <v>45.889896392822266</v>
      </c>
      <c r="AA4" s="108">
        <v>48.850605010986328</v>
      </c>
      <c r="AB4" s="108">
        <v>45.563831329345703</v>
      </c>
      <c r="AC4" s="108">
        <v>47.425758361816406</v>
      </c>
      <c r="AD4" s="108">
        <v>46.329151153564453</v>
      </c>
      <c r="AE4" s="108">
        <v>46.297653198242188</v>
      </c>
      <c r="AF4" s="108">
        <v>48.378166198730469</v>
      </c>
      <c r="AG4" s="108">
        <v>44.349895477294922</v>
      </c>
      <c r="AH4" s="108">
        <v>44.368877410888672</v>
      </c>
      <c r="AI4" s="108">
        <v>45.428062438964844</v>
      </c>
      <c r="AJ4" s="108">
        <v>45.909126281738281</v>
      </c>
      <c r="AK4" s="108">
        <v>44.075820922851563</v>
      </c>
      <c r="AL4" s="108">
        <v>46.965572357177734</v>
      </c>
      <c r="AM4" s="108">
        <v>52.173862457275391</v>
      </c>
      <c r="AN4" s="108">
        <v>51.069751739501953</v>
      </c>
      <c r="AO4" s="108">
        <v>42.515022277832031</v>
      </c>
      <c r="AP4" s="108">
        <v>43.060733795166016</v>
      </c>
      <c r="AQ4" s="108">
        <v>45.067005157470703</v>
      </c>
      <c r="AR4" s="108">
        <v>43.317058563232422</v>
      </c>
      <c r="AS4" s="108">
        <v>42.839408874511719</v>
      </c>
      <c r="AT4" s="108">
        <v>41.76080322265625</v>
      </c>
      <c r="AU4" s="108">
        <v>42.491569519042969</v>
      </c>
      <c r="AV4" s="108">
        <v>52.955364227294922</v>
      </c>
      <c r="AW4" s="108">
        <v>43.496334075927734</v>
      </c>
      <c r="AX4" s="108">
        <v>45.851909637451172</v>
      </c>
      <c r="AY4" s="108">
        <v>42.862686157226563</v>
      </c>
      <c r="AZ4" s="108">
        <v>41.726428985595703</v>
      </c>
      <c r="BA4" s="108">
        <v>46.452671051025391</v>
      </c>
      <c r="BB4" s="108">
        <v>45.474269866943359</v>
      </c>
      <c r="BC4" s="108">
        <v>44.368751525878906</v>
      </c>
      <c r="BD4" s="108">
        <v>46.237655639648438</v>
      </c>
      <c r="BE4" s="108">
        <v>45.922733306884766</v>
      </c>
      <c r="BF4" s="108">
        <v>43.598087310791016</v>
      </c>
      <c r="BG4" s="108">
        <v>42.969161987304688</v>
      </c>
      <c r="BH4" s="108">
        <v>43.004215240478516</v>
      </c>
      <c r="BI4" s="108">
        <v>47.260616302490234</v>
      </c>
      <c r="BJ4" s="108">
        <v>45.542118072509766</v>
      </c>
      <c r="BK4" s="108">
        <v>47.803886413574219</v>
      </c>
      <c r="BL4" s="108">
        <v>44.210891723632813</v>
      </c>
    </row>
    <row r="5" spans="1:64" x14ac:dyDescent="0.2">
      <c r="A5" t="s">
        <v>66</v>
      </c>
      <c r="B5" s="108">
        <v>45.476760864257813</v>
      </c>
      <c r="C5" s="108">
        <v>43.437522888183594</v>
      </c>
      <c r="D5" s="108">
        <v>41.011558532714844</v>
      </c>
      <c r="E5" s="108">
        <v>44.313976287841797</v>
      </c>
      <c r="F5" s="108">
        <v>45.339614868164063</v>
      </c>
      <c r="G5" s="108">
        <v>41.525844573974609</v>
      </c>
      <c r="H5" s="108">
        <v>41.644569396972656</v>
      </c>
      <c r="I5" s="108">
        <v>44.268501281738281</v>
      </c>
      <c r="J5" s="108">
        <v>43.287586212158203</v>
      </c>
      <c r="K5" s="108">
        <v>44.085666656494141</v>
      </c>
      <c r="L5" s="108">
        <v>43.227519989013672</v>
      </c>
      <c r="M5" s="108">
        <v>44.599071502685547</v>
      </c>
      <c r="N5" s="108">
        <v>45.639663696289063</v>
      </c>
      <c r="O5" s="108">
        <v>50.40899658203125</v>
      </c>
      <c r="P5" s="109"/>
      <c r="Q5" s="108">
        <v>46.432029724121094</v>
      </c>
      <c r="R5" s="108">
        <v>45.966896057128906</v>
      </c>
      <c r="S5" s="109"/>
      <c r="T5" s="108">
        <v>43.412132263183594</v>
      </c>
      <c r="U5" s="108">
        <v>45.983154296875</v>
      </c>
      <c r="V5" s="108">
        <v>46.249980926513672</v>
      </c>
      <c r="W5" s="108">
        <v>45.470962524414063</v>
      </c>
      <c r="X5" s="108">
        <v>44.984035491943359</v>
      </c>
      <c r="Y5" s="108">
        <v>45.1165771484375</v>
      </c>
      <c r="Z5" s="108">
        <v>45.137702941894531</v>
      </c>
      <c r="AA5" s="108">
        <v>48.521984100341797</v>
      </c>
      <c r="AB5" s="108">
        <v>45.145889282226563</v>
      </c>
      <c r="AC5" s="108">
        <v>46.137958526611328</v>
      </c>
      <c r="AD5" s="108">
        <v>45.873737335205078</v>
      </c>
      <c r="AE5" s="108">
        <v>43.742774963378906</v>
      </c>
      <c r="AF5" s="108">
        <v>47.849720001220703</v>
      </c>
      <c r="AG5" s="108">
        <v>43.722370147705078</v>
      </c>
      <c r="AH5" s="108">
        <v>44.025371551513672</v>
      </c>
      <c r="AI5" s="108">
        <v>44.945220947265625</v>
      </c>
      <c r="AJ5" s="108">
        <v>44.235157012939453</v>
      </c>
      <c r="AK5" s="108">
        <v>42.648143768310547</v>
      </c>
      <c r="AL5" s="108">
        <v>45.528865814208984</v>
      </c>
      <c r="AM5" s="108">
        <v>48.521751403808594</v>
      </c>
      <c r="AN5" s="108">
        <v>46.788105010986328</v>
      </c>
      <c r="AO5" s="108">
        <v>41.626777648925781</v>
      </c>
      <c r="AP5" s="108">
        <v>41.498519897460938</v>
      </c>
      <c r="AQ5" s="108">
        <v>42.534637451171875</v>
      </c>
      <c r="AR5" s="108">
        <v>41.759346008300781</v>
      </c>
      <c r="AS5" s="108">
        <v>42.274944305419922</v>
      </c>
      <c r="AT5" s="108">
        <v>41.018829345703125</v>
      </c>
      <c r="AU5" s="108">
        <v>41.041954040527344</v>
      </c>
      <c r="AV5" s="108">
        <v>50.228214263916016</v>
      </c>
      <c r="AW5" s="108">
        <v>42.785121917724609</v>
      </c>
      <c r="AX5" s="108">
        <v>44.275791168212891</v>
      </c>
      <c r="AY5" s="108">
        <v>42.233970642089844</v>
      </c>
      <c r="AZ5" s="108">
        <v>41.337684631347656</v>
      </c>
      <c r="BA5" s="108">
        <v>44.084850311279297</v>
      </c>
      <c r="BB5" s="108">
        <v>42.718894958496094</v>
      </c>
      <c r="BC5" s="108">
        <v>42.835109710693359</v>
      </c>
      <c r="BD5" s="108">
        <v>45.124385833740234</v>
      </c>
      <c r="BE5" s="108">
        <v>44.182762145996094</v>
      </c>
      <c r="BF5" s="108">
        <v>43.026264190673828</v>
      </c>
      <c r="BG5" s="108">
        <v>42.315738677978516</v>
      </c>
      <c r="BH5" s="108">
        <v>42.502277374267578</v>
      </c>
      <c r="BI5" s="108">
        <v>45.456951141357422</v>
      </c>
      <c r="BJ5" s="108">
        <v>45.542118072509766</v>
      </c>
      <c r="BK5" s="108">
        <v>47.803886413574219</v>
      </c>
      <c r="BL5" s="108">
        <v>44.210891723632813</v>
      </c>
    </row>
    <row r="6" spans="1:64" x14ac:dyDescent="0.2">
      <c r="A6" t="s">
        <v>73</v>
      </c>
      <c r="B6" s="108">
        <v>0.50621336698532104</v>
      </c>
      <c r="C6" s="108">
        <v>0.32967507839202881</v>
      </c>
      <c r="D6" s="108">
        <v>0.38377836346626282</v>
      </c>
      <c r="E6" s="108">
        <v>0.84425157308578491</v>
      </c>
      <c r="F6" s="108">
        <v>0.31518030166625977</v>
      </c>
      <c r="G6" s="108">
        <v>0.81139260530471802</v>
      </c>
      <c r="H6" s="108">
        <v>1.9115786552429199</v>
      </c>
      <c r="I6" s="108">
        <v>0.4235566258430481</v>
      </c>
      <c r="J6" s="108">
        <v>1.7245259284973145</v>
      </c>
      <c r="K6" s="108">
        <v>1.1672118902206421</v>
      </c>
      <c r="L6" s="108">
        <v>1.2374048233032227</v>
      </c>
      <c r="M6" s="108">
        <v>0.19159334897994995</v>
      </c>
      <c r="N6" s="108">
        <v>1.2061082124710083</v>
      </c>
      <c r="O6" s="108">
        <v>1.0651860237121582</v>
      </c>
      <c r="P6" s="109"/>
      <c r="Q6" s="108">
        <v>1.0623061656951904</v>
      </c>
      <c r="R6" s="108">
        <v>0.89326381683349609</v>
      </c>
      <c r="S6" s="109"/>
      <c r="T6" s="108">
        <v>0.29540321230888367</v>
      </c>
      <c r="U6" s="108">
        <v>0.58494359254837036</v>
      </c>
      <c r="V6" s="108">
        <v>0.75646370649337769</v>
      </c>
      <c r="W6" s="108">
        <v>0.4766315221786499</v>
      </c>
      <c r="X6" s="108">
        <v>0.76886975765228271</v>
      </c>
      <c r="Y6" s="108">
        <v>0.37486839294433594</v>
      </c>
      <c r="Z6" s="108">
        <v>0.45726922154426575</v>
      </c>
      <c r="AA6" s="108">
        <v>0.19977368414402008</v>
      </c>
      <c r="AB6" s="108">
        <v>0.25407326221466064</v>
      </c>
      <c r="AC6" s="108">
        <v>0.78287392854690552</v>
      </c>
      <c r="AD6" s="108">
        <v>0.27685293555259705</v>
      </c>
      <c r="AE6" s="108">
        <v>1.5531497001647949</v>
      </c>
      <c r="AF6" s="108">
        <v>0.32125061750411987</v>
      </c>
      <c r="AG6" s="108">
        <v>0.38148126006126404</v>
      </c>
      <c r="AH6" s="108">
        <v>0.20882196724414825</v>
      </c>
      <c r="AI6" s="108">
        <v>0.29352769255638123</v>
      </c>
      <c r="AJ6" s="108">
        <v>1.0176326036453247</v>
      </c>
      <c r="AK6" s="108">
        <v>0.86790817975997925</v>
      </c>
      <c r="AL6" s="108">
        <v>0.8733971118927002</v>
      </c>
      <c r="AM6" s="108">
        <v>2.2201757431030273</v>
      </c>
      <c r="AN6" s="108">
        <v>2.6028800010681152</v>
      </c>
      <c r="AO6" s="108">
        <v>0.5399787425994873</v>
      </c>
      <c r="AP6" s="108">
        <v>0.94969302415847778</v>
      </c>
      <c r="AQ6" s="108">
        <v>1.5394656658172607</v>
      </c>
      <c r="AR6" s="108">
        <v>0.94695651531219482</v>
      </c>
      <c r="AS6" s="108">
        <v>0.343147873878479</v>
      </c>
      <c r="AT6" s="108">
        <v>0.45105668902397156</v>
      </c>
      <c r="AU6" s="108">
        <v>0.88124465942382813</v>
      </c>
      <c r="AV6" s="108">
        <v>1.6578761339187622</v>
      </c>
      <c r="AW6" s="108">
        <v>0.43235787749290466</v>
      </c>
      <c r="AX6" s="108">
        <v>0.95814704895019531</v>
      </c>
      <c r="AY6" s="108">
        <v>0.38220643997192383</v>
      </c>
      <c r="AZ6" s="108">
        <v>0.2363237738609314</v>
      </c>
      <c r="BA6" s="108">
        <v>1.439435601234436</v>
      </c>
      <c r="BB6" s="108">
        <v>1.6750345230102539</v>
      </c>
      <c r="BC6" s="108">
        <v>0.93232405185699463</v>
      </c>
      <c r="BD6" s="108">
        <v>0.67677485942840576</v>
      </c>
      <c r="BE6" s="108">
        <v>1.0577564239501953</v>
      </c>
      <c r="BF6" s="108">
        <v>0.34761932492256165</v>
      </c>
      <c r="BG6" s="108">
        <v>0.39722564816474915</v>
      </c>
      <c r="BH6" s="108">
        <v>0.30513486266136169</v>
      </c>
      <c r="BI6" s="108">
        <v>1.0964772701263428</v>
      </c>
      <c r="BJ6" s="108">
        <v>0</v>
      </c>
      <c r="BK6" s="108">
        <v>0</v>
      </c>
      <c r="BL6" s="108">
        <v>0</v>
      </c>
    </row>
    <row r="7" spans="1:64" x14ac:dyDescent="0.2">
      <c r="A7" t="s">
        <v>77</v>
      </c>
      <c r="B7" s="108">
        <v>43.518096923828125</v>
      </c>
      <c r="C7" s="108">
        <v>40.695690155029297</v>
      </c>
      <c r="D7" s="108">
        <v>38.151660919189453</v>
      </c>
      <c r="E7" s="108">
        <v>40.999649047851563</v>
      </c>
      <c r="F7" s="108">
        <v>42.630916595458984</v>
      </c>
      <c r="G7" s="108">
        <v>39.353958129882813</v>
      </c>
      <c r="H7" s="108">
        <v>36.878681182861328</v>
      </c>
      <c r="I7" s="108">
        <v>42.063129425048828</v>
      </c>
      <c r="J7" s="108">
        <v>38.007644653320313</v>
      </c>
      <c r="K7" s="108">
        <v>39.76470947265625</v>
      </c>
      <c r="L7" s="108">
        <v>39.618701934814453</v>
      </c>
      <c r="M7" s="108">
        <v>42.748577117919922</v>
      </c>
      <c r="N7" s="108">
        <v>42.599697113037109</v>
      </c>
      <c r="O7" s="108">
        <v>46.55572509765625</v>
      </c>
      <c r="P7" s="109"/>
      <c r="Q7" s="108">
        <v>43.08050537109375</v>
      </c>
      <c r="R7" s="108">
        <v>43.2821044921875</v>
      </c>
      <c r="S7" s="109"/>
      <c r="T7" s="108">
        <v>41.623455047607422</v>
      </c>
      <c r="U7" s="108">
        <v>43.264461517333984</v>
      </c>
      <c r="V7" s="108">
        <v>43.045989990234375</v>
      </c>
      <c r="W7" s="108">
        <v>42.728790283203125</v>
      </c>
      <c r="X7" s="108">
        <v>41.536163330078125</v>
      </c>
      <c r="Y7" s="108">
        <v>42.756362915039063</v>
      </c>
      <c r="Z7" s="108">
        <v>42.757892608642578</v>
      </c>
      <c r="AA7" s="108">
        <v>45.726722717285156</v>
      </c>
      <c r="AB7" s="108">
        <v>42.832210540771484</v>
      </c>
      <c r="AC7" s="108">
        <v>43.135738372802734</v>
      </c>
      <c r="AD7" s="108">
        <v>42.095691680908203</v>
      </c>
      <c r="AE7" s="108">
        <v>39.958164215087891</v>
      </c>
      <c r="AF7" s="108">
        <v>44.921993255615234</v>
      </c>
      <c r="AG7" s="108">
        <v>42.100521087646484</v>
      </c>
      <c r="AH7" s="108">
        <v>41.421710968017578</v>
      </c>
      <c r="AI7" s="108">
        <v>42.542549133300781</v>
      </c>
      <c r="AJ7" s="108">
        <v>40.291450500488281</v>
      </c>
      <c r="AK7" s="108">
        <v>39.319160461425781</v>
      </c>
      <c r="AL7" s="108">
        <v>42.348781585693359</v>
      </c>
      <c r="AM7" s="108">
        <v>42.673080444335938</v>
      </c>
      <c r="AN7" s="108">
        <v>41.326950073242188</v>
      </c>
      <c r="AO7" s="108">
        <v>39.081516265869141</v>
      </c>
      <c r="AP7" s="108">
        <v>38.064155578613281</v>
      </c>
      <c r="AQ7" s="108">
        <v>38.267181396484375</v>
      </c>
      <c r="AR7" s="108">
        <v>39.406394958496094</v>
      </c>
      <c r="AS7" s="108">
        <v>40.062408447265625</v>
      </c>
      <c r="AT7" s="108">
        <v>39.201290130615234</v>
      </c>
      <c r="AU7" s="108">
        <v>38.418487548828125</v>
      </c>
      <c r="AV7" s="108">
        <v>45.451957702636719</v>
      </c>
      <c r="AW7" s="108">
        <v>40.673057556152344</v>
      </c>
      <c r="AX7" s="108">
        <v>40.823223114013672</v>
      </c>
      <c r="AY7" s="108">
        <v>40.478935241699219</v>
      </c>
      <c r="AZ7" s="108">
        <v>39.3116455078125</v>
      </c>
      <c r="BA7" s="108">
        <v>38.709945678710938</v>
      </c>
      <c r="BB7" s="108">
        <v>38.188800811767578</v>
      </c>
      <c r="BC7" s="108">
        <v>39.409873962402344</v>
      </c>
      <c r="BD7" s="108">
        <v>42.217731475830078</v>
      </c>
      <c r="BE7" s="108">
        <v>40.93499755859375</v>
      </c>
      <c r="BF7" s="108">
        <v>40.546348571777344</v>
      </c>
      <c r="BG7" s="108">
        <v>39.395381927490234</v>
      </c>
      <c r="BH7" s="108">
        <v>39.46331787109375</v>
      </c>
      <c r="BI7" s="108">
        <v>41.105350494384766</v>
      </c>
      <c r="BJ7" s="108">
        <v>42.855907440185547</v>
      </c>
      <c r="BK7" s="108">
        <v>44.911422729492188</v>
      </c>
      <c r="BL7" s="108">
        <v>41.874588012695313</v>
      </c>
    </row>
    <row r="8" spans="1:64" x14ac:dyDescent="0.2">
      <c r="A8" t="s">
        <v>79</v>
      </c>
      <c r="B8" s="108">
        <v>44.291763305664063</v>
      </c>
      <c r="C8" s="108">
        <v>41.598285675048828</v>
      </c>
      <c r="D8" s="108">
        <v>39.455814361572266</v>
      </c>
      <c r="E8" s="108">
        <v>43.874244689941406</v>
      </c>
      <c r="F8" s="108">
        <v>43.587390899658203</v>
      </c>
      <c r="G8" s="108">
        <v>41.441055297851563</v>
      </c>
      <c r="H8" s="108">
        <v>42.458644866943359</v>
      </c>
      <c r="I8" s="108">
        <v>43.318164825439453</v>
      </c>
      <c r="J8" s="108">
        <v>43.731071472167969</v>
      </c>
      <c r="K8" s="108">
        <v>43.898330688476563</v>
      </c>
      <c r="L8" s="108">
        <v>42.396846771240234</v>
      </c>
      <c r="M8" s="108">
        <v>43.283908843994141</v>
      </c>
      <c r="N8" s="108">
        <v>45.095333099365234</v>
      </c>
      <c r="O8" s="108">
        <v>49.196876525878906</v>
      </c>
      <c r="P8" s="109"/>
      <c r="Q8" s="108">
        <v>45.413009643554688</v>
      </c>
      <c r="R8" s="108">
        <v>45.334701538085938</v>
      </c>
      <c r="S8" s="109"/>
      <c r="T8" s="108">
        <v>42.663585662841797</v>
      </c>
      <c r="U8" s="108">
        <v>43.942600250244141</v>
      </c>
      <c r="V8" s="108">
        <v>45.320243835449219</v>
      </c>
      <c r="W8" s="108">
        <v>44.299301147460938</v>
      </c>
      <c r="X8" s="108">
        <v>43.930084228515625</v>
      </c>
      <c r="Y8" s="108">
        <v>43.548622131347656</v>
      </c>
      <c r="Z8" s="108">
        <v>43.571216583251953</v>
      </c>
      <c r="AA8" s="108">
        <v>46.304008483886719</v>
      </c>
      <c r="AB8" s="108">
        <v>43.667743682861328</v>
      </c>
      <c r="AC8" s="108">
        <v>45.491909027099609</v>
      </c>
      <c r="AD8" s="108">
        <v>43.427181243896484</v>
      </c>
      <c r="AE8" s="108">
        <v>43.590236663818359</v>
      </c>
      <c r="AF8" s="108">
        <v>45.846935272216797</v>
      </c>
      <c r="AG8" s="108">
        <v>43.040187835693359</v>
      </c>
      <c r="AH8" s="108">
        <v>43.053691864013672</v>
      </c>
      <c r="AI8" s="108">
        <v>43.314170837402344</v>
      </c>
      <c r="AJ8" s="108">
        <v>43.028724670410156</v>
      </c>
      <c r="AK8" s="108">
        <v>42.165496826171875</v>
      </c>
      <c r="AL8" s="108">
        <v>44.524982452392578</v>
      </c>
      <c r="AM8" s="108">
        <v>49.327354431152344</v>
      </c>
      <c r="AN8" s="108">
        <v>47.752555847167969</v>
      </c>
      <c r="AO8" s="108">
        <v>40.869693756103516</v>
      </c>
      <c r="AP8" s="108">
        <v>41.283103942871094</v>
      </c>
      <c r="AQ8" s="108">
        <v>43.977493286132813</v>
      </c>
      <c r="AR8" s="108">
        <v>41.648468017578125</v>
      </c>
      <c r="AS8" s="108">
        <v>41.357017517089844</v>
      </c>
      <c r="AT8" s="108">
        <v>40.667568206787109</v>
      </c>
      <c r="AU8" s="108">
        <v>40.41558837890625</v>
      </c>
      <c r="AV8" s="108">
        <v>49.445640563964844</v>
      </c>
      <c r="AW8" s="108">
        <v>41.853271484375</v>
      </c>
      <c r="AX8" s="108">
        <v>43.162654876708984</v>
      </c>
      <c r="AY8" s="108">
        <v>41.56182861328125</v>
      </c>
      <c r="AZ8" s="108">
        <v>40.306831359863281</v>
      </c>
      <c r="BA8" s="108">
        <v>43.24365234375</v>
      </c>
      <c r="BB8" s="108">
        <v>43.005504608154297</v>
      </c>
      <c r="BC8" s="108">
        <v>42.024581909179688</v>
      </c>
      <c r="BD8" s="108">
        <v>43.831691741943359</v>
      </c>
      <c r="BE8" s="108">
        <v>43.364570617675781</v>
      </c>
      <c r="BF8" s="108">
        <v>41.457923889160156</v>
      </c>
      <c r="BG8" s="108">
        <v>40.684795379638672</v>
      </c>
      <c r="BH8" s="108">
        <v>40.486175537109375</v>
      </c>
      <c r="BI8" s="108">
        <v>44.077861785888672</v>
      </c>
      <c r="BJ8" s="108">
        <v>42.855907440185547</v>
      </c>
      <c r="BK8" s="108">
        <v>44.911422729492188</v>
      </c>
      <c r="BL8" s="108">
        <v>41.874588012695313</v>
      </c>
    </row>
    <row r="9" spans="1:64" s="107" customFormat="1" x14ac:dyDescent="0.2">
      <c r="A9" s="107" t="s">
        <v>75</v>
      </c>
      <c r="B9" s="115">
        <v>43.904930114746094</v>
      </c>
      <c r="C9" s="115">
        <v>41.146987915039063</v>
      </c>
      <c r="D9" s="115">
        <v>38.803737640380859</v>
      </c>
      <c r="E9" s="115">
        <v>42.436946868896484</v>
      </c>
      <c r="F9" s="115">
        <v>43.109153747558594</v>
      </c>
      <c r="G9" s="115">
        <v>40.397506713867188</v>
      </c>
      <c r="H9" s="115">
        <v>39.668663024902344</v>
      </c>
      <c r="I9" s="115">
        <v>42.690647125244141</v>
      </c>
      <c r="J9" s="115">
        <v>40.869358062744141</v>
      </c>
      <c r="K9" s="115">
        <v>41.831520080566406</v>
      </c>
      <c r="L9" s="115">
        <v>41.007774353027344</v>
      </c>
      <c r="M9" s="115">
        <v>43.016242980957031</v>
      </c>
      <c r="N9" s="115">
        <v>43.847515106201172</v>
      </c>
      <c r="O9" s="115">
        <v>47.876300811767578</v>
      </c>
      <c r="P9" s="109"/>
      <c r="Q9" s="109">
        <v>44.246757507324219</v>
      </c>
      <c r="R9" s="109">
        <v>44.308403015136719</v>
      </c>
      <c r="S9" s="109"/>
      <c r="T9" s="109">
        <v>42.143520355224609</v>
      </c>
      <c r="U9" s="109">
        <v>43.603530883789063</v>
      </c>
      <c r="V9" s="109">
        <v>44.183116912841797</v>
      </c>
      <c r="W9" s="109">
        <v>43.514045715332031</v>
      </c>
      <c r="X9" s="109">
        <v>42.733123779296875</v>
      </c>
      <c r="Y9" s="109">
        <v>43.152492523193359</v>
      </c>
      <c r="Z9" s="109">
        <v>43.164554595947266</v>
      </c>
      <c r="AA9" s="109">
        <v>46.015365600585938</v>
      </c>
      <c r="AB9" s="109">
        <v>43.249977111816406</v>
      </c>
      <c r="AC9" s="109">
        <v>44.313823699951172</v>
      </c>
      <c r="AD9" s="109">
        <v>42.761436462402344</v>
      </c>
      <c r="AE9" s="109">
        <v>41.774200439453125</v>
      </c>
      <c r="AF9" s="109">
        <v>45.384464263916016</v>
      </c>
      <c r="AG9" s="109">
        <v>42.570354461669922</v>
      </c>
      <c r="AH9" s="109">
        <v>42.237701416015625</v>
      </c>
      <c r="AI9" s="109">
        <v>42.928359985351563</v>
      </c>
      <c r="AJ9" s="109">
        <v>41.660087585449219</v>
      </c>
      <c r="AK9" s="109">
        <v>40.742328643798828</v>
      </c>
      <c r="AL9" s="109">
        <v>43.436882019042969</v>
      </c>
      <c r="AM9" s="109">
        <v>46.000217437744141</v>
      </c>
      <c r="AN9" s="109">
        <v>44.539752960205078</v>
      </c>
      <c r="AO9" s="109">
        <v>39.975605010986328</v>
      </c>
      <c r="AP9" s="109">
        <v>39.673629760742188</v>
      </c>
      <c r="AQ9" s="109">
        <v>41.122337341308594</v>
      </c>
      <c r="AR9" s="109">
        <v>40.527431488037109</v>
      </c>
      <c r="AS9" s="109">
        <v>40.709712982177734</v>
      </c>
      <c r="AT9" s="109">
        <v>39.934429168701172</v>
      </c>
      <c r="AU9" s="109">
        <v>39.417037963867188</v>
      </c>
      <c r="AV9" s="109">
        <v>47.448799133300781</v>
      </c>
      <c r="AW9" s="109">
        <v>41.263164520263672</v>
      </c>
      <c r="AX9" s="109">
        <v>41.992938995361328</v>
      </c>
      <c r="AY9" s="109">
        <v>41.020381927490234</v>
      </c>
      <c r="AZ9" s="109">
        <v>39.809238433837891</v>
      </c>
      <c r="BA9" s="109">
        <v>40.976799011230469</v>
      </c>
      <c r="BB9" s="109">
        <v>40.597152709960938</v>
      </c>
      <c r="BC9" s="109">
        <v>40.717227935791016</v>
      </c>
      <c r="BD9" s="109">
        <v>43.024711608886719</v>
      </c>
      <c r="BE9" s="109">
        <v>42.149784088134766</v>
      </c>
      <c r="BF9" s="109">
        <v>41.00213623046875</v>
      </c>
      <c r="BG9" s="109">
        <v>40.040088653564453</v>
      </c>
      <c r="BH9" s="109">
        <v>39.974746704101563</v>
      </c>
      <c r="BI9" s="109">
        <v>42.591606140136719</v>
      </c>
      <c r="BJ9" s="109">
        <v>42.855907440185547</v>
      </c>
      <c r="BK9" s="109">
        <v>44.911422729492188</v>
      </c>
      <c r="BL9" s="109">
        <v>41.874588012695313</v>
      </c>
    </row>
    <row r="10" spans="1:64" x14ac:dyDescent="0.2">
      <c r="A10" t="s">
        <v>81</v>
      </c>
      <c r="B10" s="108">
        <v>0.23516178131103516</v>
      </c>
      <c r="C10" s="108">
        <v>0.27435117959976196</v>
      </c>
      <c r="D10" s="108">
        <v>0.39640721678733826</v>
      </c>
      <c r="E10" s="108">
        <v>0.87375491857528687</v>
      </c>
      <c r="F10" s="108">
        <v>0.29072669148445129</v>
      </c>
      <c r="G10" s="108">
        <v>0.63439029455184937</v>
      </c>
      <c r="H10" s="108">
        <v>1.6960736513137817</v>
      </c>
      <c r="I10" s="108">
        <v>0.3814774751663208</v>
      </c>
      <c r="J10" s="108">
        <v>1.7396801710128784</v>
      </c>
      <c r="K10" s="108">
        <v>1.2564470767974854</v>
      </c>
      <c r="L10" s="108">
        <v>0.84443938732147217</v>
      </c>
      <c r="M10" s="108">
        <v>0.16271914541721344</v>
      </c>
      <c r="N10" s="108">
        <v>0.75856733322143555</v>
      </c>
      <c r="O10" s="108">
        <v>0.80279803276062012</v>
      </c>
      <c r="P10" s="109"/>
      <c r="Q10" s="108">
        <v>0.70898169279098511</v>
      </c>
      <c r="R10" s="108">
        <v>0.62390369176864624</v>
      </c>
      <c r="S10" s="109"/>
      <c r="T10" s="108">
        <v>0.31615680456161499</v>
      </c>
      <c r="U10" s="108">
        <v>0.20612636208534241</v>
      </c>
      <c r="V10" s="108">
        <v>0.69127780199050903</v>
      </c>
      <c r="W10" s="108">
        <v>0.47736823558807373</v>
      </c>
      <c r="X10" s="108">
        <v>0.72765040397644043</v>
      </c>
      <c r="Y10" s="108">
        <v>0.24081306159496307</v>
      </c>
      <c r="Z10" s="108">
        <v>0.24721676111221313</v>
      </c>
      <c r="AA10" s="108">
        <v>0.17546980082988739</v>
      </c>
      <c r="AB10" s="108">
        <v>0.25396627187728882</v>
      </c>
      <c r="AC10" s="108">
        <v>0.71617573499679565</v>
      </c>
      <c r="AD10" s="108">
        <v>0.40471655130386353</v>
      </c>
      <c r="AE10" s="108">
        <v>1.1039977073669434</v>
      </c>
      <c r="AF10" s="108">
        <v>0.28114432096481323</v>
      </c>
      <c r="AG10" s="108">
        <v>0.28562003374099731</v>
      </c>
      <c r="AH10" s="108">
        <v>0.49605339765548706</v>
      </c>
      <c r="AI10" s="108">
        <v>0.23454149067401886</v>
      </c>
      <c r="AJ10" s="108">
        <v>0.83201497793197632</v>
      </c>
      <c r="AK10" s="108">
        <v>0.8651655912399292</v>
      </c>
      <c r="AL10" s="108">
        <v>0.66147267818450928</v>
      </c>
      <c r="AM10" s="108">
        <v>2.0226173400878906</v>
      </c>
      <c r="AN10" s="108">
        <v>1.953112006187439</v>
      </c>
      <c r="AO10" s="108">
        <v>0.54353111982345581</v>
      </c>
      <c r="AP10" s="108">
        <v>0.9784245491027832</v>
      </c>
      <c r="AQ10" s="108">
        <v>1.7356934547424316</v>
      </c>
      <c r="AR10" s="108">
        <v>0.68149513006210327</v>
      </c>
      <c r="AS10" s="108">
        <v>0.3935055136680603</v>
      </c>
      <c r="AT10" s="108">
        <v>0.44568711519241333</v>
      </c>
      <c r="AU10" s="108">
        <v>0.60703444480895996</v>
      </c>
      <c r="AV10" s="108">
        <v>1.2139120101928711</v>
      </c>
      <c r="AW10" s="108">
        <v>0.35873579978942871</v>
      </c>
      <c r="AX10" s="108">
        <v>0.71108895540237427</v>
      </c>
      <c r="AY10" s="108">
        <v>0.32915464043617249</v>
      </c>
      <c r="AZ10" s="108">
        <v>0.30249527096748352</v>
      </c>
      <c r="BA10" s="108">
        <v>1.3780559301376343</v>
      </c>
      <c r="BB10" s="108">
        <v>1.4640754461288452</v>
      </c>
      <c r="BC10" s="108">
        <v>0.79476118087768555</v>
      </c>
      <c r="BD10" s="108">
        <v>0.49057510495185852</v>
      </c>
      <c r="BE10" s="108">
        <v>0.73848694562911987</v>
      </c>
      <c r="BF10" s="108">
        <v>0.27707952260971069</v>
      </c>
      <c r="BG10" s="108">
        <v>0.39192813634872437</v>
      </c>
      <c r="BH10" s="108">
        <v>0.31090512871742249</v>
      </c>
      <c r="BI10" s="108">
        <v>0.90351772308349609</v>
      </c>
      <c r="BJ10" s="108">
        <v>0</v>
      </c>
      <c r="BK10" s="108">
        <v>0</v>
      </c>
      <c r="BL10" s="108">
        <v>0</v>
      </c>
    </row>
    <row r="11" spans="1:64" s="116" customFormat="1" x14ac:dyDescent="0.2">
      <c r="A11" s="113" t="s">
        <v>83</v>
      </c>
      <c r="B11" s="114">
        <v>5.8254475593566895</v>
      </c>
      <c r="C11" s="114">
        <v>4.9973363876342773</v>
      </c>
      <c r="D11" s="114">
        <v>4.4906935691833496</v>
      </c>
      <c r="E11" s="114">
        <v>5.3885054588317871</v>
      </c>
      <c r="F11" s="114">
        <v>5.2460126876831055</v>
      </c>
      <c r="G11" s="114">
        <v>5.027559757232666</v>
      </c>
      <c r="H11" s="114">
        <v>4.4382929801940918</v>
      </c>
      <c r="I11" s="114">
        <v>5.5805296897888184</v>
      </c>
      <c r="J11" s="114">
        <v>4.7769064903259277</v>
      </c>
      <c r="K11" s="114">
        <v>4.9544053077697754</v>
      </c>
      <c r="L11" s="114">
        <v>5.0889663696289063</v>
      </c>
      <c r="M11" s="114">
        <v>5.3816070556640625</v>
      </c>
      <c r="N11" s="114">
        <v>5.8164401054382324</v>
      </c>
      <c r="O11" s="114">
        <v>5.7475762367248535</v>
      </c>
      <c r="P11" s="115"/>
      <c r="Q11" s="114">
        <v>5.7516822814941406</v>
      </c>
      <c r="R11" s="114">
        <v>5.4361572265625</v>
      </c>
      <c r="S11" s="115">
        <v>5.817415714263916</v>
      </c>
      <c r="T11" s="114">
        <v>5.3344759941101074</v>
      </c>
      <c r="U11" s="114">
        <v>5.3938641548156738</v>
      </c>
      <c r="V11" s="114">
        <v>5.4940962791442871</v>
      </c>
      <c r="W11" s="114">
        <v>5.3871197700500488</v>
      </c>
      <c r="X11" s="114">
        <v>5.0631165504455566</v>
      </c>
      <c r="Y11" s="114">
        <v>5.6298561096191406</v>
      </c>
      <c r="Z11" s="114">
        <v>5.2587337493896484</v>
      </c>
      <c r="AA11" s="114">
        <v>6.1073641777038574</v>
      </c>
      <c r="AB11" s="114">
        <v>5.609349250793457</v>
      </c>
      <c r="AC11" s="114">
        <v>5.3757567405700684</v>
      </c>
      <c r="AD11" s="114">
        <v>4.9196991920471191</v>
      </c>
      <c r="AE11" s="114">
        <v>4.9741263389587402</v>
      </c>
      <c r="AF11" s="114">
        <v>5.772118091583252</v>
      </c>
      <c r="AG11" s="114">
        <v>4.4935173988342285</v>
      </c>
      <c r="AH11" s="114">
        <v>4.7812652587890625</v>
      </c>
      <c r="AI11" s="114">
        <v>5.0435991287231445</v>
      </c>
      <c r="AJ11" s="114">
        <v>4.3365435600280762</v>
      </c>
      <c r="AK11" s="114">
        <v>4.3876118659973145</v>
      </c>
      <c r="AL11" s="114">
        <v>4.4982848167419434</v>
      </c>
      <c r="AM11" s="114">
        <v>5.4048333168029785</v>
      </c>
      <c r="AN11" s="114">
        <v>5.4278936386108398</v>
      </c>
      <c r="AO11" s="114">
        <v>4.7477836608886719</v>
      </c>
      <c r="AP11" s="114">
        <v>5.0252842903137207</v>
      </c>
      <c r="AQ11" s="114">
        <v>5.1387872695922852</v>
      </c>
      <c r="AR11" s="114">
        <v>4.7923436164855957</v>
      </c>
      <c r="AS11" s="114">
        <v>5.0606522560119629</v>
      </c>
      <c r="AT11" s="114">
        <v>5.0272536277770996</v>
      </c>
      <c r="AU11" s="114">
        <v>4.2720084190368652</v>
      </c>
      <c r="AV11" s="114">
        <v>5.9493718147277832</v>
      </c>
      <c r="AW11" s="114">
        <v>4.776759147644043</v>
      </c>
      <c r="AX11" s="114">
        <v>4.3234724998474121</v>
      </c>
      <c r="AY11" s="114">
        <v>4.5682454109191895</v>
      </c>
      <c r="AZ11" s="114">
        <v>4.8123226165771484</v>
      </c>
      <c r="BA11" s="114">
        <v>4.0631680488586426</v>
      </c>
      <c r="BB11" s="114">
        <v>4.2259783744812012</v>
      </c>
      <c r="BC11" s="114">
        <v>4.1161255836486816</v>
      </c>
      <c r="BD11" s="114">
        <v>4.5832972526550293</v>
      </c>
      <c r="BE11" s="114">
        <v>4.3295116424560547</v>
      </c>
      <c r="BF11" s="114">
        <v>4.4517912864685059</v>
      </c>
      <c r="BG11" s="114">
        <v>3.7754788398742676</v>
      </c>
      <c r="BH11" s="114">
        <v>3.7111270427703857</v>
      </c>
      <c r="BI11" s="114">
        <v>4.2705483436584473</v>
      </c>
      <c r="BJ11" s="114">
        <v>4.492063045501709</v>
      </c>
      <c r="BK11" s="114">
        <v>5.0389547348022461</v>
      </c>
      <c r="BL11" s="114">
        <v>4.1778039932250977</v>
      </c>
    </row>
    <row r="12" spans="1:64" x14ac:dyDescent="0.2">
      <c r="A12" t="s">
        <v>515</v>
      </c>
      <c r="B12" s="108">
        <v>4.0236241184175014E-3</v>
      </c>
      <c r="C12" s="108">
        <v>2.877380233258009E-3</v>
      </c>
      <c r="D12" s="108">
        <v>2.6378614827990532E-2</v>
      </c>
      <c r="E12" s="108">
        <v>1.7820075154304504E-2</v>
      </c>
      <c r="F12" s="108">
        <v>6.7570377141237259E-3</v>
      </c>
      <c r="G12" s="108">
        <v>7.0639471523463726E-3</v>
      </c>
      <c r="H12" s="108">
        <v>4.5421816408634186E-2</v>
      </c>
      <c r="I12" s="108">
        <v>3.2539293169975281E-3</v>
      </c>
      <c r="J12" s="108">
        <v>6.3676156103610992E-2</v>
      </c>
      <c r="K12" s="108">
        <v>5.9145137667655945E-2</v>
      </c>
      <c r="L12" s="108">
        <v>2.3126322776079178E-2</v>
      </c>
      <c r="M12" s="108">
        <v>1.0704340413212776E-2</v>
      </c>
      <c r="N12" s="108">
        <v>2.3177952971309423E-3</v>
      </c>
      <c r="O12" s="108">
        <v>1.6627007862553E-3</v>
      </c>
      <c r="P12" s="109"/>
      <c r="Q12" s="108">
        <v>4.1738420724868774E-2</v>
      </c>
      <c r="R12" s="108">
        <v>2.9354507569223642E-3</v>
      </c>
      <c r="S12" s="109">
        <v>1.3877333141863346E-2</v>
      </c>
      <c r="T12" s="108">
        <v>3.929697722196579E-2</v>
      </c>
      <c r="U12" s="108">
        <v>5.5958423763513565E-3</v>
      </c>
      <c r="V12" s="108">
        <v>3.0779970809817314E-2</v>
      </c>
      <c r="W12" s="108">
        <v>7.2393687441945076E-3</v>
      </c>
      <c r="X12" s="108">
        <v>2.2563522681593895E-2</v>
      </c>
      <c r="Y12" s="108">
        <v>1.7298819497227669E-2</v>
      </c>
      <c r="Z12" s="108">
        <v>9.0495990589261055E-3</v>
      </c>
      <c r="AA12" s="108">
        <v>2.837400883436203E-3</v>
      </c>
      <c r="AB12" s="108">
        <v>2.6142187416553497E-3</v>
      </c>
      <c r="AC12" s="108">
        <v>0.11009927839040756</v>
      </c>
      <c r="AD12" s="108">
        <v>2.5251053273677826E-2</v>
      </c>
      <c r="AE12" s="108">
        <v>3.8556575309485197E-3</v>
      </c>
      <c r="AF12" s="108">
        <v>1.0172693990170956E-2</v>
      </c>
      <c r="AG12" s="108">
        <v>4.0152367204427719E-2</v>
      </c>
      <c r="AH12" s="108">
        <v>1.9644966814666986E-3</v>
      </c>
      <c r="AI12" s="108">
        <v>1.6422773478552699E-3</v>
      </c>
      <c r="AJ12" s="108">
        <v>3.1073028221726418E-3</v>
      </c>
      <c r="AK12" s="108">
        <v>3.0963558703660965E-2</v>
      </c>
      <c r="AL12" s="108">
        <v>5.7432889007031918E-3</v>
      </c>
      <c r="AM12" s="108">
        <v>0.14834582805633545</v>
      </c>
      <c r="AN12" s="108">
        <v>8.8469937443733215E-2</v>
      </c>
      <c r="AO12" s="108">
        <v>1.9818209111690521E-2</v>
      </c>
      <c r="AP12" s="108">
        <v>1.300516352057457E-2</v>
      </c>
      <c r="AQ12" s="108">
        <v>6.5367847681045532E-2</v>
      </c>
      <c r="AR12" s="108">
        <v>8.8252313435077667E-3</v>
      </c>
      <c r="AS12" s="108">
        <v>1.2251847423613071E-2</v>
      </c>
      <c r="AT12" s="108">
        <v>6.8040555343031883E-3</v>
      </c>
      <c r="AU12" s="108">
        <v>4.8631038516759872E-3</v>
      </c>
      <c r="AV12" s="108">
        <v>6.7773818969726563E-2</v>
      </c>
      <c r="AW12" s="108">
        <v>4.3229819275438786E-3</v>
      </c>
      <c r="AX12" s="108">
        <v>1.1425737291574478E-2</v>
      </c>
      <c r="AY12" s="108">
        <v>3.8153177592903376E-3</v>
      </c>
      <c r="AZ12" s="108">
        <v>4.0701953694224358E-3</v>
      </c>
      <c r="BA12" s="108">
        <v>5.3041469305753708E-2</v>
      </c>
      <c r="BB12" s="108">
        <v>2.4336647242307663E-2</v>
      </c>
      <c r="BC12" s="108">
        <v>1.0962857864797115E-2</v>
      </c>
      <c r="BD12" s="108">
        <v>1.1405286379158497E-2</v>
      </c>
      <c r="BE12" s="108">
        <v>3.1924494542181492E-3</v>
      </c>
      <c r="BF12" s="108">
        <v>3.7501624319702387E-3</v>
      </c>
      <c r="BG12" s="108">
        <v>1.8931897357106209E-2</v>
      </c>
      <c r="BH12" s="108">
        <v>2.0688492804765701E-3</v>
      </c>
      <c r="BI12" s="108">
        <v>1.2618402950465679E-2</v>
      </c>
      <c r="BJ12" s="108"/>
      <c r="BK12" s="108"/>
      <c r="BL12" s="108"/>
    </row>
    <row r="13" spans="1:64" x14ac:dyDescent="0.2">
      <c r="A13" t="s">
        <v>516</v>
      </c>
      <c r="B13" s="111">
        <v>1102</v>
      </c>
      <c r="C13" s="111">
        <v>193</v>
      </c>
      <c r="D13" s="111">
        <v>192</v>
      </c>
      <c r="E13" s="111">
        <v>195</v>
      </c>
      <c r="F13" s="111">
        <v>194</v>
      </c>
      <c r="G13" s="111">
        <v>197</v>
      </c>
      <c r="H13" s="111">
        <v>192</v>
      </c>
      <c r="I13" s="111">
        <v>294</v>
      </c>
      <c r="J13" s="111">
        <v>192</v>
      </c>
      <c r="K13" s="111">
        <v>193</v>
      </c>
      <c r="L13" s="111">
        <v>195</v>
      </c>
      <c r="M13" s="111">
        <v>300</v>
      </c>
      <c r="N13" s="111">
        <v>192</v>
      </c>
      <c r="O13" s="111">
        <v>203</v>
      </c>
      <c r="P13" s="106"/>
      <c r="Q13" s="111">
        <v>192</v>
      </c>
      <c r="R13" s="111">
        <v>199</v>
      </c>
      <c r="S13" s="106">
        <v>314</v>
      </c>
      <c r="T13" s="111">
        <v>198</v>
      </c>
      <c r="U13" s="111">
        <v>200</v>
      </c>
      <c r="V13" s="111">
        <v>192</v>
      </c>
      <c r="W13" s="111">
        <v>194</v>
      </c>
      <c r="X13" s="111">
        <v>197</v>
      </c>
      <c r="Y13" s="111">
        <v>192</v>
      </c>
      <c r="Z13" s="111">
        <v>192</v>
      </c>
      <c r="AA13" s="111">
        <v>395</v>
      </c>
      <c r="AB13" s="111">
        <v>391</v>
      </c>
      <c r="AC13" s="111">
        <v>192</v>
      </c>
      <c r="AD13" s="111">
        <v>196</v>
      </c>
      <c r="AE13" s="111">
        <v>192</v>
      </c>
      <c r="AF13" s="111">
        <v>197</v>
      </c>
      <c r="AG13" s="111">
        <v>300</v>
      </c>
      <c r="AH13" s="111">
        <v>206</v>
      </c>
      <c r="AI13" s="111">
        <v>201</v>
      </c>
      <c r="AJ13" s="111">
        <v>193</v>
      </c>
      <c r="AK13" s="111">
        <v>192</v>
      </c>
      <c r="AL13" s="111">
        <v>192</v>
      </c>
      <c r="AM13" s="111">
        <v>200</v>
      </c>
      <c r="AN13" s="111">
        <v>192</v>
      </c>
      <c r="AO13" s="111">
        <v>200</v>
      </c>
      <c r="AP13" s="111">
        <v>192</v>
      </c>
      <c r="AQ13" s="111">
        <v>204</v>
      </c>
      <c r="AR13" s="111">
        <v>295</v>
      </c>
      <c r="AS13" s="111">
        <v>197</v>
      </c>
      <c r="AT13" s="111">
        <v>194</v>
      </c>
      <c r="AU13" s="111">
        <v>194</v>
      </c>
      <c r="AV13" s="111">
        <v>319</v>
      </c>
      <c r="AW13" s="111">
        <v>593</v>
      </c>
      <c r="AX13" s="111">
        <v>428</v>
      </c>
      <c r="AY13" s="111">
        <v>1024</v>
      </c>
      <c r="AZ13" s="111">
        <v>289</v>
      </c>
      <c r="BA13" s="111">
        <v>194</v>
      </c>
      <c r="BB13" s="111">
        <v>195</v>
      </c>
      <c r="BC13" s="111">
        <v>192</v>
      </c>
      <c r="BD13" s="111">
        <v>202</v>
      </c>
      <c r="BE13" s="111">
        <v>192</v>
      </c>
      <c r="BF13" s="111">
        <v>390</v>
      </c>
      <c r="BG13" s="111">
        <v>198</v>
      </c>
      <c r="BH13" s="111">
        <v>313</v>
      </c>
      <c r="BI13" s="111">
        <v>196</v>
      </c>
      <c r="BJ13" s="111">
        <v>194</v>
      </c>
      <c r="BK13" s="111">
        <v>197</v>
      </c>
      <c r="BL13" s="111">
        <v>193</v>
      </c>
    </row>
    <row r="14" spans="1:64" x14ac:dyDescent="0.2">
      <c r="A14" t="s">
        <v>86</v>
      </c>
      <c r="B14" s="108">
        <v>1.2902536392211914</v>
      </c>
      <c r="C14" s="108">
        <v>0.85242849588394165</v>
      </c>
      <c r="D14" s="108">
        <v>0.85104495286941528</v>
      </c>
      <c r="E14" s="108">
        <v>1.0590184926986694</v>
      </c>
      <c r="F14" s="108">
        <v>0.9204832911491394</v>
      </c>
      <c r="G14" s="108">
        <v>0.92007863521575928</v>
      </c>
      <c r="H14" s="108">
        <v>0.67026370763778687</v>
      </c>
      <c r="I14" s="108">
        <v>1.1388193368911743</v>
      </c>
      <c r="J14" s="108">
        <v>0.89840739965438843</v>
      </c>
      <c r="K14" s="108">
        <v>0.93147164583206177</v>
      </c>
      <c r="L14" s="108">
        <v>0.88282299041748047</v>
      </c>
      <c r="M14" s="108">
        <v>1.1097712516784668</v>
      </c>
      <c r="N14" s="108">
        <v>1.0883382558822632</v>
      </c>
      <c r="O14" s="108">
        <v>1.3968126773834229</v>
      </c>
      <c r="P14" s="109"/>
      <c r="Q14" s="108">
        <v>1.1729801893234253</v>
      </c>
      <c r="R14" s="108">
        <v>1.1823511123657227</v>
      </c>
      <c r="S14" s="109">
        <v>1.3509466648101807</v>
      </c>
      <c r="T14" s="108">
        <v>1.0244767665863037</v>
      </c>
      <c r="U14" s="108">
        <v>0.99291950464248657</v>
      </c>
      <c r="V14" s="108">
        <v>1.1268379688262939</v>
      </c>
      <c r="W14" s="108">
        <v>1.1201975345611572</v>
      </c>
      <c r="X14" s="108">
        <v>0.99119818210601807</v>
      </c>
      <c r="Y14" s="108">
        <v>1.0403043031692505</v>
      </c>
      <c r="Z14" s="108">
        <v>1.0206526517868042</v>
      </c>
      <c r="AA14" s="108">
        <v>1.2935106754302979</v>
      </c>
      <c r="AB14" s="108">
        <v>1.1703758239746094</v>
      </c>
      <c r="AC14" s="108">
        <v>1.0169486999511719</v>
      </c>
      <c r="AD14" s="108">
        <v>0.97641450166702271</v>
      </c>
      <c r="AE14" s="108">
        <v>0.93942248821258545</v>
      </c>
      <c r="AF14" s="108">
        <v>1.1248074769973755</v>
      </c>
      <c r="AG14" s="108">
        <v>1.1115047931671143</v>
      </c>
      <c r="AH14" s="108">
        <v>1.1121009588241577</v>
      </c>
      <c r="AI14" s="108">
        <v>1.1002645492553711</v>
      </c>
      <c r="AJ14" s="108">
        <v>0.88206303119659424</v>
      </c>
      <c r="AK14" s="108">
        <v>0.87195920944213867</v>
      </c>
      <c r="AL14" s="108">
        <v>1.0463155508041382</v>
      </c>
      <c r="AM14" s="108">
        <v>1.2066787481307983</v>
      </c>
      <c r="AN14" s="108">
        <v>0.95389139652252197</v>
      </c>
      <c r="AO14" s="108">
        <v>0.83089882135391235</v>
      </c>
      <c r="AP14" s="108">
        <v>0.90518897771835327</v>
      </c>
      <c r="AQ14" s="108">
        <v>0.99547278881072998</v>
      </c>
      <c r="AR14" s="108">
        <v>0.96308302879333496</v>
      </c>
      <c r="AS14" s="108">
        <v>1.0140576362609863</v>
      </c>
      <c r="AT14" s="108">
        <v>1.0476225614547729</v>
      </c>
      <c r="AU14" s="108">
        <v>0.85741972923278809</v>
      </c>
      <c r="AV14" s="108">
        <v>1.256569504737854</v>
      </c>
      <c r="AW14" s="108">
        <v>1.0599448680877686</v>
      </c>
      <c r="AX14" s="108">
        <v>1.1245033740997314</v>
      </c>
      <c r="AY14" s="108">
        <v>0.92631185054779053</v>
      </c>
      <c r="AZ14" s="108">
        <v>0.90381020307540894</v>
      </c>
      <c r="BA14" s="108">
        <v>0.84060412645339966</v>
      </c>
      <c r="BB14" s="108">
        <v>0.74693989753723145</v>
      </c>
      <c r="BC14" s="108">
        <v>0.86559450626373291</v>
      </c>
      <c r="BD14" s="108">
        <v>1.0388256311416626</v>
      </c>
      <c r="BE14" s="108">
        <v>0.79635429382324219</v>
      </c>
      <c r="BF14" s="108">
        <v>0.75430393218994141</v>
      </c>
      <c r="BG14" s="108">
        <v>0.76570641994476318</v>
      </c>
      <c r="BH14" s="108">
        <v>0.70996755361557007</v>
      </c>
      <c r="BI14" s="108">
        <v>0.93277734518051147</v>
      </c>
      <c r="BJ14" s="108">
        <v>0.88113147020339966</v>
      </c>
      <c r="BK14" s="108">
        <v>1.1367943286895752</v>
      </c>
      <c r="BL14" s="108">
        <v>0.98122859001159668</v>
      </c>
    </row>
    <row r="15" spans="1:64" x14ac:dyDescent="0.2">
      <c r="A15" t="s">
        <v>93</v>
      </c>
      <c r="B15" s="108">
        <v>1.6858891248703003</v>
      </c>
      <c r="C15" s="108">
        <v>1.6748725175857544</v>
      </c>
      <c r="D15" s="108">
        <v>1.4802312850952148</v>
      </c>
      <c r="E15" s="108">
        <v>1.7379497289657593</v>
      </c>
      <c r="F15" s="108">
        <v>1.4591823816299438</v>
      </c>
      <c r="G15" s="108">
        <v>1.5429831743240356</v>
      </c>
      <c r="H15" s="108">
        <v>1.4482297897338867</v>
      </c>
      <c r="I15" s="108">
        <v>1.6255340576171875</v>
      </c>
      <c r="J15" s="108">
        <v>1.4918340444564819</v>
      </c>
      <c r="K15" s="108">
        <v>1.4510060548782349</v>
      </c>
      <c r="L15" s="108">
        <v>1.6131387948989868</v>
      </c>
      <c r="M15" s="108">
        <v>1.6466629505157471</v>
      </c>
      <c r="N15" s="108">
        <v>1.8705708980560303</v>
      </c>
      <c r="O15" s="108">
        <v>1.7197328805923462</v>
      </c>
      <c r="P15" s="109"/>
      <c r="Q15" s="108">
        <v>1.688754677772522</v>
      </c>
      <c r="R15" s="108">
        <v>1.5847506523132324</v>
      </c>
      <c r="S15" s="109">
        <v>1.6553537845611572</v>
      </c>
      <c r="T15" s="108">
        <v>1.5862804651260376</v>
      </c>
      <c r="U15" s="108">
        <v>1.6587525606155396</v>
      </c>
      <c r="V15" s="108">
        <v>1.7242151498794556</v>
      </c>
      <c r="W15" s="108">
        <v>1.6582760810852051</v>
      </c>
      <c r="X15" s="108">
        <v>1.3520112037658691</v>
      </c>
      <c r="Y15" s="108">
        <v>1.8323445320129395</v>
      </c>
      <c r="Z15" s="108">
        <v>1.5946207046508789</v>
      </c>
      <c r="AA15" s="108">
        <v>1.8365793228149414</v>
      </c>
      <c r="AB15" s="108">
        <v>1.6218816041946411</v>
      </c>
      <c r="AC15" s="108">
        <v>1.5555830001831055</v>
      </c>
      <c r="AD15" s="108">
        <v>1.4092005491256714</v>
      </c>
      <c r="AE15" s="108">
        <v>1.6192209720611572</v>
      </c>
      <c r="AF15" s="108">
        <v>1.757871150970459</v>
      </c>
      <c r="AG15" s="108">
        <v>1.2245727777481079</v>
      </c>
      <c r="AH15" s="108">
        <v>1.4838569164276123</v>
      </c>
      <c r="AI15" s="108">
        <v>1.3661905527114868</v>
      </c>
      <c r="AJ15" s="108">
        <v>1.2528047561645508</v>
      </c>
      <c r="AK15" s="108">
        <v>1.2769681215286255</v>
      </c>
      <c r="AL15" s="108">
        <v>1.2934740781784058</v>
      </c>
      <c r="AM15" s="108">
        <v>1.5693753957748413</v>
      </c>
      <c r="AN15" s="108">
        <v>1.4772862195968628</v>
      </c>
      <c r="AO15" s="108">
        <v>1.2758796215057373</v>
      </c>
      <c r="AP15" s="108">
        <v>1.37796950340271</v>
      </c>
      <c r="AQ15" s="108">
        <v>1.2940777540206909</v>
      </c>
      <c r="AR15" s="108">
        <v>1.3254146575927734</v>
      </c>
      <c r="AS15" s="108">
        <v>1.6073617935180664</v>
      </c>
      <c r="AT15" s="108">
        <v>1.4291592836380005</v>
      </c>
      <c r="AU15" s="108">
        <v>1.3203039169311523</v>
      </c>
      <c r="AV15" s="108">
        <v>1.6840083599090576</v>
      </c>
      <c r="AW15" s="108">
        <v>1.2321833372116089</v>
      </c>
      <c r="AX15" s="108">
        <v>1.156220555305481</v>
      </c>
      <c r="AY15" s="108">
        <v>1.1008694171905518</v>
      </c>
      <c r="AZ15" s="108">
        <v>1.2320647239685059</v>
      </c>
      <c r="BA15" s="108">
        <v>1.018795371055603</v>
      </c>
      <c r="BB15" s="108">
        <v>1.2090013027191162</v>
      </c>
      <c r="BC15" s="108">
        <v>1.022661566734314</v>
      </c>
      <c r="BD15" s="108">
        <v>1.2073088884353638</v>
      </c>
      <c r="BE15" s="108">
        <v>1.0155619382858276</v>
      </c>
      <c r="BF15" s="108">
        <v>1.1896966695785522</v>
      </c>
      <c r="BG15" s="108">
        <v>1.0306090116500854</v>
      </c>
      <c r="BH15" s="108">
        <v>0.93527644872665405</v>
      </c>
      <c r="BI15" s="108">
        <v>1.0808249711990356</v>
      </c>
      <c r="BJ15" s="108">
        <v>1.0260127782821655</v>
      </c>
      <c r="BK15" s="108">
        <v>1.3811184167861938</v>
      </c>
      <c r="BL15" s="108">
        <v>1.0920784473419189</v>
      </c>
    </row>
    <row r="16" spans="1:64" x14ac:dyDescent="0.2">
      <c r="A16" t="s">
        <v>107</v>
      </c>
      <c r="B16" s="108">
        <v>1.5718165636062622</v>
      </c>
      <c r="C16" s="108">
        <v>1.4906291961669922</v>
      </c>
      <c r="D16" s="108">
        <v>1.3542999029159546</v>
      </c>
      <c r="E16" s="108">
        <v>1.5870527029037476</v>
      </c>
      <c r="F16" s="108">
        <v>1.6415494680404663</v>
      </c>
      <c r="G16" s="108">
        <v>1.5213792324066162</v>
      </c>
      <c r="H16" s="108">
        <v>1.5614796876907349</v>
      </c>
      <c r="I16" s="108">
        <v>1.657256007194519</v>
      </c>
      <c r="J16" s="108">
        <v>1.5888326168060303</v>
      </c>
      <c r="K16" s="108">
        <v>1.5982706546783447</v>
      </c>
      <c r="L16" s="108">
        <v>1.6678363084793091</v>
      </c>
      <c r="M16" s="108">
        <v>1.5258307456970215</v>
      </c>
      <c r="N16" s="108">
        <v>1.6278514862060547</v>
      </c>
      <c r="O16" s="108">
        <v>1.6884691715240479</v>
      </c>
      <c r="P16" s="109"/>
      <c r="Q16" s="108">
        <v>1.6228774785995483</v>
      </c>
      <c r="R16" s="108">
        <v>1.5597567558288574</v>
      </c>
      <c r="S16" s="109">
        <v>1.5488507747650146</v>
      </c>
      <c r="T16" s="108">
        <v>1.4370353221893311</v>
      </c>
      <c r="U16" s="108">
        <v>1.7062480449676514</v>
      </c>
      <c r="V16" s="108">
        <v>1.463469386100769</v>
      </c>
      <c r="W16" s="108">
        <v>1.6134048700332642</v>
      </c>
      <c r="X16" s="108">
        <v>1.5275014638900757</v>
      </c>
      <c r="Y16" s="108">
        <v>1.7182655334472656</v>
      </c>
      <c r="Z16" s="108">
        <v>1.8106496334075928</v>
      </c>
      <c r="AA16" s="108">
        <v>1.6811701059341431</v>
      </c>
      <c r="AB16" s="108">
        <v>1.6509941816329956</v>
      </c>
      <c r="AC16" s="108">
        <v>1.5570337772369385</v>
      </c>
      <c r="AD16" s="108">
        <v>1.5893121957778931</v>
      </c>
      <c r="AE16" s="108">
        <v>1.5230404138565063</v>
      </c>
      <c r="AF16" s="108">
        <v>1.6185718774795532</v>
      </c>
      <c r="AG16" s="108">
        <v>1.518226146697998</v>
      </c>
      <c r="AH16" s="108">
        <v>1.5303782224655151</v>
      </c>
      <c r="AI16" s="108">
        <v>1.535237193107605</v>
      </c>
      <c r="AJ16" s="108">
        <v>1.2414790391921997</v>
      </c>
      <c r="AK16" s="108">
        <v>1.3686321973800659</v>
      </c>
      <c r="AL16" s="108">
        <v>1.4414080381393433</v>
      </c>
      <c r="AM16" s="108">
        <v>1.4235345125198364</v>
      </c>
      <c r="AN16" s="108">
        <v>1.4136414527893066</v>
      </c>
      <c r="AO16" s="108">
        <v>1.4477218389511108</v>
      </c>
      <c r="AP16" s="108">
        <v>1.6083517074584961</v>
      </c>
      <c r="AQ16" s="108">
        <v>1.4718841314315796</v>
      </c>
      <c r="AR16" s="108">
        <v>1.4108942747116089</v>
      </c>
      <c r="AS16" s="108">
        <v>1.5181446075439453</v>
      </c>
      <c r="AT16" s="108">
        <v>1.5657416582107544</v>
      </c>
      <c r="AU16" s="108">
        <v>1.320792555809021</v>
      </c>
      <c r="AV16" s="108">
        <v>1.5259820222854614</v>
      </c>
      <c r="AW16" s="108">
        <v>1.3610219955444336</v>
      </c>
      <c r="AX16" s="108">
        <v>1.4413326978683472</v>
      </c>
      <c r="AY16" s="108">
        <v>1.3544250726699829</v>
      </c>
      <c r="AZ16" s="108">
        <v>1.3185577392578125</v>
      </c>
      <c r="BA16" s="108">
        <v>1.1143624782562256</v>
      </c>
      <c r="BB16" s="108">
        <v>1.1160730123519897</v>
      </c>
      <c r="BC16" s="108">
        <v>1.3639845848083496</v>
      </c>
      <c r="BD16" s="108">
        <v>1.2757531404495239</v>
      </c>
      <c r="BE16" s="108">
        <v>1.5323896408081055</v>
      </c>
      <c r="BF16" s="108">
        <v>1.3957666158676147</v>
      </c>
      <c r="BG16" s="108">
        <v>1.1265089511871338</v>
      </c>
      <c r="BH16" s="108">
        <v>1.0979491472244263</v>
      </c>
      <c r="BI16" s="108">
        <v>1.2464674711227417</v>
      </c>
      <c r="BJ16" s="108">
        <v>1.3379437923431396</v>
      </c>
      <c r="BK16" s="108">
        <v>1.2676732540130615</v>
      </c>
      <c r="BL16" s="108">
        <v>1.3707789182662964</v>
      </c>
    </row>
    <row r="17" spans="1:64" x14ac:dyDescent="0.2">
      <c r="A17" t="s">
        <v>121</v>
      </c>
      <c r="B17" s="108">
        <v>1.277488112449646</v>
      </c>
      <c r="C17" s="108">
        <v>0.97940629720687866</v>
      </c>
      <c r="D17" s="108">
        <v>0.80511766672134399</v>
      </c>
      <c r="E17" s="108">
        <v>1.0044847726821899</v>
      </c>
      <c r="F17" s="108">
        <v>1.2247974872589111</v>
      </c>
      <c r="G17" s="108">
        <v>1.0431187152862549</v>
      </c>
      <c r="H17" s="108">
        <v>0.75831985473632813</v>
      </c>
      <c r="I17" s="108">
        <v>1.1589204072952271</v>
      </c>
      <c r="J17" s="108">
        <v>0.79783248901367188</v>
      </c>
      <c r="K17" s="108">
        <v>0.97365665435791016</v>
      </c>
      <c r="L17" s="108">
        <v>0.92516833543777466</v>
      </c>
      <c r="M17" s="108">
        <v>1.0993419885635376</v>
      </c>
      <c r="N17" s="108">
        <v>1.2296795845031738</v>
      </c>
      <c r="O17" s="108">
        <v>0.9425615668296814</v>
      </c>
      <c r="P17" s="109"/>
      <c r="Q17" s="108">
        <v>1.2670700550079346</v>
      </c>
      <c r="R17" s="108">
        <v>1.1092987060546875</v>
      </c>
      <c r="S17" s="109">
        <v>1.262264609336853</v>
      </c>
      <c r="T17" s="108">
        <v>1.286683201789856</v>
      </c>
      <c r="U17" s="108">
        <v>1.0359441041946411</v>
      </c>
      <c r="V17" s="108">
        <v>1.179573655128479</v>
      </c>
      <c r="W17" s="108">
        <v>0.99524104595184326</v>
      </c>
      <c r="X17" s="108">
        <v>1.1924055814743042</v>
      </c>
      <c r="Y17" s="108">
        <v>1.0389417409896851</v>
      </c>
      <c r="Z17" s="108">
        <v>0.83281064033508301</v>
      </c>
      <c r="AA17" s="108">
        <v>1.2961041927337646</v>
      </c>
      <c r="AB17" s="108">
        <v>1.16609787940979</v>
      </c>
      <c r="AC17" s="108">
        <v>1.2461912631988525</v>
      </c>
      <c r="AD17" s="108">
        <v>0.94477176666259766</v>
      </c>
      <c r="AE17" s="108">
        <v>0.89244246482849121</v>
      </c>
      <c r="AF17" s="108">
        <v>1.2708672285079956</v>
      </c>
      <c r="AG17" s="108">
        <v>0.63921356201171875</v>
      </c>
      <c r="AH17" s="108">
        <v>0.65492928028106689</v>
      </c>
      <c r="AI17" s="108">
        <v>1.0419068336486816</v>
      </c>
      <c r="AJ17" s="108">
        <v>0.96019667387008667</v>
      </c>
      <c r="AK17" s="108">
        <v>0.87005263566970825</v>
      </c>
      <c r="AL17" s="108">
        <v>0.71708709001541138</v>
      </c>
      <c r="AM17" s="108">
        <v>1.2052446603775024</v>
      </c>
      <c r="AN17" s="108">
        <v>1.583074688911438</v>
      </c>
      <c r="AO17" s="108">
        <v>1.1932834386825562</v>
      </c>
      <c r="AP17" s="108">
        <v>1.1337742805480957</v>
      </c>
      <c r="AQ17" s="108">
        <v>1.3773525953292847</v>
      </c>
      <c r="AR17" s="108">
        <v>1.0929514169692993</v>
      </c>
      <c r="AS17" s="108">
        <v>0.92108845710754395</v>
      </c>
      <c r="AT17" s="108">
        <v>0.9847298264503479</v>
      </c>
      <c r="AU17" s="108">
        <v>0.77349215745925903</v>
      </c>
      <c r="AV17" s="108">
        <v>1.4828119277954102</v>
      </c>
      <c r="AW17" s="108">
        <v>1.1236087083816528</v>
      </c>
      <c r="AX17" s="108">
        <v>0.60141563415527344</v>
      </c>
      <c r="AY17" s="108">
        <v>1.1866391897201538</v>
      </c>
      <c r="AZ17" s="108">
        <v>1.3578896522521973</v>
      </c>
      <c r="BA17" s="108">
        <v>1.0894062519073486</v>
      </c>
      <c r="BB17" s="108">
        <v>1.1539642810821533</v>
      </c>
      <c r="BC17" s="108">
        <v>0.86388516426086426</v>
      </c>
      <c r="BD17" s="108">
        <v>1.061409592628479</v>
      </c>
      <c r="BE17" s="108">
        <v>0.98520588874816895</v>
      </c>
      <c r="BF17" s="108">
        <v>1.112024188041687</v>
      </c>
      <c r="BG17" s="108">
        <v>0.85265451669692993</v>
      </c>
      <c r="BH17" s="108">
        <v>0.96793383359909058</v>
      </c>
      <c r="BI17" s="108">
        <v>1.0104784965515137</v>
      </c>
      <c r="BJ17" s="108">
        <v>1.2469751834869385</v>
      </c>
      <c r="BK17" s="108">
        <v>1.2533687353134155</v>
      </c>
      <c r="BL17" s="108">
        <v>0.73371785879135132</v>
      </c>
    </row>
    <row r="18" spans="1:64" x14ac:dyDescent="0.2">
      <c r="A18" t="s">
        <v>517</v>
      </c>
      <c r="B18" s="108">
        <v>1.5662431716918945</v>
      </c>
      <c r="C18" s="108">
        <v>1.6010363101959229</v>
      </c>
      <c r="D18" s="108">
        <v>1.5364583730697632</v>
      </c>
      <c r="E18" s="108">
        <v>1.5384615659713745</v>
      </c>
      <c r="F18" s="108">
        <v>1.5927834510803223</v>
      </c>
      <c r="G18" s="108">
        <v>1.5634517669677734</v>
      </c>
      <c r="H18" s="108">
        <v>1.5416666269302368</v>
      </c>
      <c r="I18" s="108">
        <v>1.4013605117797852</v>
      </c>
      <c r="J18" s="108">
        <v>1.4947916269302368</v>
      </c>
      <c r="K18" s="108">
        <v>1.5129534006118774</v>
      </c>
      <c r="L18" s="108">
        <v>1.5282051563262939</v>
      </c>
      <c r="M18" s="108">
        <v>1.5133333206176758</v>
      </c>
      <c r="N18" s="108">
        <v>1.515625</v>
      </c>
      <c r="O18" s="108">
        <v>1.517241358757019</v>
      </c>
      <c r="P18" s="109"/>
      <c r="Q18" s="108">
        <v>1.5833333730697632</v>
      </c>
      <c r="R18" s="108">
        <v>1.5979899168014526</v>
      </c>
      <c r="S18" s="109">
        <v>1.4299362897872925</v>
      </c>
      <c r="T18" s="108">
        <v>1.5303030014038086</v>
      </c>
      <c r="U18" s="108">
        <v>1.6200000047683716</v>
      </c>
      <c r="V18" s="108">
        <v>1.5520833730697632</v>
      </c>
      <c r="W18" s="108">
        <v>1.5876288414001465</v>
      </c>
      <c r="X18" s="108">
        <v>1.6040608882904053</v>
      </c>
      <c r="Y18" s="108">
        <v>1.5260416269302368</v>
      </c>
      <c r="Z18" s="108">
        <v>1.4895833730697632</v>
      </c>
      <c r="AA18" s="108">
        <v>1.4430379867553711</v>
      </c>
      <c r="AB18" s="108">
        <v>1.5421994924545288</v>
      </c>
      <c r="AC18" s="108">
        <v>1.5625</v>
      </c>
      <c r="AD18" s="108">
        <v>1.5102040767669678</v>
      </c>
      <c r="AE18" s="108">
        <v>1.5677083730697632</v>
      </c>
      <c r="AF18" s="108">
        <v>1.4948453903198242</v>
      </c>
      <c r="AG18" s="108">
        <v>1.4766666889190674</v>
      </c>
      <c r="AH18" s="108">
        <v>1.4029126167297363</v>
      </c>
      <c r="AI18" s="108">
        <v>1.4278607368469238</v>
      </c>
      <c r="AJ18" s="108">
        <v>1.5440413951873779</v>
      </c>
      <c r="AK18" s="108">
        <v>1.546875</v>
      </c>
      <c r="AL18" s="108">
        <v>1.546875</v>
      </c>
      <c r="AM18" s="108">
        <v>1.4850000143051147</v>
      </c>
      <c r="AN18" s="108">
        <v>1.5625</v>
      </c>
      <c r="AO18" s="108">
        <v>1.5800000429153442</v>
      </c>
      <c r="AP18" s="108">
        <v>1.6041666269302368</v>
      </c>
      <c r="AQ18" s="108">
        <v>1.4460784196853638</v>
      </c>
      <c r="AR18" s="108">
        <v>1.5220339298248291</v>
      </c>
      <c r="AS18" s="108">
        <v>1.5431472063064575</v>
      </c>
      <c r="AT18" s="108">
        <v>1.5515463352203369</v>
      </c>
      <c r="AU18" s="108">
        <v>1.5103092193603516</v>
      </c>
      <c r="AV18" s="108">
        <v>1.4890282154083252</v>
      </c>
      <c r="AW18" s="108">
        <v>1.5059021711349487</v>
      </c>
      <c r="AX18" s="108">
        <v>1.5257009267807007</v>
      </c>
      <c r="AY18" s="108">
        <v>1.5810546875</v>
      </c>
      <c r="AZ18" s="108">
        <v>1.5155708789825439</v>
      </c>
      <c r="BA18" s="108">
        <v>1.561855673789978</v>
      </c>
      <c r="BB18" s="108">
        <v>1.6102564334869385</v>
      </c>
      <c r="BC18" s="108">
        <v>1.46875</v>
      </c>
      <c r="BD18" s="108">
        <v>1.4801980257034302</v>
      </c>
      <c r="BE18" s="108">
        <v>1.4895833730697632</v>
      </c>
      <c r="BF18" s="108">
        <v>1.5461539030075073</v>
      </c>
      <c r="BG18" s="108">
        <v>1.5050505399703979</v>
      </c>
      <c r="BH18" s="108">
        <v>1.5367412567138672</v>
      </c>
      <c r="BI18" s="108">
        <v>1.5</v>
      </c>
      <c r="BJ18" s="108">
        <v>1.4896907806396484</v>
      </c>
      <c r="BK18" s="108">
        <v>1.4111675024032593</v>
      </c>
      <c r="BL18" s="108">
        <v>1.4611399173736572</v>
      </c>
    </row>
    <row r="19" spans="1:64" x14ac:dyDescent="0.2">
      <c r="A19" t="s">
        <v>518</v>
      </c>
      <c r="B19" s="108">
        <v>51.337566375732422</v>
      </c>
      <c r="C19" s="108">
        <v>49.497409820556641</v>
      </c>
      <c r="D19" s="108">
        <v>48.328125</v>
      </c>
      <c r="E19" s="108">
        <v>47.805130004882813</v>
      </c>
      <c r="F19" s="108">
        <v>53.396907806396484</v>
      </c>
      <c r="G19" s="108">
        <v>47.157360076904297</v>
      </c>
      <c r="H19" s="108">
        <v>45.078125</v>
      </c>
      <c r="I19" s="108">
        <v>43.656463623046875</v>
      </c>
      <c r="J19" s="108">
        <v>49.338542938232422</v>
      </c>
      <c r="K19" s="108">
        <v>50.756477355957031</v>
      </c>
      <c r="L19" s="108">
        <v>51.343589782714844</v>
      </c>
      <c r="M19" s="108">
        <v>49.516666412353516</v>
      </c>
      <c r="N19" s="108">
        <v>51.46875</v>
      </c>
      <c r="O19" s="108">
        <v>49.4581298828125</v>
      </c>
      <c r="P19" s="109"/>
      <c r="Q19" s="108">
        <v>53.65625</v>
      </c>
      <c r="R19" s="108">
        <v>54.206031799316406</v>
      </c>
      <c r="S19" s="109">
        <v>49.308917999267578</v>
      </c>
      <c r="T19" s="108">
        <v>53.449493408203125</v>
      </c>
      <c r="U19" s="108">
        <v>55.819999694824219</v>
      </c>
      <c r="V19" s="108">
        <v>50.145832061767578</v>
      </c>
      <c r="W19" s="108">
        <v>53.340206146240234</v>
      </c>
      <c r="X19" s="108">
        <v>50.360404968261719</v>
      </c>
      <c r="Y19" s="108">
        <v>51.322917938232422</v>
      </c>
      <c r="Z19" s="108">
        <v>48.864582061767578</v>
      </c>
      <c r="AA19" s="108">
        <v>53.739238739013672</v>
      </c>
      <c r="AB19" s="108">
        <v>50.196929931640625</v>
      </c>
      <c r="AC19" s="108">
        <v>49.09375</v>
      </c>
      <c r="AD19" s="108">
        <v>52.642856597900391</v>
      </c>
      <c r="AE19" s="108">
        <v>47.552082061767578</v>
      </c>
      <c r="AF19" s="108">
        <v>47.381443023681641</v>
      </c>
      <c r="AG19" s="108">
        <v>43.893333435058594</v>
      </c>
      <c r="AH19" s="108">
        <v>51.417476654052734</v>
      </c>
      <c r="AI19" s="108">
        <v>48.233829498291016</v>
      </c>
      <c r="AJ19" s="108">
        <v>48.383419036865234</v>
      </c>
      <c r="AK19" s="108">
        <v>49.026042938232422</v>
      </c>
      <c r="AL19" s="108">
        <v>47.557292938232422</v>
      </c>
      <c r="AM19" s="108">
        <v>47.244998931884766</v>
      </c>
      <c r="AN19" s="108">
        <v>45.083332061767578</v>
      </c>
      <c r="AO19" s="108">
        <v>44.700000762939453</v>
      </c>
      <c r="AP19" s="108">
        <v>44.598957061767578</v>
      </c>
      <c r="AQ19" s="108">
        <v>52.872547149658203</v>
      </c>
      <c r="AR19" s="108">
        <v>46.542373657226563</v>
      </c>
      <c r="AS19" s="108">
        <v>52.974620819091797</v>
      </c>
      <c r="AT19" s="108">
        <v>54.082473754882813</v>
      </c>
      <c r="AU19" s="108">
        <v>49.226802825927734</v>
      </c>
      <c r="AV19" s="108">
        <v>47.639499664306641</v>
      </c>
      <c r="AW19" s="108">
        <v>52.5362548828125</v>
      </c>
      <c r="AX19" s="108">
        <v>49.705608367919922</v>
      </c>
      <c r="AY19" s="108">
        <v>48.2294921875</v>
      </c>
      <c r="AZ19" s="108">
        <v>50.055362701416016</v>
      </c>
      <c r="BA19" s="108">
        <v>48.881443023681641</v>
      </c>
      <c r="BB19" s="108">
        <v>52.353847503662109</v>
      </c>
      <c r="BC19" s="108">
        <v>56.151042938232422</v>
      </c>
      <c r="BD19" s="108">
        <v>51.029701232910156</v>
      </c>
      <c r="BE19" s="108">
        <v>46.895832061767578</v>
      </c>
      <c r="BF19" s="108">
        <v>49.74615478515625</v>
      </c>
      <c r="BG19" s="108">
        <v>51.47979736328125</v>
      </c>
      <c r="BH19" s="108">
        <v>48.862621307373047</v>
      </c>
      <c r="BI19" s="108">
        <v>44.775508880615234</v>
      </c>
      <c r="BJ19" s="108">
        <v>46.097938537597656</v>
      </c>
      <c r="BK19" s="108">
        <v>55.15228271484375</v>
      </c>
      <c r="BL19" s="108">
        <v>51.80828857421875</v>
      </c>
    </row>
    <row r="20" spans="1:64" x14ac:dyDescent="0.2">
      <c r="A20" t="s">
        <v>519</v>
      </c>
      <c r="B20" s="108">
        <v>3.0807621479034424</v>
      </c>
      <c r="C20" s="108">
        <v>3.1761658191680908</v>
      </c>
      <c r="D20" s="108">
        <v>3.1770832538604736</v>
      </c>
      <c r="E20" s="108">
        <v>3.1435897350311279</v>
      </c>
      <c r="F20" s="108">
        <v>3.4381444454193115</v>
      </c>
      <c r="G20" s="108">
        <v>3.0558376312255859</v>
      </c>
      <c r="H20" s="108">
        <v>3.109375</v>
      </c>
      <c r="I20" s="108">
        <v>2.8027210235595703</v>
      </c>
      <c r="J20" s="108">
        <v>3.3072917461395264</v>
      </c>
      <c r="K20" s="108">
        <v>2.9896373748779297</v>
      </c>
      <c r="L20" s="108">
        <v>3.1948719024658203</v>
      </c>
      <c r="M20" s="108">
        <v>3</v>
      </c>
      <c r="N20" s="108">
        <v>3.3333332538604736</v>
      </c>
      <c r="O20" s="108">
        <v>2.8275861740112305</v>
      </c>
      <c r="P20" s="109"/>
      <c r="Q20" s="108">
        <v>3.171875</v>
      </c>
      <c r="R20" s="108">
        <v>2.9849245548248291</v>
      </c>
      <c r="S20" s="109">
        <v>3.2547769546508789</v>
      </c>
      <c r="T20" s="108">
        <v>2.803030252456665</v>
      </c>
      <c r="U20" s="108">
        <v>3.0399999618530273</v>
      </c>
      <c r="V20" s="108">
        <v>2.9583332538604736</v>
      </c>
      <c r="W20" s="108">
        <v>2.9639174938201904</v>
      </c>
      <c r="X20" s="108">
        <v>2.8071064949035645</v>
      </c>
      <c r="Y20" s="108">
        <v>2.859375</v>
      </c>
      <c r="Z20" s="108">
        <v>2.921875</v>
      </c>
      <c r="AA20" s="108">
        <v>3.4050633907318115</v>
      </c>
      <c r="AB20" s="108">
        <v>3.3145780563354492</v>
      </c>
      <c r="AC20" s="108">
        <v>3.4322917461395264</v>
      </c>
      <c r="AD20" s="108">
        <v>3.3214285373687744</v>
      </c>
      <c r="AE20" s="108">
        <v>3.2760417461395264</v>
      </c>
      <c r="AF20" s="108">
        <v>3.3144330978393555</v>
      </c>
      <c r="AG20" s="108">
        <v>3.1800000667572021</v>
      </c>
      <c r="AH20" s="108">
        <v>3.5728154182434082</v>
      </c>
      <c r="AI20" s="108">
        <v>3.2338309288024902</v>
      </c>
      <c r="AJ20" s="108">
        <v>3.2538859844207764</v>
      </c>
      <c r="AK20" s="108">
        <v>2.8385417461395264</v>
      </c>
      <c r="AL20" s="108">
        <v>3.4427082538604736</v>
      </c>
      <c r="AM20" s="108">
        <v>3.2149999141693115</v>
      </c>
      <c r="AN20" s="108">
        <v>3.4479167461395264</v>
      </c>
      <c r="AO20" s="108">
        <v>3.0899999141693115</v>
      </c>
      <c r="AP20" s="108">
        <v>3.0520832538604736</v>
      </c>
      <c r="AQ20" s="108">
        <v>3.9313726425170898</v>
      </c>
      <c r="AR20" s="108">
        <v>3.4067797660827637</v>
      </c>
      <c r="AS20" s="108">
        <v>3.8832488059997559</v>
      </c>
      <c r="AT20" s="108">
        <v>3.7113401889801025</v>
      </c>
      <c r="AU20" s="108">
        <v>3.4896907806396484</v>
      </c>
      <c r="AV20" s="108">
        <v>3.2789969444274902</v>
      </c>
      <c r="AW20" s="108">
        <v>3.6391232013702393</v>
      </c>
      <c r="AX20" s="108">
        <v>3.621495246887207</v>
      </c>
      <c r="AY20" s="108">
        <v>3.6357421875</v>
      </c>
      <c r="AZ20" s="108">
        <v>3.529411792755127</v>
      </c>
      <c r="BA20" s="108">
        <v>3.7577319145202637</v>
      </c>
      <c r="BB20" s="108">
        <v>3.7948718070983887</v>
      </c>
      <c r="BC20" s="108">
        <v>3.7604167461395264</v>
      </c>
      <c r="BD20" s="108">
        <v>3.6881186962127686</v>
      </c>
      <c r="BE20" s="108">
        <v>3.6666667461395264</v>
      </c>
      <c r="BF20" s="108">
        <v>3.4051282405853271</v>
      </c>
      <c r="BG20" s="108">
        <v>3.5454545021057129</v>
      </c>
      <c r="BH20" s="108">
        <v>3.6389775276184082</v>
      </c>
      <c r="BI20" s="108">
        <v>3.5765306949615479</v>
      </c>
      <c r="BJ20" s="108">
        <v>3.9896907806396484</v>
      </c>
      <c r="BK20" s="108">
        <v>3.9695432186126709</v>
      </c>
      <c r="BL20" s="108">
        <v>3.9274611473083496</v>
      </c>
    </row>
    <row r="21" spans="1:64" x14ac:dyDescent="0.2">
      <c r="A21" t="s">
        <v>548</v>
      </c>
      <c r="B21" s="108">
        <v>0.67658984661102295</v>
      </c>
      <c r="C21" s="108">
        <v>0.43581902980804443</v>
      </c>
      <c r="D21" s="108">
        <v>0.44629555940628052</v>
      </c>
      <c r="E21" s="108">
        <v>0.57596635818481445</v>
      </c>
      <c r="F21" s="108">
        <v>0.46699661016464233</v>
      </c>
      <c r="G21" s="108">
        <v>0.48171156644821167</v>
      </c>
      <c r="H21" s="108">
        <v>0.31916141510009766</v>
      </c>
      <c r="I21" s="108">
        <v>0.5284467339515686</v>
      </c>
      <c r="J21" s="108">
        <v>0.46629402041435242</v>
      </c>
      <c r="K21" s="108">
        <v>0.50095611810684204</v>
      </c>
      <c r="L21" s="108">
        <v>0.46893587708473206</v>
      </c>
      <c r="M21" s="108">
        <v>0.54792606830596924</v>
      </c>
      <c r="N21" s="108">
        <v>0.53961515426635742</v>
      </c>
      <c r="O21" s="108">
        <v>0.69288843870162964</v>
      </c>
      <c r="P21" s="109"/>
      <c r="Q21" s="108">
        <v>0.53720682859420776</v>
      </c>
      <c r="R21" s="108">
        <v>0.57189351320266724</v>
      </c>
      <c r="S21" s="109">
        <v>0.81537097692489624</v>
      </c>
      <c r="T21" s="108">
        <v>0.46294346451759338</v>
      </c>
      <c r="U21" s="108">
        <v>0.4122714102268219</v>
      </c>
      <c r="V21" s="108">
        <v>0.55237966775894165</v>
      </c>
      <c r="W21" s="108">
        <v>0.46917620301246643</v>
      </c>
      <c r="X21" s="108">
        <v>0.44025751948356628</v>
      </c>
      <c r="Y21" s="108">
        <v>0.52450960874557495</v>
      </c>
      <c r="Z21" s="108">
        <v>0.38741013407707214</v>
      </c>
      <c r="AA21" s="108">
        <v>0.63067543506622314</v>
      </c>
      <c r="AB21" s="108">
        <v>0.66341233253479004</v>
      </c>
      <c r="AC21" s="108">
        <v>0.52679646015167236</v>
      </c>
      <c r="AD21" s="108">
        <v>0.54764711856842041</v>
      </c>
      <c r="AE21" s="108">
        <v>0.55660521984100342</v>
      </c>
      <c r="AF21" s="108">
        <v>0.62320166826248169</v>
      </c>
      <c r="AG21" s="108">
        <v>0.61847615242004395</v>
      </c>
      <c r="AH21" s="108">
        <v>0.57207858562469482</v>
      </c>
      <c r="AI21" s="108">
        <v>0.60019683837890625</v>
      </c>
      <c r="AJ21" s="108">
        <v>0.42103680968284607</v>
      </c>
      <c r="AK21" s="108">
        <v>0.39798355102539063</v>
      </c>
      <c r="AL21" s="108">
        <v>0.64878660440444946</v>
      </c>
      <c r="AM21" s="108">
        <v>0.691489577293396</v>
      </c>
      <c r="AN21" s="108">
        <v>0.63496541976928711</v>
      </c>
      <c r="AO21" s="108">
        <v>0.46864169836044312</v>
      </c>
      <c r="AP21" s="108">
        <v>0.50565880537033081</v>
      </c>
      <c r="AQ21" s="108">
        <v>0.48533183336257935</v>
      </c>
      <c r="AR21" s="108">
        <v>0.55154967308044434</v>
      </c>
      <c r="AS21" s="108">
        <v>0.64805692434310913</v>
      </c>
      <c r="AT21" s="108">
        <v>0.39637374877929688</v>
      </c>
      <c r="AU21" s="108">
        <v>0.38860177993774414</v>
      </c>
      <c r="AV21" s="108">
        <v>0.80665302276611328</v>
      </c>
      <c r="AW21" s="108">
        <v>0.56285899877548218</v>
      </c>
      <c r="AX21" s="108">
        <v>0.60105675458908081</v>
      </c>
      <c r="AY21" s="108">
        <v>0.49248683452606201</v>
      </c>
      <c r="AZ21" s="108">
        <v>0.45162779092788696</v>
      </c>
      <c r="BA21" s="108">
        <v>0.39247626066207886</v>
      </c>
      <c r="BB21" s="108">
        <v>0.30962282419204712</v>
      </c>
      <c r="BC21" s="108">
        <v>0.38950347900390625</v>
      </c>
      <c r="BD21" s="108">
        <v>0.56799775362014771</v>
      </c>
      <c r="BE21" s="108">
        <v>0.39571806788444519</v>
      </c>
      <c r="BF21" s="108">
        <v>0.34405887126922607</v>
      </c>
      <c r="BG21" s="108">
        <v>0.34905931353569031</v>
      </c>
      <c r="BH21" s="108">
        <v>0.37604686617851257</v>
      </c>
      <c r="BI21" s="108">
        <v>0.46141800284385681</v>
      </c>
      <c r="BJ21" s="108">
        <v>0.39220702648162842</v>
      </c>
      <c r="BK21" s="108">
        <v>0.60810333490371704</v>
      </c>
      <c r="BL21" s="108">
        <v>0.51529181003570557</v>
      </c>
    </row>
    <row r="22" spans="1:64" x14ac:dyDescent="0.2">
      <c r="A22" t="s">
        <v>91</v>
      </c>
      <c r="B22" s="108">
        <v>0.58637499809265137</v>
      </c>
      <c r="C22" s="108">
        <v>0.31758248805999756</v>
      </c>
      <c r="D22" s="108">
        <v>0.31111440062522888</v>
      </c>
      <c r="E22" s="108">
        <v>0.43114441633224487</v>
      </c>
      <c r="F22" s="108">
        <v>0.36248683929443359</v>
      </c>
      <c r="G22" s="108">
        <v>0.35476964712142944</v>
      </c>
      <c r="H22" s="108">
        <v>0.21398705244064331</v>
      </c>
      <c r="I22" s="108">
        <v>0.52583825588226318</v>
      </c>
      <c r="J22" s="108">
        <v>0.34321510791778564</v>
      </c>
      <c r="K22" s="108">
        <v>0.35527452826499939</v>
      </c>
      <c r="L22" s="108">
        <v>0.32804137468338013</v>
      </c>
      <c r="M22" s="108">
        <v>0.49027806520462036</v>
      </c>
      <c r="N22" s="108">
        <v>0.475382000207901</v>
      </c>
      <c r="O22" s="108">
        <v>0.67294484376907349</v>
      </c>
      <c r="P22" s="109"/>
      <c r="Q22" s="108">
        <v>0.55182343721389771</v>
      </c>
      <c r="R22" s="108">
        <v>0.54280978441238403</v>
      </c>
      <c r="S22" s="109">
        <v>0.5709337592124939</v>
      </c>
      <c r="T22" s="108">
        <v>0.45695209503173828</v>
      </c>
      <c r="U22" s="108">
        <v>0.45423722267150879</v>
      </c>
      <c r="V22" s="108">
        <v>0.50322169065475464</v>
      </c>
      <c r="W22" s="108">
        <v>0.5389208197593689</v>
      </c>
      <c r="X22" s="108">
        <v>0.43871405720710754</v>
      </c>
      <c r="Y22" s="108">
        <v>0.44023793935775757</v>
      </c>
      <c r="Z22" s="108">
        <v>0.49131956696510315</v>
      </c>
      <c r="AA22" s="108">
        <v>0.61222732067108154</v>
      </c>
      <c r="AB22" s="108">
        <v>0.48640567064285278</v>
      </c>
      <c r="AC22" s="108">
        <v>0.41833394765853882</v>
      </c>
      <c r="AD22" s="108">
        <v>0.3718782365322113</v>
      </c>
      <c r="AE22" s="108">
        <v>0.33451738953590393</v>
      </c>
      <c r="AF22" s="108">
        <v>0.46600586175918579</v>
      </c>
      <c r="AG22" s="108">
        <v>0.45654395222663879</v>
      </c>
      <c r="AH22" s="108">
        <v>0.48027265071868896</v>
      </c>
      <c r="AI22" s="108">
        <v>0.45569226145744324</v>
      </c>
      <c r="AJ22" s="108">
        <v>0.35131537914276123</v>
      </c>
      <c r="AK22" s="108">
        <v>0.35386085510253906</v>
      </c>
      <c r="AL22" s="108">
        <v>0.38344272971153259</v>
      </c>
      <c r="AM22" s="108">
        <v>0.50463634729385376</v>
      </c>
      <c r="AN22" s="108">
        <v>0.30819854140281677</v>
      </c>
      <c r="AO22" s="108">
        <v>0.28203365206718445</v>
      </c>
      <c r="AP22" s="108">
        <v>0.329560786485672</v>
      </c>
      <c r="AQ22" s="108">
        <v>0.41997656226158142</v>
      </c>
      <c r="AR22" s="108">
        <v>0.35807675123214722</v>
      </c>
      <c r="AS22" s="108">
        <v>0.35513392090797424</v>
      </c>
      <c r="AT22" s="108">
        <v>0.5108109712600708</v>
      </c>
      <c r="AU22" s="108">
        <v>0.34562772512435913</v>
      </c>
      <c r="AV22" s="108">
        <v>0.49140191078186035</v>
      </c>
      <c r="AW22" s="108">
        <v>0.43852153420448303</v>
      </c>
      <c r="AX22" s="108">
        <v>0.47680795192718506</v>
      </c>
      <c r="AY22" s="108">
        <v>0.35492265224456787</v>
      </c>
      <c r="AZ22" s="108">
        <v>0.35535070300102234</v>
      </c>
      <c r="BA22" s="108">
        <v>0.32874330878257751</v>
      </c>
      <c r="BB22" s="108">
        <v>0.2869129478931427</v>
      </c>
      <c r="BC22" s="108">
        <v>0.3524433970451355</v>
      </c>
      <c r="BD22" s="108">
        <v>0.41717946529388428</v>
      </c>
      <c r="BE22" s="108">
        <v>0.28778922557830811</v>
      </c>
      <c r="BF22" s="108">
        <v>0.27624070644378662</v>
      </c>
      <c r="BG22" s="108">
        <v>0.28387603163719177</v>
      </c>
      <c r="BH22" s="108">
        <v>0.22083662450313568</v>
      </c>
      <c r="BI22" s="108">
        <v>0.37620419263839722</v>
      </c>
      <c r="BJ22" s="108">
        <v>0.36490225791931152</v>
      </c>
      <c r="BK22" s="108">
        <v>0.48420998454093933</v>
      </c>
      <c r="BL22" s="108">
        <v>0.39233505725860596</v>
      </c>
    </row>
    <row r="23" spans="1:64" x14ac:dyDescent="0.2">
      <c r="A23" t="s">
        <v>95</v>
      </c>
      <c r="B23" s="108">
        <v>0.52566236257553101</v>
      </c>
      <c r="C23" s="108">
        <v>0.48129656910896301</v>
      </c>
      <c r="D23" s="108">
        <v>0.45272406935691833</v>
      </c>
      <c r="E23" s="108">
        <v>0.51974356174468994</v>
      </c>
      <c r="F23" s="108">
        <v>0.68701881170272827</v>
      </c>
      <c r="G23" s="108">
        <v>0.50485867261886597</v>
      </c>
      <c r="H23" s="108">
        <v>0.56712836027145386</v>
      </c>
      <c r="I23" s="108">
        <v>0.46878966689109802</v>
      </c>
      <c r="J23" s="108">
        <v>0.50693106651306152</v>
      </c>
      <c r="K23" s="108">
        <v>0.69093894958496094</v>
      </c>
      <c r="L23" s="108">
        <v>0.5513836145401001</v>
      </c>
      <c r="M23" s="108">
        <v>0.65295714139938354</v>
      </c>
      <c r="N23" s="108">
        <v>0.58380204439163208</v>
      </c>
      <c r="O23" s="108">
        <v>0.67091429233551025</v>
      </c>
      <c r="P23" s="109"/>
      <c r="Q23" s="108">
        <v>0.59723258018493652</v>
      </c>
      <c r="R23" s="108">
        <v>0.56564223766326904</v>
      </c>
      <c r="S23" s="109">
        <v>0.53478014469146729</v>
      </c>
      <c r="T23" s="108">
        <v>0.55125588178634644</v>
      </c>
      <c r="U23" s="108">
        <v>0.51898491382598877</v>
      </c>
      <c r="V23" s="108">
        <v>0.66233783960342407</v>
      </c>
      <c r="W23" s="108">
        <v>0.69022464752197266</v>
      </c>
      <c r="X23" s="108">
        <v>0.45192742347717285</v>
      </c>
      <c r="Y23" s="108">
        <v>0.65854811668395996</v>
      </c>
      <c r="Z23" s="108">
        <v>0.55086159706115723</v>
      </c>
      <c r="AA23" s="108">
        <v>0.61385464668273926</v>
      </c>
      <c r="AB23" s="108">
        <v>0.67189449071884155</v>
      </c>
      <c r="AC23" s="108">
        <v>0.67384642362594604</v>
      </c>
      <c r="AD23" s="108">
        <v>0.44953349232673645</v>
      </c>
      <c r="AE23" s="108">
        <v>0.54843676090240479</v>
      </c>
      <c r="AF23" s="108">
        <v>0.65091663599014282</v>
      </c>
      <c r="AG23" s="108">
        <v>0.35081803798675537</v>
      </c>
      <c r="AH23" s="108">
        <v>0.3107323944568634</v>
      </c>
      <c r="AI23" s="108">
        <v>0.39753115177154541</v>
      </c>
      <c r="AJ23" s="108">
        <v>0.37559840083122253</v>
      </c>
      <c r="AK23" s="108">
        <v>0.33180427551269531</v>
      </c>
      <c r="AL23" s="108">
        <v>0.4814186692237854</v>
      </c>
      <c r="AM23" s="108">
        <v>0.40470030903816223</v>
      </c>
      <c r="AN23" s="108">
        <v>0.38609644770622253</v>
      </c>
      <c r="AO23" s="108">
        <v>0.3882199227809906</v>
      </c>
      <c r="AP23" s="108">
        <v>0.54527056217193604</v>
      </c>
      <c r="AQ23" s="108">
        <v>0.38720458745956421</v>
      </c>
      <c r="AR23" s="108">
        <v>0.42482137680053711</v>
      </c>
      <c r="AS23" s="108">
        <v>0.42008301615715027</v>
      </c>
      <c r="AT23" s="108">
        <v>0.47275978326797485</v>
      </c>
      <c r="AU23" s="108">
        <v>0.23596447706222534</v>
      </c>
      <c r="AV23" s="108">
        <v>0.34234365820884705</v>
      </c>
      <c r="AW23" s="108">
        <v>0.31424996256828308</v>
      </c>
      <c r="AX23" s="108">
        <v>0.30161711573600769</v>
      </c>
      <c r="AY23" s="108">
        <v>0.24093547463417053</v>
      </c>
      <c r="AZ23" s="108">
        <v>0.17811302840709686</v>
      </c>
      <c r="BA23" s="108">
        <v>0.17473338544368744</v>
      </c>
      <c r="BB23" s="108">
        <v>0.37331843376159668</v>
      </c>
      <c r="BC23" s="108">
        <v>0.26923525333404541</v>
      </c>
      <c r="BD23" s="108">
        <v>0.3864627480506897</v>
      </c>
      <c r="BE23" s="108">
        <v>0.29203346371650696</v>
      </c>
      <c r="BF23" s="108">
        <v>0.18118789792060852</v>
      </c>
      <c r="BG23" s="108">
        <v>0.25242012739181519</v>
      </c>
      <c r="BH23" s="108">
        <v>0.15665367245674133</v>
      </c>
      <c r="BI23" s="108">
        <v>0.27813601493835449</v>
      </c>
      <c r="BJ23" s="108">
        <v>0.25828972458839417</v>
      </c>
      <c r="BK23" s="108">
        <v>0.29723966121673584</v>
      </c>
      <c r="BL23" s="108">
        <v>0.39738056063652039</v>
      </c>
    </row>
    <row r="24" spans="1:64" x14ac:dyDescent="0.2">
      <c r="A24" t="s">
        <v>97</v>
      </c>
      <c r="B24" s="108">
        <v>0.21529261767864227</v>
      </c>
      <c r="C24" s="108">
        <v>0.14160050451755524</v>
      </c>
      <c r="D24" s="108">
        <v>6.3408643007278442E-2</v>
      </c>
      <c r="E24" s="108">
        <v>0.16764527559280396</v>
      </c>
      <c r="F24" s="108">
        <v>0.18536883592605591</v>
      </c>
      <c r="G24" s="108">
        <v>0.21418330073356628</v>
      </c>
      <c r="H24" s="108">
        <v>0.1486513763666153</v>
      </c>
      <c r="I24" s="108">
        <v>0.1083027720451355</v>
      </c>
      <c r="J24" s="108">
        <v>0.11076121032238007</v>
      </c>
      <c r="K24" s="108">
        <v>0.20469045639038086</v>
      </c>
      <c r="L24" s="108">
        <v>0.14050678908824921</v>
      </c>
      <c r="M24" s="108">
        <v>0.17394798994064331</v>
      </c>
      <c r="N24" s="108">
        <v>0.15009549260139465</v>
      </c>
      <c r="O24" s="108">
        <v>0.28384074568748474</v>
      </c>
      <c r="P24" s="109"/>
      <c r="Q24" s="108">
        <v>0.22493557631969452</v>
      </c>
      <c r="R24" s="108">
        <v>0.17097297310829163</v>
      </c>
      <c r="S24" s="109">
        <v>0.30540964007377625</v>
      </c>
      <c r="T24" s="108">
        <v>0.15984135866165161</v>
      </c>
      <c r="U24" s="108">
        <v>0.12693870067596436</v>
      </c>
      <c r="V24" s="108">
        <v>0.22197172045707703</v>
      </c>
      <c r="W24" s="108">
        <v>0.10595744103193283</v>
      </c>
      <c r="X24" s="108">
        <v>0.13277366757392883</v>
      </c>
      <c r="Y24" s="108">
        <v>0.24444712698459625</v>
      </c>
      <c r="Z24" s="108">
        <v>0.21257717907428741</v>
      </c>
      <c r="AA24" s="108">
        <v>0.23494346439838409</v>
      </c>
      <c r="AB24" s="108">
        <v>0.231697678565979</v>
      </c>
      <c r="AC24" s="108">
        <v>0.23831787705421448</v>
      </c>
      <c r="AD24" s="108">
        <v>0.2290547639131546</v>
      </c>
      <c r="AE24" s="108">
        <v>0.125</v>
      </c>
      <c r="AF24" s="108">
        <v>0.17572054266929626</v>
      </c>
      <c r="AG24" s="108">
        <v>0.10579033195972443</v>
      </c>
      <c r="AH24" s="108">
        <v>0.10249673575162888</v>
      </c>
      <c r="AI24" s="108">
        <v>9.4414383172988892E-2</v>
      </c>
      <c r="AJ24" s="108">
        <v>6.8271555006504059E-2</v>
      </c>
      <c r="AK24" s="108">
        <v>0.125</v>
      </c>
      <c r="AL24" s="108">
        <v>8.5443250834941864E-2</v>
      </c>
      <c r="AM24" s="108">
        <v>9.2847071588039398E-2</v>
      </c>
      <c r="AN24" s="108">
        <v>8.0389268696308136E-2</v>
      </c>
      <c r="AO24" s="108">
        <v>0.18305300176143646</v>
      </c>
      <c r="AP24" s="108">
        <v>0.14197646081447601</v>
      </c>
      <c r="AQ24" s="108">
        <v>4.7440119087696075E-2</v>
      </c>
      <c r="AR24" s="108">
        <v>0.12188565731048584</v>
      </c>
      <c r="AS24" s="108">
        <v>0.11246698349714279</v>
      </c>
      <c r="AT24" s="108">
        <v>0.10320074111223221</v>
      </c>
      <c r="AU24" s="108">
        <v>4.648975282907486E-2</v>
      </c>
      <c r="AV24" s="108">
        <v>0.11278020590543747</v>
      </c>
      <c r="AW24" s="108">
        <v>9.0927697718143463E-2</v>
      </c>
      <c r="AX24" s="108">
        <v>0.1035693883895874</v>
      </c>
      <c r="AY24" s="108">
        <v>6.6570714116096497E-2</v>
      </c>
      <c r="AZ24" s="108">
        <v>5.0726983696222305E-2</v>
      </c>
      <c r="BA24" s="108">
        <v>7.4875973165035248E-2</v>
      </c>
      <c r="BB24" s="108">
        <v>0.12232926487922668</v>
      </c>
      <c r="BC24" s="108">
        <v>0.10454213619232178</v>
      </c>
      <c r="BD24" s="108">
        <v>0.1026880145072937</v>
      </c>
      <c r="BE24" s="108">
        <v>0.13069038093090057</v>
      </c>
      <c r="BF24" s="108">
        <v>0.12772396206855774</v>
      </c>
      <c r="BG24" s="108">
        <v>7.5922273099422455E-2</v>
      </c>
      <c r="BH24" s="108">
        <v>0.18827076256275177</v>
      </c>
      <c r="BI24" s="108">
        <v>0.1350475400686264</v>
      </c>
      <c r="BJ24" s="108">
        <v>0.10149556398391724</v>
      </c>
      <c r="BK24" s="108">
        <v>0.12244928628206253</v>
      </c>
      <c r="BL24" s="108">
        <v>0.10049419850111008</v>
      </c>
    </row>
    <row r="25" spans="1:64" x14ac:dyDescent="0.2">
      <c r="A25" t="s">
        <v>99</v>
      </c>
      <c r="B25" s="108">
        <v>0.74945217370986938</v>
      </c>
      <c r="C25" s="108">
        <v>0.78490155935287476</v>
      </c>
      <c r="D25" s="108">
        <v>0.7020648717880249</v>
      </c>
      <c r="E25" s="108">
        <v>0.77806049585342407</v>
      </c>
      <c r="F25" s="108">
        <v>0.57972806692123413</v>
      </c>
      <c r="G25" s="108">
        <v>0.7112044095993042</v>
      </c>
      <c r="H25" s="108">
        <v>0.57454067468643188</v>
      </c>
      <c r="I25" s="108">
        <v>0.77319324016571045</v>
      </c>
      <c r="J25" s="108">
        <v>0.75557577610015869</v>
      </c>
      <c r="K25" s="108">
        <v>0.54948943853378296</v>
      </c>
      <c r="L25" s="108">
        <v>0.75360602140426636</v>
      </c>
      <c r="M25" s="108">
        <v>0.72394591569900513</v>
      </c>
      <c r="N25" s="108">
        <v>0.82326102256774902</v>
      </c>
      <c r="O25" s="108">
        <v>0.77582472562789917</v>
      </c>
      <c r="P25" s="109"/>
      <c r="Q25" s="108">
        <v>0.71761077642440796</v>
      </c>
      <c r="R25" s="108">
        <v>0.799721360206604</v>
      </c>
      <c r="S25" s="109">
        <v>0.80611944198608398</v>
      </c>
      <c r="T25" s="108">
        <v>0.68382573127746582</v>
      </c>
      <c r="U25" s="108">
        <v>0.57827544212341309</v>
      </c>
      <c r="V25" s="108">
        <v>0.78605717420578003</v>
      </c>
      <c r="W25" s="108">
        <v>0.75141447782516479</v>
      </c>
      <c r="X25" s="108">
        <v>0.81099420785903931</v>
      </c>
      <c r="Y25" s="108">
        <v>0.70796769857406616</v>
      </c>
      <c r="Z25" s="108">
        <v>0.66199976205825806</v>
      </c>
      <c r="AA25" s="108">
        <v>0.66692262887954712</v>
      </c>
      <c r="AB25" s="108">
        <v>0.8054613471031189</v>
      </c>
      <c r="AC25" s="108">
        <v>0.79755926132202148</v>
      </c>
      <c r="AD25" s="108">
        <v>0.58251774311065674</v>
      </c>
      <c r="AE25" s="108">
        <v>0.72376513481140137</v>
      </c>
      <c r="AF25" s="108">
        <v>0.6231081485748291</v>
      </c>
      <c r="AG25" s="108">
        <v>0.60801738500595093</v>
      </c>
      <c r="AH25" s="108">
        <v>0.63452303409576416</v>
      </c>
      <c r="AI25" s="108">
        <v>0.57710814476013184</v>
      </c>
      <c r="AJ25" s="108">
        <v>0.72496795654296875</v>
      </c>
      <c r="AK25" s="108">
        <v>0.67858713865280151</v>
      </c>
      <c r="AL25" s="108">
        <v>0.57040071487426758</v>
      </c>
      <c r="AM25" s="108">
        <v>0.60393029451370239</v>
      </c>
      <c r="AN25" s="108">
        <v>0.61632484197616577</v>
      </c>
      <c r="AO25" s="108">
        <v>0.60337746143341064</v>
      </c>
      <c r="AP25" s="108">
        <v>0.71357142925262451</v>
      </c>
      <c r="AQ25" s="108">
        <v>0.67906099557876587</v>
      </c>
      <c r="AR25" s="108">
        <v>0.66793531179428101</v>
      </c>
      <c r="AS25" s="108">
        <v>0.77918815612792969</v>
      </c>
      <c r="AT25" s="108">
        <v>0.57612454891204834</v>
      </c>
      <c r="AU25" s="108">
        <v>0.51796430349349976</v>
      </c>
      <c r="AV25" s="108">
        <v>0.51670730113983154</v>
      </c>
      <c r="AW25" s="108">
        <v>0.64657574892044067</v>
      </c>
      <c r="AX25" s="108">
        <v>0.55870592594146729</v>
      </c>
      <c r="AY25" s="108">
        <v>0.59736275672912598</v>
      </c>
      <c r="AZ25" s="108">
        <v>0.50526750087738037</v>
      </c>
      <c r="BA25" s="108">
        <v>0.56855392456054688</v>
      </c>
      <c r="BB25" s="108">
        <v>0.48033282160758972</v>
      </c>
      <c r="BC25" s="108">
        <v>0.56879323720932007</v>
      </c>
      <c r="BD25" s="108">
        <v>0.47233474254608154</v>
      </c>
      <c r="BE25" s="108">
        <v>0.42368891835212708</v>
      </c>
      <c r="BF25" s="108">
        <v>0.53832972049713135</v>
      </c>
      <c r="BG25" s="108">
        <v>0.47403484582901001</v>
      </c>
      <c r="BH25" s="108">
        <v>0.59213095903396606</v>
      </c>
      <c r="BI25" s="108">
        <v>0.47905722260475159</v>
      </c>
      <c r="BJ25" s="108"/>
      <c r="BK25" s="108"/>
      <c r="BL25" s="108"/>
    </row>
    <row r="26" spans="1:64" x14ac:dyDescent="0.2">
      <c r="A26" t="s">
        <v>101</v>
      </c>
      <c r="B26" s="108">
        <v>0.74786281585693359</v>
      </c>
      <c r="C26" s="108">
        <v>0.81020534038543701</v>
      </c>
      <c r="D26" s="108">
        <v>0.65154463052749634</v>
      </c>
      <c r="E26" s="108">
        <v>0.7971348762512207</v>
      </c>
      <c r="F26" s="108">
        <v>0.640281081199646</v>
      </c>
      <c r="G26" s="108">
        <v>0.63832634687423706</v>
      </c>
      <c r="H26" s="108">
        <v>0.6530224084854126</v>
      </c>
      <c r="I26" s="108">
        <v>0.68732178211212158</v>
      </c>
      <c r="J26" s="108">
        <v>0.57294529676437378</v>
      </c>
      <c r="K26" s="108">
        <v>0.63508313894271851</v>
      </c>
      <c r="L26" s="108">
        <v>0.73902440071105957</v>
      </c>
      <c r="M26" s="108">
        <v>0.70200347900390625</v>
      </c>
      <c r="N26" s="108">
        <v>0.8723568320274353</v>
      </c>
      <c r="O26" s="108">
        <v>0.71905934810638428</v>
      </c>
      <c r="P26" s="109"/>
      <c r="Q26" s="108">
        <v>0.66345316171646118</v>
      </c>
      <c r="R26" s="108">
        <v>0.66774159669876099</v>
      </c>
      <c r="S26" s="109">
        <v>0.66360032558441162</v>
      </c>
      <c r="T26" s="108">
        <v>0.69982826709747314</v>
      </c>
      <c r="U26" s="108">
        <v>0.63248181343078613</v>
      </c>
      <c r="V26" s="108">
        <v>0.81698119640350342</v>
      </c>
      <c r="W26" s="108">
        <v>0.60431832075119019</v>
      </c>
      <c r="X26" s="108">
        <v>0.78528416156768799</v>
      </c>
      <c r="Y26" s="108">
        <v>0.5956529974937439</v>
      </c>
      <c r="Z26" s="108">
        <v>0.62172561883926392</v>
      </c>
      <c r="AA26" s="108">
        <v>0.53379136323928833</v>
      </c>
      <c r="AB26" s="108">
        <v>0.62806379795074463</v>
      </c>
      <c r="AC26" s="108">
        <v>0.7345956563949585</v>
      </c>
      <c r="AD26" s="108">
        <v>0.53900277614593506</v>
      </c>
      <c r="AE26" s="108">
        <v>0.64591604471206665</v>
      </c>
      <c r="AF26" s="108">
        <v>0.5900646448135376</v>
      </c>
      <c r="AG26" s="108">
        <v>0.50648635625839233</v>
      </c>
      <c r="AH26" s="108">
        <v>0.52722281217575073</v>
      </c>
      <c r="AI26" s="108">
        <v>0.59253489971160889</v>
      </c>
      <c r="AJ26" s="108">
        <v>0.7200162410736084</v>
      </c>
      <c r="AK26" s="108">
        <v>0.640330970287323</v>
      </c>
      <c r="AL26" s="108">
        <v>0.50780099630355835</v>
      </c>
      <c r="AM26" s="108">
        <v>0.58055680990219116</v>
      </c>
      <c r="AN26" s="108">
        <v>0.59338021278381348</v>
      </c>
      <c r="AO26" s="108">
        <v>0.59001821279525757</v>
      </c>
      <c r="AP26" s="108">
        <v>0.77508091926574707</v>
      </c>
      <c r="AQ26" s="108">
        <v>0.60980206727981567</v>
      </c>
      <c r="AR26" s="108">
        <v>0.60837554931640625</v>
      </c>
      <c r="AS26" s="108">
        <v>0.79589575529098511</v>
      </c>
      <c r="AT26" s="108">
        <v>0.58272933959960938</v>
      </c>
      <c r="AU26" s="108">
        <v>0.5129774808883667</v>
      </c>
      <c r="AV26" s="108">
        <v>0.56269955635070801</v>
      </c>
      <c r="AW26" s="108">
        <v>0.58700370788574219</v>
      </c>
      <c r="AX26" s="108">
        <v>0.44138121604919434</v>
      </c>
      <c r="AY26" s="108">
        <v>0.49736574292182922</v>
      </c>
      <c r="AZ26" s="108">
        <v>0.41325011849403381</v>
      </c>
      <c r="BA26" s="108">
        <v>0.47878551483154297</v>
      </c>
      <c r="BB26" s="108">
        <v>0.49789798259735107</v>
      </c>
      <c r="BC26" s="108">
        <v>0.59215062856674194</v>
      </c>
      <c r="BD26" s="108">
        <v>0.48060467839241028</v>
      </c>
      <c r="BE26" s="108">
        <v>0.40239909291267395</v>
      </c>
      <c r="BF26" s="108">
        <v>0.4556100070476532</v>
      </c>
      <c r="BG26" s="108">
        <v>0.55975407361984253</v>
      </c>
      <c r="BH26" s="108">
        <v>0.657520592212677</v>
      </c>
      <c r="BI26" s="108">
        <v>0.49570414423942566</v>
      </c>
      <c r="BJ26" s="108"/>
      <c r="BK26" s="108"/>
      <c r="BL26" s="108"/>
    </row>
    <row r="27" spans="1:64" x14ac:dyDescent="0.2">
      <c r="A27" t="s">
        <v>103</v>
      </c>
      <c r="B27" s="108">
        <v>0.86841863393783569</v>
      </c>
      <c r="C27" s="108">
        <v>0.79100942611694336</v>
      </c>
      <c r="D27" s="108">
        <v>0.79261016845703125</v>
      </c>
      <c r="E27" s="108">
        <v>0.92215698957443237</v>
      </c>
      <c r="F27" s="108">
        <v>0.87788784503936768</v>
      </c>
      <c r="G27" s="108">
        <v>0.86809897422790527</v>
      </c>
      <c r="H27" s="108">
        <v>0.86338818073272705</v>
      </c>
      <c r="I27" s="108">
        <v>0.83012336492538452</v>
      </c>
      <c r="J27" s="108">
        <v>0.83767026662826538</v>
      </c>
      <c r="K27" s="108">
        <v>0.84792077541351318</v>
      </c>
      <c r="L27" s="108">
        <v>0.7813035249710083</v>
      </c>
      <c r="M27" s="108">
        <v>0.89617025852203369</v>
      </c>
      <c r="N27" s="108">
        <v>0.88557583093643188</v>
      </c>
      <c r="O27" s="108">
        <v>0.95623272657394409</v>
      </c>
      <c r="P27" s="109"/>
      <c r="Q27" s="108">
        <v>0.92063790559768677</v>
      </c>
      <c r="R27" s="108">
        <v>0.91736865043640137</v>
      </c>
      <c r="S27" s="109">
        <v>0.91506880521774292</v>
      </c>
      <c r="T27" s="108">
        <v>0.89457482099533081</v>
      </c>
      <c r="U27" s="108">
        <v>0.95623517036437988</v>
      </c>
      <c r="V27" s="108">
        <v>0.84585517644882202</v>
      </c>
      <c r="W27" s="108">
        <v>0.93753015995025635</v>
      </c>
      <c r="X27" s="108">
        <v>0.85152840614318848</v>
      </c>
      <c r="Y27" s="108">
        <v>0.8828510046005249</v>
      </c>
      <c r="Z27" s="108">
        <v>0.93203443288803101</v>
      </c>
      <c r="AA27" s="108">
        <v>0.91861081123352051</v>
      </c>
      <c r="AB27" s="108">
        <v>0.93023455142974854</v>
      </c>
      <c r="AC27" s="108">
        <v>0.89456784725189209</v>
      </c>
      <c r="AD27" s="108">
        <v>0.90103036165237427</v>
      </c>
      <c r="AE27" s="108">
        <v>0.86782675981521606</v>
      </c>
      <c r="AF27" s="108">
        <v>0.9066544771194458</v>
      </c>
      <c r="AG27" s="108">
        <v>0.88017266988754272</v>
      </c>
      <c r="AH27" s="108">
        <v>0.91964417695999146</v>
      </c>
      <c r="AI27" s="108">
        <v>0.85373198986053467</v>
      </c>
      <c r="AJ27" s="108">
        <v>0.83606439828872681</v>
      </c>
      <c r="AK27" s="108">
        <v>0.80147171020507813</v>
      </c>
      <c r="AL27" s="108">
        <v>0.84614408016204834</v>
      </c>
      <c r="AM27" s="108">
        <v>0.85885632038116455</v>
      </c>
      <c r="AN27" s="108">
        <v>0.85326123237609863</v>
      </c>
      <c r="AO27" s="108">
        <v>0.87643986940383911</v>
      </c>
      <c r="AP27" s="108">
        <v>0.88775342702865601</v>
      </c>
      <c r="AQ27" s="108">
        <v>0.86428683996200562</v>
      </c>
      <c r="AR27" s="108">
        <v>0.83208423852920532</v>
      </c>
      <c r="AS27" s="108">
        <v>0.79304695129394531</v>
      </c>
      <c r="AT27" s="108">
        <v>0.83342790603637695</v>
      </c>
      <c r="AU27" s="108">
        <v>0.76661068201065063</v>
      </c>
      <c r="AV27" s="108">
        <v>0.88706272840499878</v>
      </c>
      <c r="AW27" s="108">
        <v>0.74251306056976318</v>
      </c>
      <c r="AX27" s="108">
        <v>0.79556155204772949</v>
      </c>
      <c r="AY27" s="108">
        <v>0.64379507303237915</v>
      </c>
      <c r="AZ27" s="108">
        <v>0.72860729694366455</v>
      </c>
      <c r="BA27" s="108">
        <v>0.78942537307739258</v>
      </c>
      <c r="BB27" s="108">
        <v>0.7408212423324585</v>
      </c>
      <c r="BC27" s="108">
        <v>0.79280751943588257</v>
      </c>
      <c r="BD27" s="108">
        <v>0.84337717294692993</v>
      </c>
      <c r="BE27" s="108">
        <v>0.73692154884338379</v>
      </c>
      <c r="BF27" s="108">
        <v>0.81287127733230591</v>
      </c>
      <c r="BG27" s="108">
        <v>0.74273955821990967</v>
      </c>
      <c r="BH27" s="108">
        <v>0.79330426454544067</v>
      </c>
      <c r="BI27" s="108">
        <v>0.76446980237960815</v>
      </c>
      <c r="BJ27" s="108">
        <v>0.78372502326965332</v>
      </c>
      <c r="BK27" s="108">
        <v>0.87556231021881104</v>
      </c>
      <c r="BL27" s="108">
        <v>0.77537405490875244</v>
      </c>
    </row>
    <row r="28" spans="1:64" x14ac:dyDescent="0.2">
      <c r="A28" t="s">
        <v>109</v>
      </c>
      <c r="B28" s="108">
        <v>0.47496506571769714</v>
      </c>
      <c r="C28" s="108">
        <v>0.34724214673042297</v>
      </c>
      <c r="D28" s="108">
        <v>0.28284242749214172</v>
      </c>
      <c r="E28" s="108">
        <v>0.56758052110671997</v>
      </c>
      <c r="F28" s="108">
        <v>0.56160616874694824</v>
      </c>
      <c r="G28" s="108">
        <v>0.42795103788375854</v>
      </c>
      <c r="H28" s="108">
        <v>0.51302963495254517</v>
      </c>
      <c r="I28" s="108">
        <v>0.63742345571517944</v>
      </c>
      <c r="J28" s="108">
        <v>0.50815904140472412</v>
      </c>
      <c r="K28" s="108">
        <v>0.54509657621383667</v>
      </c>
      <c r="L28" s="108">
        <v>0.58060699701309204</v>
      </c>
      <c r="M28" s="108">
        <v>0.44983822107315063</v>
      </c>
      <c r="N28" s="108">
        <v>0.54860818386077881</v>
      </c>
      <c r="O28" s="108">
        <v>0.57543843984603882</v>
      </c>
      <c r="P28" s="109"/>
      <c r="Q28" s="108">
        <v>0.50146585702896118</v>
      </c>
      <c r="R28" s="108">
        <v>0.55993199348449707</v>
      </c>
      <c r="S28" s="109">
        <v>0.63951587677001953</v>
      </c>
      <c r="T28" s="108">
        <v>0.4668828547000885</v>
      </c>
      <c r="U28" s="108">
        <v>0.65859293937683105</v>
      </c>
      <c r="V28" s="108">
        <v>0.39671283960342407</v>
      </c>
      <c r="W28" s="108">
        <v>0.56613403558731079</v>
      </c>
      <c r="X28" s="108">
        <v>0.42241382598876953</v>
      </c>
      <c r="Y28" s="108">
        <v>0.6434398889541626</v>
      </c>
      <c r="Z28" s="108">
        <v>0.7146989107131958</v>
      </c>
      <c r="AA28" s="108">
        <v>0.636607825756073</v>
      </c>
      <c r="AB28" s="108">
        <v>0.60084819793701172</v>
      </c>
      <c r="AC28" s="108">
        <v>0.5439910888671875</v>
      </c>
      <c r="AD28" s="108">
        <v>0.62677884101867676</v>
      </c>
      <c r="AE28" s="108">
        <v>0.59197390079498291</v>
      </c>
      <c r="AF28" s="108">
        <v>0.63903188705444336</v>
      </c>
      <c r="AG28" s="108">
        <v>0.54137158393859863</v>
      </c>
      <c r="AH28" s="108">
        <v>0.57283788919448853</v>
      </c>
      <c r="AI28" s="108">
        <v>0.49849081039428711</v>
      </c>
      <c r="AJ28" s="108">
        <v>0.38908493518829346</v>
      </c>
      <c r="AK28" s="108">
        <v>0.40318551659584045</v>
      </c>
      <c r="AL28" s="108">
        <v>0.3720436692237854</v>
      </c>
      <c r="AM28" s="108">
        <v>0.53304314613342285</v>
      </c>
      <c r="AN28" s="108">
        <v>0.49230104684829712</v>
      </c>
      <c r="AO28" s="108">
        <v>0.46067789196968079</v>
      </c>
      <c r="AP28" s="108">
        <v>0.53116565942764282</v>
      </c>
      <c r="AQ28" s="108">
        <v>0.43949636816978455</v>
      </c>
      <c r="AR28" s="108">
        <v>0.46742960810661316</v>
      </c>
      <c r="AS28" s="108">
        <v>0.50445747375488281</v>
      </c>
      <c r="AT28" s="108">
        <v>0.46728339791297913</v>
      </c>
      <c r="AU28" s="108">
        <v>0.26250135898590088</v>
      </c>
      <c r="AV28" s="108">
        <v>0.63730251789093018</v>
      </c>
      <c r="AW28" s="108">
        <v>0.32003402709960938</v>
      </c>
      <c r="AX28" s="108">
        <v>0.51563882827758789</v>
      </c>
      <c r="AY28" s="108">
        <v>0.24404644966125488</v>
      </c>
      <c r="AZ28" s="108">
        <v>0.33738762140274048</v>
      </c>
      <c r="BA28" s="108">
        <v>0.23846633732318878</v>
      </c>
      <c r="BB28" s="108">
        <v>0.23540125787258148</v>
      </c>
      <c r="BC28" s="108">
        <v>0.53747403621673584</v>
      </c>
      <c r="BD28" s="108">
        <v>0.48977366089820862</v>
      </c>
      <c r="BE28" s="108">
        <v>0.39546653628349304</v>
      </c>
      <c r="BF28" s="108">
        <v>0.57574355602264404</v>
      </c>
      <c r="BG28" s="108">
        <v>0.30913588404655457</v>
      </c>
      <c r="BH28" s="108">
        <v>0.24468235671520233</v>
      </c>
      <c r="BI28" s="108">
        <v>0.32154145836830139</v>
      </c>
      <c r="BJ28" s="108">
        <v>0.56858241558074951</v>
      </c>
      <c r="BK28" s="108">
        <v>0.47554567456245422</v>
      </c>
      <c r="BL28" s="108">
        <v>0.53378033638000488</v>
      </c>
    </row>
    <row r="29" spans="1:64" x14ac:dyDescent="0.2">
      <c r="A29" t="s">
        <v>111</v>
      </c>
      <c r="B29" s="108">
        <v>0.5543065071105957</v>
      </c>
      <c r="C29" s="108">
        <v>0.41778010129928589</v>
      </c>
      <c r="D29" s="108">
        <v>0.33414357900619507</v>
      </c>
      <c r="E29" s="108">
        <v>0.61308318376541138</v>
      </c>
      <c r="F29" s="108">
        <v>0.67106747627258301</v>
      </c>
      <c r="G29" s="108">
        <v>0.50878578424453735</v>
      </c>
      <c r="H29" s="108">
        <v>0.65204936265945435</v>
      </c>
      <c r="I29" s="108">
        <v>0.72957193851470947</v>
      </c>
      <c r="J29" s="108">
        <v>0.60798877477645874</v>
      </c>
      <c r="K29" s="108">
        <v>0.59973311424255371</v>
      </c>
      <c r="L29" s="108">
        <v>0.73679083585739136</v>
      </c>
      <c r="M29" s="108">
        <v>0.59879159927368164</v>
      </c>
      <c r="N29" s="108">
        <v>0.68702250719070435</v>
      </c>
      <c r="O29" s="108">
        <v>0.74699944257736206</v>
      </c>
      <c r="P29" s="109"/>
      <c r="Q29" s="108">
        <v>0.76709085702896118</v>
      </c>
      <c r="R29" s="108">
        <v>0.67409431934356689</v>
      </c>
      <c r="S29" s="109">
        <v>0.70879709720611572</v>
      </c>
      <c r="T29" s="108">
        <v>0.74396747350692749</v>
      </c>
      <c r="U29" s="108">
        <v>0.86726635694503784</v>
      </c>
      <c r="V29" s="108">
        <v>0.60042101144790649</v>
      </c>
      <c r="W29" s="108">
        <v>0.65217971801757813</v>
      </c>
      <c r="X29" s="108">
        <v>0.51701557636260986</v>
      </c>
      <c r="Y29" s="108">
        <v>0.76169949769973755</v>
      </c>
      <c r="Z29" s="108">
        <v>0.84992283582687378</v>
      </c>
      <c r="AA29" s="108">
        <v>0.75453066825866699</v>
      </c>
      <c r="AB29" s="108">
        <v>0.74071502685546875</v>
      </c>
      <c r="AC29" s="108">
        <v>0.66504824161529541</v>
      </c>
      <c r="AD29" s="108">
        <v>0.69574028253555298</v>
      </c>
      <c r="AE29" s="108">
        <v>0.67904824018478394</v>
      </c>
      <c r="AF29" s="108">
        <v>0.6843574047088623</v>
      </c>
      <c r="AG29" s="108">
        <v>0.67762625217437744</v>
      </c>
      <c r="AH29" s="108">
        <v>0.72023719549179077</v>
      </c>
      <c r="AI29" s="108">
        <v>0.62614011764526367</v>
      </c>
      <c r="AJ29" s="108">
        <v>0.42954453825950623</v>
      </c>
      <c r="AK29" s="108">
        <v>0.49203619360923767</v>
      </c>
      <c r="AL29" s="108">
        <v>0.46931225061416626</v>
      </c>
      <c r="AM29" s="108">
        <v>0.55654466152191162</v>
      </c>
      <c r="AN29" s="108">
        <v>0.49547144770622253</v>
      </c>
      <c r="AO29" s="108">
        <v>0.52694952487945557</v>
      </c>
      <c r="AP29" s="108">
        <v>0.74569261074066162</v>
      </c>
      <c r="AQ29" s="108">
        <v>0.54579776525497437</v>
      </c>
      <c r="AR29" s="108">
        <v>0.49491250514984131</v>
      </c>
      <c r="AS29" s="108">
        <v>0.58031582832336426</v>
      </c>
      <c r="AT29" s="108">
        <v>0.49719089269638062</v>
      </c>
      <c r="AU29" s="108">
        <v>0.29983195662498474</v>
      </c>
      <c r="AV29" s="108">
        <v>0.66221928596496582</v>
      </c>
      <c r="AW29" s="108">
        <v>0.3826259970664978</v>
      </c>
      <c r="AX29" s="108">
        <v>0.54988104104995728</v>
      </c>
      <c r="AY29" s="108">
        <v>0.2792644202709198</v>
      </c>
      <c r="AZ29" s="108">
        <v>0.35778266191482544</v>
      </c>
      <c r="BA29" s="108">
        <v>0.24776357412338257</v>
      </c>
      <c r="BB29" s="108">
        <v>0.25098916888237</v>
      </c>
      <c r="BC29" s="108">
        <v>0.57911181449890137</v>
      </c>
      <c r="BD29" s="108">
        <v>0.54004639387130737</v>
      </c>
      <c r="BE29" s="108">
        <v>0.48097962141036987</v>
      </c>
      <c r="BF29" s="108">
        <v>0.6915859580039978</v>
      </c>
      <c r="BG29" s="108">
        <v>0.34392169117927551</v>
      </c>
      <c r="BH29" s="108">
        <v>0.2800559401512146</v>
      </c>
      <c r="BI29" s="108">
        <v>0.3368147611618042</v>
      </c>
      <c r="BJ29" s="108">
        <v>0.74520349502563477</v>
      </c>
      <c r="BK29" s="108">
        <v>0.5062260627746582</v>
      </c>
      <c r="BL29" s="108">
        <v>0.60396724939346313</v>
      </c>
    </row>
    <row r="30" spans="1:64" x14ac:dyDescent="0.2">
      <c r="A30" t="s">
        <v>105</v>
      </c>
      <c r="B30" s="108">
        <v>0.66519659757614136</v>
      </c>
      <c r="C30" s="108">
        <v>0.63672322034835815</v>
      </c>
      <c r="D30" s="108">
        <v>0.75196129083633423</v>
      </c>
      <c r="E30" s="108">
        <v>0.62307429313659668</v>
      </c>
      <c r="F30" s="108">
        <v>0.56721341609954834</v>
      </c>
      <c r="G30" s="108">
        <v>0.65176492929458618</v>
      </c>
      <c r="H30" s="108">
        <v>0.70107913017272949</v>
      </c>
      <c r="I30" s="108">
        <v>0.7829059362411499</v>
      </c>
      <c r="J30" s="108">
        <v>0.64704716205596924</v>
      </c>
      <c r="K30" s="108">
        <v>0.64127576351165771</v>
      </c>
      <c r="L30" s="108">
        <v>0.60073399543762207</v>
      </c>
      <c r="M30" s="108">
        <v>0.60382378101348877</v>
      </c>
      <c r="N30" s="108">
        <v>0.69285917282104492</v>
      </c>
      <c r="O30" s="108">
        <v>0.69863998889923096</v>
      </c>
      <c r="P30" s="109"/>
      <c r="Q30" s="108">
        <v>0.53766196966171265</v>
      </c>
      <c r="R30" s="108">
        <v>0.72016352415084839</v>
      </c>
      <c r="S30" s="109">
        <v>0.77022594213485718</v>
      </c>
      <c r="T30" s="108">
        <v>0.66666668653488159</v>
      </c>
      <c r="U30" s="108">
        <v>0.64929252862930298</v>
      </c>
      <c r="V30" s="108">
        <v>0.67914336919784546</v>
      </c>
      <c r="W30" s="108">
        <v>0.74724221229553223</v>
      </c>
      <c r="X30" s="108">
        <v>0.63288187980651855</v>
      </c>
      <c r="Y30" s="108">
        <v>0.64689916372299194</v>
      </c>
      <c r="Z30" s="108">
        <v>0.64767730236053467</v>
      </c>
      <c r="AA30" s="108">
        <v>0.68651551008224487</v>
      </c>
      <c r="AB30" s="108">
        <v>0.70454365015029907</v>
      </c>
      <c r="AC30" s="108">
        <v>0.60355722904205322</v>
      </c>
      <c r="AD30" s="108">
        <v>0.61232644319534302</v>
      </c>
      <c r="AE30" s="108">
        <v>0.68768888711929321</v>
      </c>
      <c r="AF30" s="108">
        <v>0.65703439712524414</v>
      </c>
      <c r="AG30" s="108">
        <v>0.5623319149017334</v>
      </c>
      <c r="AH30" s="108">
        <v>0.6818615198135376</v>
      </c>
      <c r="AI30" s="108">
        <v>0.73341280221939087</v>
      </c>
      <c r="AJ30" s="108">
        <v>0.72657406330108643</v>
      </c>
      <c r="AK30" s="108">
        <v>0.69053477048873901</v>
      </c>
      <c r="AL30" s="108">
        <v>0.56208455562591553</v>
      </c>
      <c r="AM30" s="108">
        <v>0.73108965158462524</v>
      </c>
      <c r="AN30" s="108">
        <v>0.8075869083404541</v>
      </c>
      <c r="AO30" s="108">
        <v>0.69507920742034912</v>
      </c>
      <c r="AP30" s="108">
        <v>0.6075434684753418</v>
      </c>
      <c r="AQ30" s="108">
        <v>0.58688431978225708</v>
      </c>
      <c r="AR30" s="108">
        <v>0.64359015226364136</v>
      </c>
      <c r="AS30" s="108">
        <v>0.76414096355438232</v>
      </c>
      <c r="AT30" s="108">
        <v>0.65574705600738525</v>
      </c>
      <c r="AU30" s="108">
        <v>0.72671622037887573</v>
      </c>
      <c r="AV30" s="108">
        <v>0.76275360584259033</v>
      </c>
      <c r="AW30" s="108">
        <v>0.70866477489471436</v>
      </c>
      <c r="AX30" s="108">
        <v>0.73915892839431763</v>
      </c>
      <c r="AY30" s="108">
        <v>0.74930495023727417</v>
      </c>
      <c r="AZ30" s="108">
        <v>0.71157586574554443</v>
      </c>
      <c r="BA30" s="108">
        <v>0.56058335304260254</v>
      </c>
      <c r="BB30" s="108">
        <v>0.63682317733764648</v>
      </c>
      <c r="BC30" s="108">
        <v>0.65179085731506348</v>
      </c>
      <c r="BD30" s="108">
        <v>0.65227454900741577</v>
      </c>
      <c r="BE30" s="108">
        <v>0.49787572026252747</v>
      </c>
      <c r="BF30" s="108">
        <v>0.61846923828125</v>
      </c>
      <c r="BG30" s="108">
        <v>0.70756250619888306</v>
      </c>
      <c r="BH30" s="108">
        <v>0.64835351705551147</v>
      </c>
      <c r="BI30" s="108">
        <v>0.62529921531677246</v>
      </c>
      <c r="BJ30" s="108">
        <v>0.46180751919746399</v>
      </c>
      <c r="BK30" s="108">
        <v>0.76559585332870483</v>
      </c>
      <c r="BL30" s="108">
        <v>0.62808263301849365</v>
      </c>
    </row>
    <row r="31" spans="1:64" x14ac:dyDescent="0.2">
      <c r="A31" t="s">
        <v>113</v>
      </c>
      <c r="B31" s="108">
        <v>0.67463439702987671</v>
      </c>
      <c r="C31" s="108">
        <v>0.5791860818862915</v>
      </c>
      <c r="D31" s="108">
        <v>0.72131401300430298</v>
      </c>
      <c r="E31" s="108">
        <v>0.81807905435562134</v>
      </c>
      <c r="F31" s="108">
        <v>0.62283158302307129</v>
      </c>
      <c r="G31" s="108">
        <v>0.58603119850158691</v>
      </c>
      <c r="H31" s="108">
        <v>0.67265599966049194</v>
      </c>
      <c r="I31" s="108">
        <v>0.80011892318725586</v>
      </c>
      <c r="J31" s="108">
        <v>0.73918956518173218</v>
      </c>
      <c r="K31" s="108">
        <v>0.67290860414505005</v>
      </c>
      <c r="L31" s="108">
        <v>0.74945348501205444</v>
      </c>
      <c r="M31" s="108">
        <v>0.54883182048797607</v>
      </c>
      <c r="N31" s="108">
        <v>0.44197580218315125</v>
      </c>
      <c r="O31" s="108">
        <v>0.83793467283248901</v>
      </c>
      <c r="P31" s="109"/>
      <c r="Q31" s="108">
        <v>0.40173408389091492</v>
      </c>
      <c r="R31" s="108">
        <v>0.9188113808631897</v>
      </c>
      <c r="S31" s="109">
        <v>0.94912040233612061</v>
      </c>
      <c r="T31" s="108">
        <v>0.96756565570831299</v>
      </c>
      <c r="U31" s="108">
        <v>0.5099714994430542</v>
      </c>
      <c r="V31" s="108">
        <v>0.94861865043640137</v>
      </c>
      <c r="W31" s="108">
        <v>0.95734447240829468</v>
      </c>
      <c r="X31" s="108">
        <v>0.80971002578735352</v>
      </c>
      <c r="Y31" s="108">
        <v>0.81995892524719238</v>
      </c>
      <c r="Z31" s="108">
        <v>0.86800611019134521</v>
      </c>
      <c r="AA31" s="108">
        <v>0.79832345247268677</v>
      </c>
      <c r="AB31" s="108">
        <v>0.74655020236968994</v>
      </c>
      <c r="AC31" s="108">
        <v>0.84593003988265991</v>
      </c>
      <c r="AD31" s="108">
        <v>0.83036541938781738</v>
      </c>
      <c r="AE31" s="108">
        <v>0.9078330397605896</v>
      </c>
      <c r="AF31" s="108">
        <v>0.92520064115524292</v>
      </c>
      <c r="AG31" s="108">
        <v>0.25622627139091492</v>
      </c>
      <c r="AH31" s="108">
        <v>0.96783733367919922</v>
      </c>
      <c r="AI31" s="108">
        <v>0.77025419473648071</v>
      </c>
      <c r="AJ31" s="108">
        <v>0.97273999452590942</v>
      </c>
      <c r="AK31" s="108">
        <v>0.97926121950149536</v>
      </c>
      <c r="AL31" s="108">
        <v>0.86606621742248535</v>
      </c>
      <c r="AM31" s="108">
        <v>0.95747494697570801</v>
      </c>
      <c r="AN31" s="108">
        <v>0.98245620727539063</v>
      </c>
      <c r="AO31" s="108">
        <v>0.581440269947052</v>
      </c>
      <c r="AP31" s="108">
        <v>0.70861274003982544</v>
      </c>
      <c r="AQ31" s="108">
        <v>0.5971827507019043</v>
      </c>
      <c r="AR31" s="108">
        <v>0.86218315362930298</v>
      </c>
      <c r="AS31" s="108">
        <v>0.80231428146362305</v>
      </c>
      <c r="AT31" s="108">
        <v>0.96956771612167358</v>
      </c>
      <c r="AU31" s="108">
        <v>0.85344284772872925</v>
      </c>
      <c r="AV31" s="108">
        <v>0.94970822334289551</v>
      </c>
      <c r="AW31" s="108">
        <v>0.82316869497299194</v>
      </c>
      <c r="AX31" s="108">
        <v>0.93587774038314819</v>
      </c>
      <c r="AY31" s="108">
        <v>0.67983180284500122</v>
      </c>
      <c r="AZ31" s="108">
        <v>0.95442211627960205</v>
      </c>
      <c r="BA31" s="108">
        <v>0.99233585596084595</v>
      </c>
      <c r="BB31" s="108">
        <v>0.9950491189956665</v>
      </c>
      <c r="BC31" s="108">
        <v>0.99507743120193481</v>
      </c>
      <c r="BD31" s="108">
        <v>0.97743988037109375</v>
      </c>
      <c r="BE31" s="108">
        <v>0.93475121259689331</v>
      </c>
      <c r="BF31" s="108">
        <v>0.97916603088378906</v>
      </c>
      <c r="BG31" s="108">
        <v>1</v>
      </c>
      <c r="BH31" s="108">
        <v>0.99245059490203857</v>
      </c>
      <c r="BI31" s="108">
        <v>1</v>
      </c>
      <c r="BJ31" s="108">
        <v>0.99728387594223022</v>
      </c>
      <c r="BK31" s="108">
        <v>0.9641450047492981</v>
      </c>
      <c r="BL31" s="108">
        <v>0.99571830034255981</v>
      </c>
    </row>
    <row r="32" spans="1:64" x14ac:dyDescent="0.2">
      <c r="A32" t="s">
        <v>115</v>
      </c>
      <c r="B32" s="108">
        <v>0.88301670551300049</v>
      </c>
      <c r="C32" s="108">
        <v>0.88455724716186523</v>
      </c>
      <c r="D32" s="108">
        <v>0.96597117185592651</v>
      </c>
      <c r="E32" s="108">
        <v>0.94044095277786255</v>
      </c>
      <c r="F32" s="108">
        <v>0.91618496179580688</v>
      </c>
      <c r="G32" s="108">
        <v>0.8721960186958313</v>
      </c>
      <c r="H32" s="108">
        <v>0.91367202997207642</v>
      </c>
      <c r="I32" s="108">
        <v>0.75450998544692993</v>
      </c>
      <c r="J32" s="108">
        <v>0.8843693733215332</v>
      </c>
      <c r="K32" s="108">
        <v>0.97851711511611938</v>
      </c>
      <c r="L32" s="108">
        <v>0.85002094507217407</v>
      </c>
      <c r="M32" s="108">
        <v>0.91674476861953735</v>
      </c>
      <c r="N32" s="108">
        <v>0.9297059178352356</v>
      </c>
      <c r="O32" s="108">
        <v>0.61854100227355957</v>
      </c>
      <c r="P32" s="109"/>
      <c r="Q32" s="108">
        <v>0.96511483192443848</v>
      </c>
      <c r="R32" s="108">
        <v>0.79115593433380127</v>
      </c>
      <c r="S32" s="109">
        <v>0.71445876359939575</v>
      </c>
      <c r="T32" s="108">
        <v>0.62766879796981812</v>
      </c>
      <c r="U32" s="108">
        <v>0.89530855417251587</v>
      </c>
      <c r="V32" s="108">
        <v>0.68269497156143188</v>
      </c>
      <c r="W32" s="108">
        <v>0.60960942506790161</v>
      </c>
      <c r="X32" s="108">
        <v>0.79947078227996826</v>
      </c>
      <c r="Y32" s="108">
        <v>0.88112556934356689</v>
      </c>
      <c r="Z32" s="108">
        <v>0.7841373085975647</v>
      </c>
      <c r="AA32" s="108">
        <v>0.9103359580039978</v>
      </c>
      <c r="AB32" s="108">
        <v>0.87070059776306152</v>
      </c>
      <c r="AC32" s="108">
        <v>0.93096834421157837</v>
      </c>
      <c r="AD32" s="108">
        <v>0.90568888187408447</v>
      </c>
      <c r="AE32" s="108">
        <v>0.72958129644393921</v>
      </c>
      <c r="AF32" s="108">
        <v>0.82439804077148438</v>
      </c>
      <c r="AG32" s="108">
        <v>0.91048258543014526</v>
      </c>
      <c r="AH32" s="108">
        <v>0.53469055891036987</v>
      </c>
      <c r="AI32" s="108">
        <v>0.76316356658935547</v>
      </c>
      <c r="AJ32" s="108">
        <v>0.52460116147994995</v>
      </c>
      <c r="AK32" s="108">
        <v>0.51487904787063599</v>
      </c>
      <c r="AL32" s="108">
        <v>0.51493686437606812</v>
      </c>
      <c r="AM32" s="108">
        <v>0.54427981376647949</v>
      </c>
      <c r="AN32" s="108">
        <v>0.66044223308563232</v>
      </c>
      <c r="AO32" s="108">
        <v>0.77764827013015747</v>
      </c>
      <c r="AP32" s="108">
        <v>0.72073119878768921</v>
      </c>
      <c r="AQ32" s="108">
        <v>0.79084157943725586</v>
      </c>
      <c r="AR32" s="108">
        <v>0.71871048212051392</v>
      </c>
      <c r="AS32" s="108">
        <v>0.67179602384567261</v>
      </c>
      <c r="AT32" s="108">
        <v>0.64168840646743774</v>
      </c>
      <c r="AU32" s="108">
        <v>0.37718462944030762</v>
      </c>
      <c r="AV32" s="108">
        <v>0.59378296136856079</v>
      </c>
      <c r="AW32" s="108">
        <v>0.67173522710800171</v>
      </c>
      <c r="AX32" s="108">
        <v>0.6363864541053772</v>
      </c>
      <c r="AY32" s="108">
        <v>0.6651691198348999</v>
      </c>
      <c r="AZ32" s="108">
        <v>0.56729549169540405</v>
      </c>
      <c r="BA32" s="108">
        <v>0.45886656641960144</v>
      </c>
      <c r="BB32" s="108">
        <v>0.44133594632148743</v>
      </c>
      <c r="BC32" s="108">
        <v>0.36521074175834656</v>
      </c>
      <c r="BD32" s="108">
        <v>0.42687389254570007</v>
      </c>
      <c r="BE32" s="108">
        <v>0.514900803565979</v>
      </c>
      <c r="BF32" s="108">
        <v>0.39120545983314514</v>
      </c>
      <c r="BG32" s="108">
        <v>0.62212878465652466</v>
      </c>
      <c r="BH32" s="108">
        <v>0.47402283549308777</v>
      </c>
      <c r="BI32" s="108">
        <v>0.46183133125305176</v>
      </c>
      <c r="BJ32" s="108">
        <v>0.4155828058719635</v>
      </c>
      <c r="BK32" s="108">
        <v>0.41746324300765991</v>
      </c>
      <c r="BL32" s="108">
        <v>0.70747935771942139</v>
      </c>
    </row>
    <row r="33" spans="1:64" x14ac:dyDescent="0.2">
      <c r="A33" t="s">
        <v>123</v>
      </c>
      <c r="B33" s="108">
        <v>0.58849573135375977</v>
      </c>
      <c r="C33" s="108">
        <v>0.37862792611122131</v>
      </c>
      <c r="D33" s="108">
        <v>0.28059014678001404</v>
      </c>
      <c r="E33" s="108">
        <v>0.25244885683059692</v>
      </c>
      <c r="F33" s="108">
        <v>0.42699706554412842</v>
      </c>
      <c r="G33" s="108">
        <v>0.48971730470657349</v>
      </c>
      <c r="H33" s="108">
        <v>0.23008304834365845</v>
      </c>
      <c r="I33" s="108">
        <v>0.50510138273239136</v>
      </c>
      <c r="J33" s="108">
        <v>0.2481379508972168</v>
      </c>
      <c r="K33" s="108">
        <v>0.24803151190280914</v>
      </c>
      <c r="L33" s="108">
        <v>0.23572145402431488</v>
      </c>
      <c r="M33" s="108">
        <v>0.35144838690757751</v>
      </c>
      <c r="N33" s="108">
        <v>0.52885788679122925</v>
      </c>
      <c r="O33" s="108">
        <v>0.4824562668800354</v>
      </c>
      <c r="P33" s="109"/>
      <c r="Q33" s="108">
        <v>0.59767425060272217</v>
      </c>
      <c r="R33" s="108">
        <v>0.4641459584236145</v>
      </c>
      <c r="S33" s="109">
        <v>0.49026459455490112</v>
      </c>
      <c r="T33" s="108">
        <v>0.52997767925262451</v>
      </c>
      <c r="U33" s="108">
        <v>0.48554310202598572</v>
      </c>
      <c r="V33" s="108">
        <v>0.55848103761672974</v>
      </c>
      <c r="W33" s="108">
        <v>0.39286091923713684</v>
      </c>
      <c r="X33" s="108">
        <v>0.43077546358108521</v>
      </c>
      <c r="Y33" s="108">
        <v>0.50416040420532227</v>
      </c>
      <c r="Z33" s="108">
        <v>0.24758791923522949</v>
      </c>
      <c r="AA33" s="108">
        <v>0.49301156401634216</v>
      </c>
      <c r="AB33" s="108">
        <v>0.46432587504386902</v>
      </c>
      <c r="AC33" s="108">
        <v>0.42633870244026184</v>
      </c>
      <c r="AD33" s="108">
        <v>0.28972810506820679</v>
      </c>
      <c r="AE33" s="108">
        <v>0.24958562850952148</v>
      </c>
      <c r="AF33" s="108">
        <v>0.5310741662979126</v>
      </c>
      <c r="AG33" s="108">
        <v>0.1600823849439621</v>
      </c>
      <c r="AH33" s="108">
        <v>0.1477733850479126</v>
      </c>
      <c r="AI33" s="108">
        <v>0.40762788057327271</v>
      </c>
      <c r="AJ33" s="108">
        <v>0.51456606388092041</v>
      </c>
      <c r="AK33" s="108">
        <v>0.30456799268722534</v>
      </c>
      <c r="AL33" s="108">
        <v>0.27796301245689392</v>
      </c>
      <c r="AM33" s="108">
        <v>0.49637195467948914</v>
      </c>
      <c r="AN33" s="108">
        <v>0.6483691930770874</v>
      </c>
      <c r="AO33" s="108">
        <v>0.35938149690628052</v>
      </c>
      <c r="AP33" s="108">
        <v>0.32956817746162415</v>
      </c>
      <c r="AQ33" s="108">
        <v>0.49604150652885437</v>
      </c>
      <c r="AR33" s="108">
        <v>0.37751427292823792</v>
      </c>
      <c r="AS33" s="108">
        <v>0.46276336908340454</v>
      </c>
      <c r="AT33" s="108">
        <v>0.3824705183506012</v>
      </c>
      <c r="AU33" s="108">
        <v>0.25686800479888916</v>
      </c>
      <c r="AV33" s="108">
        <v>0.69298690557479858</v>
      </c>
      <c r="AW33" s="108">
        <v>0.396778404712677</v>
      </c>
      <c r="AX33" s="108">
        <v>0.18852230906486511</v>
      </c>
      <c r="AY33" s="108">
        <v>0.5527384877204895</v>
      </c>
      <c r="AZ33" s="108">
        <v>0.48072290420532227</v>
      </c>
      <c r="BA33" s="108">
        <v>0.37194228172302246</v>
      </c>
      <c r="BB33" s="108">
        <v>0.38879552483558655</v>
      </c>
      <c r="BC33" s="108">
        <v>0.40772917866706848</v>
      </c>
      <c r="BD33" s="108">
        <v>0.54365891218185425</v>
      </c>
      <c r="BE33" s="108">
        <v>0.50549226999282837</v>
      </c>
      <c r="BF33" s="108">
        <v>0.49457874894142151</v>
      </c>
      <c r="BG33" s="108">
        <v>0.26196902990341187</v>
      </c>
      <c r="BH33" s="108">
        <v>0.30276304483413696</v>
      </c>
      <c r="BI33" s="108">
        <v>0.37727734446525574</v>
      </c>
      <c r="BJ33" s="108">
        <v>0.61708080768585205</v>
      </c>
      <c r="BK33" s="108">
        <v>0.50372856855392456</v>
      </c>
      <c r="BL33" s="108">
        <v>0.253438800573349</v>
      </c>
    </row>
    <row r="34" spans="1:64" x14ac:dyDescent="0.2">
      <c r="A34" t="s">
        <v>125</v>
      </c>
      <c r="B34" s="108">
        <v>0.46852630376815796</v>
      </c>
      <c r="C34" s="108">
        <v>0.31188783049583435</v>
      </c>
      <c r="D34" s="108">
        <v>0.2152286171913147</v>
      </c>
      <c r="E34" s="108">
        <v>0.46817293763160706</v>
      </c>
      <c r="F34" s="108">
        <v>0.45821860432624817</v>
      </c>
      <c r="G34" s="108">
        <v>0.21782505512237549</v>
      </c>
      <c r="H34" s="108">
        <v>0.23278667032718658</v>
      </c>
      <c r="I34" s="108">
        <v>0.38873746991157532</v>
      </c>
      <c r="J34" s="108">
        <v>0.17535622417926788</v>
      </c>
      <c r="K34" s="108">
        <v>0.36527204513549805</v>
      </c>
      <c r="L34" s="108">
        <v>0.33767777681350708</v>
      </c>
      <c r="M34" s="108">
        <v>0.46926623582839966</v>
      </c>
      <c r="N34" s="108">
        <v>0.40834218263626099</v>
      </c>
      <c r="O34" s="108">
        <v>0.27990391850471497</v>
      </c>
      <c r="P34" s="109"/>
      <c r="Q34" s="108">
        <v>0.39023256301879883</v>
      </c>
      <c r="R34" s="108">
        <v>0.39243790507316589</v>
      </c>
      <c r="S34" s="109">
        <v>0.29825803637504578</v>
      </c>
      <c r="T34" s="108">
        <v>0.45003724098205566</v>
      </c>
      <c r="U34" s="108">
        <v>0.30567088723182678</v>
      </c>
      <c r="V34" s="108">
        <v>0.36230701208114624</v>
      </c>
      <c r="W34" s="108">
        <v>0.33570599555969238</v>
      </c>
      <c r="X34" s="108">
        <v>0.41196373105049133</v>
      </c>
      <c r="Y34" s="108">
        <v>0.37473157048225403</v>
      </c>
      <c r="Z34" s="108">
        <v>0.27595537900924683</v>
      </c>
      <c r="AA34" s="108">
        <v>0.39253687858581543</v>
      </c>
      <c r="AB34" s="108">
        <v>0.36247313022613525</v>
      </c>
      <c r="AC34" s="108">
        <v>0.40712529420852661</v>
      </c>
      <c r="AD34" s="108">
        <v>0.35725536942481995</v>
      </c>
      <c r="AE34" s="108">
        <v>0.31913810968399048</v>
      </c>
      <c r="AF34" s="108">
        <v>0.47084400057792664</v>
      </c>
      <c r="AG34" s="108">
        <v>0.24414429068565369</v>
      </c>
      <c r="AH34" s="108">
        <v>0.23299604654312134</v>
      </c>
      <c r="AI34" s="108">
        <v>0.43170210719108582</v>
      </c>
      <c r="AJ34" s="108">
        <v>0.25728303194046021</v>
      </c>
      <c r="AK34" s="108">
        <v>0.34278646111488342</v>
      </c>
      <c r="AL34" s="108">
        <v>0.2237040102481842</v>
      </c>
      <c r="AM34" s="108">
        <v>0.41066351532936096</v>
      </c>
      <c r="AN34" s="108">
        <v>0.43993741273880005</v>
      </c>
      <c r="AO34" s="108">
        <v>0.51824754476547241</v>
      </c>
      <c r="AP34" s="108">
        <v>0.43588021397590637</v>
      </c>
      <c r="AQ34" s="108">
        <v>0.51961058378219604</v>
      </c>
      <c r="AR34" s="108">
        <v>0.38454684615135193</v>
      </c>
      <c r="AS34" s="108">
        <v>0.32032236456871033</v>
      </c>
      <c r="AT34" s="108">
        <v>0.25782626867294312</v>
      </c>
      <c r="AU34" s="108">
        <v>0.17562800645828247</v>
      </c>
      <c r="AV34" s="108">
        <v>0.57753503322601318</v>
      </c>
      <c r="AW34" s="108">
        <v>0.38071593642234802</v>
      </c>
      <c r="AX34" s="108">
        <v>0.1256815493106842</v>
      </c>
      <c r="AY34" s="108">
        <v>0.41569787263870239</v>
      </c>
      <c r="AZ34" s="108">
        <v>0.56453537940979004</v>
      </c>
      <c r="BA34" s="108">
        <v>0.42061531543731689</v>
      </c>
      <c r="BB34" s="108">
        <v>0.51465106010437012</v>
      </c>
      <c r="BC34" s="108">
        <v>0.25243750214576721</v>
      </c>
      <c r="BD34" s="108">
        <v>0.30236184597015381</v>
      </c>
      <c r="BE34" s="108">
        <v>0.17280308902263641</v>
      </c>
      <c r="BF34" s="108">
        <v>0.27255687117576599</v>
      </c>
      <c r="BG34" s="108">
        <v>0.38663160800933838</v>
      </c>
      <c r="BH34" s="108">
        <v>0.34709623456001282</v>
      </c>
      <c r="BI34" s="108">
        <v>0.35454964637756348</v>
      </c>
      <c r="BJ34" s="108">
        <v>0.51397550106048584</v>
      </c>
      <c r="BK34" s="108">
        <v>0.42451098561286926</v>
      </c>
      <c r="BL34" s="108">
        <v>0.20735903084278107</v>
      </c>
    </row>
    <row r="35" spans="1:64" x14ac:dyDescent="0.2">
      <c r="A35" t="s">
        <v>127</v>
      </c>
      <c r="B35" s="108">
        <v>0.76412314176559448</v>
      </c>
      <c r="C35" s="108">
        <v>0.63385075330734253</v>
      </c>
      <c r="D35" s="108">
        <v>0.53014963865280151</v>
      </c>
      <c r="E35" s="108">
        <v>0.61079490184783936</v>
      </c>
      <c r="F35" s="108">
        <v>0.76767683029174805</v>
      </c>
      <c r="G35" s="108">
        <v>0.62871247529983521</v>
      </c>
      <c r="H35" s="108">
        <v>0.56542927026748657</v>
      </c>
      <c r="I35" s="108">
        <v>0.71240806579589844</v>
      </c>
      <c r="J35" s="108">
        <v>0.53791558742523193</v>
      </c>
      <c r="K35" s="108">
        <v>0.63790750503540039</v>
      </c>
      <c r="L35" s="108">
        <v>0.66040593385696411</v>
      </c>
      <c r="M35" s="108">
        <v>0.5976027250289917</v>
      </c>
      <c r="N35" s="108">
        <v>0.73430001735687256</v>
      </c>
      <c r="O35" s="108">
        <v>0.48963293433189392</v>
      </c>
      <c r="P35" s="109"/>
      <c r="Q35" s="108">
        <v>0.79255831241607666</v>
      </c>
      <c r="R35" s="108">
        <v>0.64537256956100464</v>
      </c>
      <c r="S35" s="109">
        <v>0.63471734523773193</v>
      </c>
      <c r="T35" s="108">
        <v>0.73501116037368774</v>
      </c>
      <c r="U35" s="108">
        <v>0.69057506322860718</v>
      </c>
      <c r="V35" s="108">
        <v>0.66504192352294922</v>
      </c>
      <c r="W35" s="108">
        <v>0.45713379979133606</v>
      </c>
      <c r="X35" s="108">
        <v>0.66111785173416138</v>
      </c>
      <c r="Y35" s="108">
        <v>0.64317154884338379</v>
      </c>
      <c r="Z35" s="108">
        <v>0.4722115695476532</v>
      </c>
      <c r="AA35" s="108">
        <v>0.80495107173919678</v>
      </c>
      <c r="AB35" s="108">
        <v>0.89814722537994385</v>
      </c>
      <c r="AC35" s="108">
        <v>0.74163103103637695</v>
      </c>
      <c r="AD35" s="108">
        <v>0.57221388816833496</v>
      </c>
      <c r="AE35" s="108">
        <v>0.57085305452346802</v>
      </c>
      <c r="AF35" s="108">
        <v>0.7920716404914856</v>
      </c>
      <c r="AG35" s="108">
        <v>0.31251221895217896</v>
      </c>
      <c r="AH35" s="108">
        <v>0.44577828049659729</v>
      </c>
      <c r="AI35" s="108">
        <v>0.80119055509567261</v>
      </c>
      <c r="AJ35" s="108">
        <v>0.58322155475616455</v>
      </c>
      <c r="AK35" s="108">
        <v>0.50925010442733765</v>
      </c>
      <c r="AL35" s="108">
        <v>0.42654332518577576</v>
      </c>
      <c r="AM35" s="108">
        <v>0.75991177558898926</v>
      </c>
      <c r="AN35" s="108">
        <v>0.77486115694046021</v>
      </c>
      <c r="AO35" s="108">
        <v>0.77257740497589111</v>
      </c>
      <c r="AP35" s="108">
        <v>0.77641212940216064</v>
      </c>
      <c r="AQ35" s="108">
        <v>0.76376378536224365</v>
      </c>
      <c r="AR35" s="108">
        <v>0.62718659639358521</v>
      </c>
      <c r="AS35" s="108">
        <v>0.69739782810211182</v>
      </c>
      <c r="AT35" s="108">
        <v>0.55924922227859497</v>
      </c>
      <c r="AU35" s="108">
        <v>0.46933311223983765</v>
      </c>
      <c r="AV35" s="108">
        <v>0.77631193399429321</v>
      </c>
      <c r="AW35" s="108">
        <v>0.67240214347839355</v>
      </c>
      <c r="AX35" s="108">
        <v>0.31965619325637817</v>
      </c>
      <c r="AY35" s="108">
        <v>0.78977662324905396</v>
      </c>
      <c r="AZ35" s="108">
        <v>0.62695467472076416</v>
      </c>
      <c r="BA35" s="108">
        <v>0.67282688617706299</v>
      </c>
      <c r="BB35" s="108">
        <v>0.53620755672454834</v>
      </c>
      <c r="BC35" s="108">
        <v>0.41260418295860291</v>
      </c>
      <c r="BD35" s="108">
        <v>0.7778782844543457</v>
      </c>
      <c r="BE35" s="108">
        <v>0.67005693912506104</v>
      </c>
      <c r="BF35" s="108">
        <v>0.59205436706542969</v>
      </c>
      <c r="BG35" s="108">
        <v>0.34507742524147034</v>
      </c>
      <c r="BH35" s="108">
        <v>0.63937544822692871</v>
      </c>
      <c r="BI35" s="108">
        <v>0.4931829571723938</v>
      </c>
      <c r="BJ35" s="108">
        <v>0.60527998208999634</v>
      </c>
      <c r="BK35" s="108">
        <v>0.66216373443603516</v>
      </c>
      <c r="BL35" s="108">
        <v>0.47157269716262817</v>
      </c>
    </row>
    <row r="36" spans="1:64" x14ac:dyDescent="0.2">
      <c r="A36" t="s">
        <v>129</v>
      </c>
      <c r="B36" s="108">
        <v>0.62687480449676514</v>
      </c>
      <c r="C36" s="108">
        <v>0.40552830696105957</v>
      </c>
      <c r="D36" s="108">
        <v>0.46566915512084961</v>
      </c>
      <c r="E36" s="108">
        <v>0.44892945885658264</v>
      </c>
      <c r="F36" s="108">
        <v>0.62258970737457275</v>
      </c>
      <c r="G36" s="108">
        <v>0.41431924700737</v>
      </c>
      <c r="H36" s="108">
        <v>0.3549029529094696</v>
      </c>
      <c r="I36" s="108">
        <v>0.57713437080383301</v>
      </c>
      <c r="J36" s="108">
        <v>0.50744819641113281</v>
      </c>
      <c r="K36" s="108">
        <v>0.43012511730194092</v>
      </c>
      <c r="L36" s="108">
        <v>0.58758097887039185</v>
      </c>
      <c r="M36" s="108">
        <v>0.53696274757385254</v>
      </c>
      <c r="N36" s="108">
        <v>0.57640528678894043</v>
      </c>
      <c r="O36" s="108">
        <v>0.24481646716594696</v>
      </c>
      <c r="P36" s="109"/>
      <c r="Q36" s="108">
        <v>0.53925544023513794</v>
      </c>
      <c r="R36" s="108">
        <v>0.49413073062896729</v>
      </c>
      <c r="S36" s="109">
        <v>0.4351496696472168</v>
      </c>
      <c r="T36" s="108">
        <v>0.59832215309143066</v>
      </c>
      <c r="U36" s="108">
        <v>0.46163472533226013</v>
      </c>
      <c r="V36" s="108">
        <v>0.5989232063293457</v>
      </c>
      <c r="W36" s="108">
        <v>0.38930192589759827</v>
      </c>
      <c r="X36" s="108">
        <v>0.49059411883354187</v>
      </c>
      <c r="Y36" s="108">
        <v>0.48102319240570068</v>
      </c>
      <c r="Z36" s="108">
        <v>0.31840983033180237</v>
      </c>
      <c r="AA36" s="108">
        <v>0.72024977207183838</v>
      </c>
      <c r="AB36" s="108">
        <v>0.71051281690597534</v>
      </c>
      <c r="AC36" s="108">
        <v>0.61208808422088623</v>
      </c>
      <c r="AD36" s="108">
        <v>0.47746258974075317</v>
      </c>
      <c r="AE36" s="108">
        <v>0.41897237300872803</v>
      </c>
      <c r="AF36" s="108">
        <v>0.55115091800689697</v>
      </c>
      <c r="AG36" s="108">
        <v>0.14545682072639465</v>
      </c>
      <c r="AH36" s="108">
        <v>0.18519404530525208</v>
      </c>
      <c r="AI36" s="108">
        <v>0.4176369309425354</v>
      </c>
      <c r="AJ36" s="108">
        <v>0.49168086051940918</v>
      </c>
      <c r="AK36" s="108">
        <v>0.27990102767944336</v>
      </c>
      <c r="AL36" s="108">
        <v>0.31469133496284485</v>
      </c>
      <c r="AM36" s="108">
        <v>0.74455791711807251</v>
      </c>
      <c r="AN36" s="108">
        <v>0.69530695676803589</v>
      </c>
      <c r="AO36" s="108">
        <v>0.60154628753662109</v>
      </c>
      <c r="AP36" s="108">
        <v>0.49734199047088623</v>
      </c>
      <c r="AQ36" s="108">
        <v>0.70852679014205933</v>
      </c>
      <c r="AR36" s="108">
        <v>0.4896259605884552</v>
      </c>
      <c r="AS36" s="108">
        <v>0.51121467351913452</v>
      </c>
      <c r="AT36" s="108">
        <v>0.36494103074073792</v>
      </c>
      <c r="AU36" s="108">
        <v>0.30784487724304199</v>
      </c>
      <c r="AV36" s="108">
        <v>0.54714900255203247</v>
      </c>
      <c r="AW36" s="108">
        <v>0.50173163414001465</v>
      </c>
      <c r="AX36" s="108">
        <v>0.24863691627979279</v>
      </c>
      <c r="AY36" s="108">
        <v>0.62933725118637085</v>
      </c>
      <c r="AZ36" s="108">
        <v>0.51442807912826538</v>
      </c>
      <c r="BA36" s="108">
        <v>0.56767308712005615</v>
      </c>
      <c r="BB36" s="108">
        <v>0.46379247307777405</v>
      </c>
      <c r="BC36" s="108">
        <v>0.33495834469795227</v>
      </c>
      <c r="BD36" s="108">
        <v>0.48407518863677979</v>
      </c>
      <c r="BE36" s="108">
        <v>0.44670462608337402</v>
      </c>
      <c r="BF36" s="108">
        <v>0.29421812295913696</v>
      </c>
      <c r="BG36" s="108">
        <v>0.38030967116355896</v>
      </c>
      <c r="BH36" s="108">
        <v>0.50111168622970581</v>
      </c>
      <c r="BI36" s="108">
        <v>0.36818373203277588</v>
      </c>
      <c r="BJ36" s="108">
        <v>0.42267102003097534</v>
      </c>
      <c r="BK36" s="108">
        <v>0.35275056958198547</v>
      </c>
      <c r="BL36" s="108">
        <v>0.32255849242210388</v>
      </c>
    </row>
    <row r="37" spans="1:64" x14ac:dyDescent="0.2">
      <c r="A37" t="s">
        <v>117</v>
      </c>
      <c r="B37" s="108">
        <v>0.12670376896858215</v>
      </c>
      <c r="C37" s="108">
        <v>0</v>
      </c>
      <c r="D37" s="108">
        <v>0.46187397837638855</v>
      </c>
      <c r="E37" s="108">
        <v>0.50825875997543335</v>
      </c>
      <c r="F37" s="108">
        <v>6.1151262372732162E-2</v>
      </c>
      <c r="G37" s="108">
        <v>0.16582493484020233</v>
      </c>
      <c r="H37" s="108">
        <v>0.35266232490539551</v>
      </c>
      <c r="I37" s="108">
        <v>0.3936973512172699</v>
      </c>
      <c r="J37" s="108">
        <v>0.27396309375762939</v>
      </c>
      <c r="K37" s="108">
        <v>0.25693172216415405</v>
      </c>
      <c r="L37" s="108">
        <v>0.1860787570476532</v>
      </c>
      <c r="M37" s="108">
        <v>0.12974941730499268</v>
      </c>
      <c r="N37" s="108">
        <v>2.6604022830724716E-2</v>
      </c>
      <c r="O37" s="108">
        <v>1.9271122291684151E-2</v>
      </c>
      <c r="P37" s="109"/>
      <c r="Q37" s="108">
        <v>0</v>
      </c>
      <c r="R37" s="108">
        <v>0.54113763570785522</v>
      </c>
      <c r="S37" s="109">
        <v>0.56169265508651733</v>
      </c>
      <c r="T37" s="108">
        <v>0.81570172309875488</v>
      </c>
      <c r="U37" s="108">
        <v>4.982072114944458E-2</v>
      </c>
      <c r="V37" s="108">
        <v>0.6486583948135376</v>
      </c>
      <c r="W37" s="108">
        <v>0.51124125719070435</v>
      </c>
      <c r="X37" s="108">
        <v>0.25995516777038574</v>
      </c>
      <c r="Y37" s="108">
        <v>0.26049494743347168</v>
      </c>
      <c r="Z37" s="108">
        <v>0.1666666716337204</v>
      </c>
      <c r="AA37" s="108">
        <v>0.28919407725334167</v>
      </c>
      <c r="AB37" s="108">
        <v>0.27694264054298401</v>
      </c>
      <c r="AC37" s="108">
        <v>0.53087788820266724</v>
      </c>
      <c r="AD37" s="108">
        <v>0.53433531522750854</v>
      </c>
      <c r="AE37" s="108">
        <v>0.55669450759887695</v>
      </c>
      <c r="AF37" s="108">
        <v>0.61123472452163696</v>
      </c>
      <c r="AG37" s="108">
        <v>4.8518616706132889E-2</v>
      </c>
      <c r="AH37" s="108">
        <v>0.47954723238945007</v>
      </c>
      <c r="AI37" s="108">
        <v>0.31866079568862915</v>
      </c>
      <c r="AJ37" s="108">
        <v>0.77348864078521729</v>
      </c>
      <c r="AK37" s="108">
        <v>0.5</v>
      </c>
      <c r="AL37" s="108">
        <v>0.25959718227386475</v>
      </c>
      <c r="AM37" s="108">
        <v>0.61161404848098755</v>
      </c>
      <c r="AN37" s="108">
        <v>0.66666668653488159</v>
      </c>
      <c r="AO37" s="108">
        <v>0.23118950426578522</v>
      </c>
      <c r="AP37" s="108">
        <v>0.15467800199985504</v>
      </c>
      <c r="AQ37" s="108">
        <v>0.16859249770641327</v>
      </c>
      <c r="AR37" s="108">
        <v>0.51309847831726074</v>
      </c>
      <c r="AS37" s="108">
        <v>0.32592839002609253</v>
      </c>
      <c r="AT37" s="108">
        <v>8.2240030169487E-2</v>
      </c>
      <c r="AU37" s="108">
        <v>0.18560776114463806</v>
      </c>
      <c r="AV37" s="108">
        <v>0.52309566736221313</v>
      </c>
      <c r="AW37" s="108">
        <v>0.3649027943611145</v>
      </c>
      <c r="AX37" s="108">
        <v>0.63157892227172852</v>
      </c>
      <c r="AY37" s="108">
        <v>0.13379012048244476</v>
      </c>
      <c r="AZ37" s="108">
        <v>0.5</v>
      </c>
      <c r="BA37" s="108">
        <v>0.93088150024414063</v>
      </c>
      <c r="BB37" s="108">
        <v>0.94923436641693115</v>
      </c>
      <c r="BC37" s="108">
        <v>0.92275327444076538</v>
      </c>
      <c r="BD37" s="108">
        <v>0.76578575372695923</v>
      </c>
      <c r="BE37" s="108">
        <v>0</v>
      </c>
      <c r="BF37" s="108">
        <v>0.69999998807907104</v>
      </c>
      <c r="BG37" s="108">
        <v>1</v>
      </c>
      <c r="BH37" s="108">
        <v>0.93595582246780396</v>
      </c>
      <c r="BI37" s="108">
        <v>0.96325069665908813</v>
      </c>
      <c r="BJ37" s="108">
        <v>0.75</v>
      </c>
      <c r="BK37" s="108">
        <v>0.95898789167404175</v>
      </c>
      <c r="BL37" s="108"/>
    </row>
    <row r="38" spans="1:64" x14ac:dyDescent="0.2">
      <c r="A38" t="s">
        <v>119</v>
      </c>
      <c r="B38" s="108">
        <v>0.93147224187850952</v>
      </c>
      <c r="C38" s="108">
        <v>0.90700805187225342</v>
      </c>
      <c r="D38" s="108">
        <v>0.9366614818572998</v>
      </c>
      <c r="E38" s="108">
        <v>0.95609456300735474</v>
      </c>
      <c r="F38" s="108">
        <v>0.92485576868057251</v>
      </c>
      <c r="G38" s="108">
        <v>0.86346548795700073</v>
      </c>
      <c r="H38" s="108">
        <v>0.96581995487213135</v>
      </c>
      <c r="I38" s="108">
        <v>0.8906092643737793</v>
      </c>
      <c r="J38" s="108">
        <v>0.93778008222579956</v>
      </c>
      <c r="K38" s="108">
        <v>0.95440113544464111</v>
      </c>
      <c r="L38" s="108">
        <v>0.93309974670410156</v>
      </c>
      <c r="M38" s="108">
        <v>0.95932996273040771</v>
      </c>
      <c r="N38" s="108">
        <v>0.90152513980865479</v>
      </c>
      <c r="O38" s="108">
        <v>0.89455032348632813</v>
      </c>
      <c r="P38" s="109"/>
      <c r="Q38" s="108">
        <v>0.93022966384887695</v>
      </c>
      <c r="R38" s="108">
        <v>0.92553287744522095</v>
      </c>
      <c r="S38" s="109">
        <v>0.9697721004486084</v>
      </c>
      <c r="T38" s="108">
        <v>0.89889156818389893</v>
      </c>
      <c r="U38" s="108">
        <v>0.99936103820800781</v>
      </c>
      <c r="V38" s="108">
        <v>0.94532233476638794</v>
      </c>
      <c r="W38" s="108">
        <v>0.95167797803878784</v>
      </c>
      <c r="X38" s="108">
        <v>0.97169804573059082</v>
      </c>
      <c r="Y38" s="108">
        <v>0.9320717453956604</v>
      </c>
      <c r="Z38" s="108">
        <v>0.87921977043151855</v>
      </c>
      <c r="AA38" s="108">
        <v>0.97074025869369507</v>
      </c>
      <c r="AB38" s="108">
        <v>0.95771831274032593</v>
      </c>
      <c r="AC38" s="108">
        <v>0.93915408849716187</v>
      </c>
      <c r="AD38" s="108">
        <v>0.89879441261291504</v>
      </c>
      <c r="AE38" s="108">
        <v>0.87711071968078613</v>
      </c>
      <c r="AF38" s="108">
        <v>0.93279826641082764</v>
      </c>
      <c r="AG38" s="108">
        <v>0.92487066984176636</v>
      </c>
      <c r="AH38" s="108">
        <v>0.90983164310455322</v>
      </c>
      <c r="AI38" s="108">
        <v>0.94956064224243164</v>
      </c>
      <c r="AJ38" s="108">
        <v>0.95079761743545532</v>
      </c>
      <c r="AK38" s="108">
        <v>0.9242546558380127</v>
      </c>
      <c r="AL38" s="108">
        <v>0.88047027587890625</v>
      </c>
      <c r="AM38" s="108">
        <v>0.89368730783462524</v>
      </c>
      <c r="AN38" s="108">
        <v>0.87323200702667236</v>
      </c>
      <c r="AO38" s="108">
        <v>0.94492954015731812</v>
      </c>
      <c r="AP38" s="108">
        <v>0.88087248802185059</v>
      </c>
      <c r="AQ38" s="108">
        <v>0.93882596492767334</v>
      </c>
      <c r="AR38" s="108">
        <v>0.95119178295135498</v>
      </c>
      <c r="AS38" s="108">
        <v>0.87038117647171021</v>
      </c>
      <c r="AT38" s="108">
        <v>0.83606034517288208</v>
      </c>
      <c r="AU38" s="108">
        <v>0.88684463500976563</v>
      </c>
      <c r="AV38" s="108">
        <v>0.91419243812561035</v>
      </c>
      <c r="AW38" s="108">
        <v>0.87724637985229492</v>
      </c>
      <c r="AX38" s="108">
        <v>0.89287543296813965</v>
      </c>
      <c r="AY38" s="108">
        <v>0.79101943969726563</v>
      </c>
      <c r="AZ38" s="108">
        <v>0.87748432159423828</v>
      </c>
      <c r="BA38" s="108">
        <v>0.93306148052215576</v>
      </c>
      <c r="BB38" s="108">
        <v>0.89752453565597534</v>
      </c>
      <c r="BC38" s="108">
        <v>0.90929031372070313</v>
      </c>
      <c r="BD38" s="108">
        <v>0.88111728429794312</v>
      </c>
      <c r="BE38" s="108">
        <v>0.86241298913955688</v>
      </c>
      <c r="BF38" s="108">
        <v>0.87384003400802612</v>
      </c>
      <c r="BG38" s="108">
        <v>0.90553218126296997</v>
      </c>
      <c r="BH38" s="108">
        <v>0.86998093128204346</v>
      </c>
      <c r="BI38" s="108">
        <v>0.89312982559204102</v>
      </c>
      <c r="BJ38" s="108">
        <v>0.9342387318611145</v>
      </c>
      <c r="BK38" s="108">
        <v>0.90663647651672363</v>
      </c>
      <c r="BL38" s="108">
        <v>0.92365860939025879</v>
      </c>
    </row>
    <row r="39" spans="1:64" x14ac:dyDescent="0.2">
      <c r="A39" t="s">
        <v>131</v>
      </c>
      <c r="B39" s="108">
        <v>0.37770262360572815</v>
      </c>
      <c r="C39" s="108">
        <v>0.26003006100654602</v>
      </c>
      <c r="D39" s="108">
        <v>0.28059014678001404</v>
      </c>
      <c r="E39" s="108">
        <v>0.28899994492530823</v>
      </c>
      <c r="F39" s="108">
        <v>0.41230505704879761</v>
      </c>
      <c r="G39" s="108">
        <v>0.33358848094940186</v>
      </c>
      <c r="H39" s="108">
        <v>0.28271463513374329</v>
      </c>
      <c r="I39" s="108">
        <v>0.33780229091644287</v>
      </c>
      <c r="J39" s="108">
        <v>0.27984672784805298</v>
      </c>
      <c r="K39" s="108">
        <v>0.33615127205848694</v>
      </c>
      <c r="L39" s="108">
        <v>0.30279764533042908</v>
      </c>
      <c r="M39" s="108">
        <v>0.32771015167236328</v>
      </c>
      <c r="N39" s="108">
        <v>0.4250386655330658</v>
      </c>
      <c r="O39" s="108">
        <v>0.13317321240901947</v>
      </c>
      <c r="P39" s="109"/>
      <c r="Q39" s="108">
        <v>0.380186527967453</v>
      </c>
      <c r="R39" s="108">
        <v>0.28683224320411682</v>
      </c>
      <c r="S39" s="109">
        <v>0.42380794882774353</v>
      </c>
      <c r="T39" s="108">
        <v>0.53836685419082642</v>
      </c>
      <c r="U39" s="108">
        <v>0.32957926392555237</v>
      </c>
      <c r="V39" s="108">
        <v>0.42624354362487793</v>
      </c>
      <c r="W39" s="108">
        <v>0.24641461670398712</v>
      </c>
      <c r="X39" s="108">
        <v>0.43077546358108521</v>
      </c>
      <c r="Y39" s="108">
        <v>0.26843997836112976</v>
      </c>
      <c r="Z39" s="108">
        <v>0.1624855250120163</v>
      </c>
      <c r="AA39" s="108">
        <v>0.52455818653106689</v>
      </c>
      <c r="AB39" s="108">
        <v>0.39133995771408081</v>
      </c>
      <c r="AC39" s="108">
        <v>0.44600760936737061</v>
      </c>
      <c r="AD39" s="108">
        <v>0.28849270939826965</v>
      </c>
      <c r="AE39" s="108">
        <v>0.32552596926689148</v>
      </c>
      <c r="AF39" s="108">
        <v>0.42161127924919128</v>
      </c>
      <c r="AG39" s="108">
        <v>0.1600823849439621</v>
      </c>
      <c r="AH39" s="108">
        <v>0.11281084269285202</v>
      </c>
      <c r="AI39" s="108">
        <v>0.32729288935661316</v>
      </c>
      <c r="AJ39" s="108">
        <v>0.19417357444763184</v>
      </c>
      <c r="AK39" s="108">
        <v>0.17015604674816132</v>
      </c>
      <c r="AL39" s="108">
        <v>0.11018499732017517</v>
      </c>
      <c r="AM39" s="108">
        <v>0.40340742468833923</v>
      </c>
      <c r="AN39" s="108">
        <v>0.6483691930770874</v>
      </c>
      <c r="AO39" s="108">
        <v>0.34463933110237122</v>
      </c>
      <c r="AP39" s="108">
        <v>0.37441840767860413</v>
      </c>
      <c r="AQ39" s="108">
        <v>0.55109661817550659</v>
      </c>
      <c r="AR39" s="108">
        <v>0.35157102346420288</v>
      </c>
      <c r="AS39" s="108">
        <v>0.16016118228435516</v>
      </c>
      <c r="AT39" s="108">
        <v>0.2606721818447113</v>
      </c>
      <c r="AU39" s="108">
        <v>0.21624800562858582</v>
      </c>
      <c r="AV39" s="108">
        <v>0.53587710857391357</v>
      </c>
      <c r="AW39" s="108">
        <v>0.38525488972663879</v>
      </c>
      <c r="AX39" s="108">
        <v>0.14299356937408447</v>
      </c>
      <c r="AY39" s="108">
        <v>0.2648845911026001</v>
      </c>
      <c r="AZ39" s="108">
        <v>0.48072290420532227</v>
      </c>
      <c r="BA39" s="108">
        <v>0.40213459730148315</v>
      </c>
      <c r="BB39" s="108">
        <v>0.31379860639572144</v>
      </c>
      <c r="BC39" s="108">
        <v>0.16991665959358215</v>
      </c>
      <c r="BD39" s="108">
        <v>0.29882299900054932</v>
      </c>
      <c r="BE39" s="108">
        <v>0.29780307412147522</v>
      </c>
      <c r="BF39" s="108">
        <v>0.31948560476303101</v>
      </c>
      <c r="BG39" s="108">
        <v>0.17253871262073517</v>
      </c>
      <c r="BH39" s="108">
        <v>0.35617077350616455</v>
      </c>
      <c r="BI39" s="108">
        <v>0.13636621832847595</v>
      </c>
      <c r="BJ39" s="108">
        <v>0.24006204307079315</v>
      </c>
      <c r="BK39" s="108">
        <v>0.38863077759742737</v>
      </c>
      <c r="BL39" s="108">
        <v>0.23039892315864563</v>
      </c>
    </row>
    <row r="40" spans="1:64" x14ac:dyDescent="0.2">
      <c r="A40" s="104" t="s">
        <v>133</v>
      </c>
      <c r="B40" s="110">
        <v>5.7769713401794434</v>
      </c>
      <c r="C40" s="110">
        <v>5.3071560859680176</v>
      </c>
      <c r="D40" s="110">
        <v>4.8963985443115234</v>
      </c>
      <c r="E40" s="110">
        <v>5.4914383888244629</v>
      </c>
      <c r="F40" s="110">
        <v>5.5072860717773438</v>
      </c>
      <c r="G40" s="110">
        <v>5.039914608001709</v>
      </c>
      <c r="H40" s="110">
        <v>5.1839385032653809</v>
      </c>
      <c r="I40" s="110">
        <v>5.3419909477233887</v>
      </c>
      <c r="J40" s="110">
        <v>5.0647258758544922</v>
      </c>
      <c r="K40" s="110">
        <v>5.3534016609191895</v>
      </c>
      <c r="L40" s="110">
        <v>5.1149568557739258</v>
      </c>
      <c r="M40" s="110">
        <v>5.4902997016906738</v>
      </c>
      <c r="N40" s="110">
        <v>5.3385686874389648</v>
      </c>
      <c r="O40" s="110">
        <v>6.3744926452636719</v>
      </c>
      <c r="P40" s="109"/>
      <c r="Q40" s="110">
        <v>5.7251114845275879</v>
      </c>
      <c r="R40" s="110">
        <v>5.5963525772094727</v>
      </c>
      <c r="S40" s="109"/>
      <c r="T40" s="110">
        <v>5.147216796875</v>
      </c>
      <c r="U40" s="110">
        <v>5.7387886047363281</v>
      </c>
      <c r="V40" s="110">
        <v>5.8100275993347168</v>
      </c>
      <c r="W40" s="110">
        <v>5.4620914459228516</v>
      </c>
      <c r="X40" s="110">
        <v>5.2896871566772461</v>
      </c>
      <c r="Y40" s="110">
        <v>5.3519110679626465</v>
      </c>
      <c r="Z40" s="110">
        <v>5.5233769416809082</v>
      </c>
      <c r="AA40" s="110">
        <v>5.9741015434265137</v>
      </c>
      <c r="AB40" s="110">
        <v>5.4372682571411133</v>
      </c>
      <c r="AC40" s="110">
        <v>5.5813655853271484</v>
      </c>
      <c r="AD40" s="110">
        <v>5.7066135406494141</v>
      </c>
      <c r="AE40" s="110">
        <v>5.2588515281677246</v>
      </c>
      <c r="AF40" s="110">
        <v>5.8476505279541016</v>
      </c>
      <c r="AG40" s="110">
        <v>4.912203311920166</v>
      </c>
      <c r="AH40" s="110">
        <v>5.1963419914245605</v>
      </c>
      <c r="AI40" s="110">
        <v>5.3759541511535645</v>
      </c>
      <c r="AJ40" s="110">
        <v>5.0405497550964355</v>
      </c>
      <c r="AK40" s="110">
        <v>4.9806122779846191</v>
      </c>
      <c r="AL40" s="110">
        <v>5.4958148002624512</v>
      </c>
      <c r="AM40" s="110">
        <v>5.8627214431762695</v>
      </c>
      <c r="AN40" s="110">
        <v>5.9622197151184082</v>
      </c>
      <c r="AO40" s="110">
        <v>4.6563315391540527</v>
      </c>
      <c r="AP40" s="110">
        <v>5.0327177047729492</v>
      </c>
      <c r="AQ40" s="110">
        <v>4.8388986587524414</v>
      </c>
      <c r="AR40" s="110">
        <v>4.8707852363586426</v>
      </c>
      <c r="AS40" s="110">
        <v>4.9341349601745605</v>
      </c>
      <c r="AT40" s="110">
        <v>5.1443405151367188</v>
      </c>
      <c r="AU40" s="110">
        <v>4.5563497543334961</v>
      </c>
      <c r="AV40" s="110">
        <v>6.2098550796508789</v>
      </c>
      <c r="AW40" s="110">
        <v>4.9619207382202148</v>
      </c>
      <c r="AX40" s="110">
        <v>5.183502197265625</v>
      </c>
      <c r="AY40" s="110">
        <v>4.866114616394043</v>
      </c>
      <c r="AZ40" s="110">
        <v>4.7437758445739746</v>
      </c>
      <c r="BA40" s="110">
        <v>4.4102158546447754</v>
      </c>
      <c r="BB40" s="110">
        <v>4.7946405410766602</v>
      </c>
      <c r="BC40" s="110">
        <v>4.838111400604248</v>
      </c>
      <c r="BD40" s="110">
        <v>5.131014347076416</v>
      </c>
      <c r="BE40" s="110">
        <v>4.6019926071166992</v>
      </c>
      <c r="BF40" s="110">
        <v>4.5968947410583496</v>
      </c>
      <c r="BG40" s="110">
        <v>4.7571344375610352</v>
      </c>
      <c r="BH40" s="110">
        <v>4.7551465034484863</v>
      </c>
      <c r="BI40" s="110">
        <v>5.1033744812011719</v>
      </c>
      <c r="BJ40" s="110">
        <v>5.088402271270752</v>
      </c>
      <c r="BK40" s="110">
        <v>5.743767261505127</v>
      </c>
      <c r="BL40" s="110">
        <v>5.1472244262695313</v>
      </c>
    </row>
    <row r="41" spans="1:64" x14ac:dyDescent="0.2">
      <c r="A41" t="s">
        <v>520</v>
      </c>
      <c r="B41" s="108">
        <v>2.0067121367901564E-3</v>
      </c>
      <c r="C41" s="108">
        <v>1.1732960119843483E-2</v>
      </c>
      <c r="D41" s="108">
        <v>6.1210556887090206E-3</v>
      </c>
      <c r="E41" s="108">
        <v>1.6922404989600182E-2</v>
      </c>
      <c r="F41" s="108">
        <v>3.6459453403949738E-3</v>
      </c>
      <c r="G41" s="108">
        <v>3.5630609840154648E-2</v>
      </c>
      <c r="H41" s="108">
        <v>0.13151790201663971</v>
      </c>
      <c r="I41" s="108">
        <v>1.9529193639755249E-2</v>
      </c>
      <c r="J41" s="108">
        <v>6.5631285309791565E-2</v>
      </c>
      <c r="K41" s="108">
        <v>7.7337518334388733E-2</v>
      </c>
      <c r="L41" s="108">
        <v>5.8760093525052071E-3</v>
      </c>
      <c r="M41" s="108">
        <v>6.1318883672356606E-3</v>
      </c>
      <c r="N41" s="108">
        <v>3.5380959510803223E-2</v>
      </c>
      <c r="O41" s="108">
        <v>4.0080539882183075E-2</v>
      </c>
      <c r="P41" s="109"/>
      <c r="Q41" s="108">
        <v>2.6595261879265308E-3</v>
      </c>
      <c r="R41" s="108">
        <v>4.5701149851083755E-2</v>
      </c>
      <c r="S41" s="109"/>
      <c r="T41" s="108">
        <v>5.3265605121850967E-2</v>
      </c>
      <c r="U41" s="108">
        <v>1.111344201490283E-3</v>
      </c>
      <c r="V41" s="108">
        <v>3.7741262931376696E-3</v>
      </c>
      <c r="W41" s="108">
        <v>2.212093211710453E-3</v>
      </c>
      <c r="X41" s="108">
        <v>1.4609506353735924E-2</v>
      </c>
      <c r="Y41" s="108">
        <v>3.1675815116614103E-3</v>
      </c>
      <c r="Z41" s="108">
        <v>3.733106330037117E-2</v>
      </c>
      <c r="AA41" s="108">
        <v>3.7423567846417427E-3</v>
      </c>
      <c r="AB41" s="108">
        <v>1.0627156589180231E-3</v>
      </c>
      <c r="AC41" s="108">
        <v>1.9220860674977303E-2</v>
      </c>
      <c r="AD41" s="108">
        <v>2.8442768380045891E-3</v>
      </c>
      <c r="AE41" s="108">
        <v>2.7041716501116753E-2</v>
      </c>
      <c r="AF41" s="108">
        <v>4.0194634348154068E-3</v>
      </c>
      <c r="AG41" s="108">
        <v>3.5402304492890835E-3</v>
      </c>
      <c r="AH41" s="108">
        <v>8.7793119018897414E-4</v>
      </c>
      <c r="AI41" s="108">
        <v>1.9399750744923949E-3</v>
      </c>
      <c r="AJ41" s="108">
        <v>1.1855442076921463E-2</v>
      </c>
      <c r="AK41" s="108">
        <v>1.8362164497375488E-2</v>
      </c>
      <c r="AL41" s="108">
        <v>1.439683698117733E-2</v>
      </c>
      <c r="AM41" s="108">
        <v>9.6487365663051605E-2</v>
      </c>
      <c r="AN41" s="108">
        <v>0.20393602550029755</v>
      </c>
      <c r="AO41" s="108">
        <v>2.1747816354036331E-2</v>
      </c>
      <c r="AP41" s="108">
        <v>6.2563321553170681E-3</v>
      </c>
      <c r="AQ41" s="108">
        <v>5.0193421542644501E-2</v>
      </c>
      <c r="AR41" s="108">
        <v>3.320302814245224E-2</v>
      </c>
      <c r="AS41" s="108">
        <v>2.2433524951338768E-2</v>
      </c>
      <c r="AT41" s="108">
        <v>3.4915510565042496E-2</v>
      </c>
      <c r="AU41" s="108">
        <v>5.8888597413897514E-3</v>
      </c>
      <c r="AV41" s="108">
        <v>7.287934422492981E-2</v>
      </c>
      <c r="AW41" s="108">
        <v>6.4423768781125546E-3</v>
      </c>
      <c r="AX41" s="108">
        <v>1.9951639696955681E-2</v>
      </c>
      <c r="AY41" s="108">
        <v>1.104887668043375E-2</v>
      </c>
      <c r="AZ41" s="108">
        <v>9.4645313220098615E-4</v>
      </c>
      <c r="BA41" s="108">
        <v>4.4307287782430649E-2</v>
      </c>
      <c r="BB41" s="108">
        <v>8.9486546814441681E-2</v>
      </c>
      <c r="BC41" s="108">
        <v>8.0124605447053909E-3</v>
      </c>
      <c r="BD41" s="108">
        <v>1.1039595119655132E-2</v>
      </c>
      <c r="BE41" s="108">
        <v>1.9459627568721771E-2</v>
      </c>
      <c r="BF41" s="108">
        <v>8.4372637793421745E-3</v>
      </c>
      <c r="BG41" s="108">
        <v>1.1168406344950199E-3</v>
      </c>
      <c r="BH41" s="108">
        <v>1.5095663256943226E-3</v>
      </c>
      <c r="BI41" s="108">
        <v>1.6448570415377617E-2</v>
      </c>
      <c r="BJ41" s="108"/>
      <c r="BK41" s="108"/>
      <c r="BL41" s="108"/>
    </row>
    <row r="42" spans="1:64" x14ac:dyDescent="0.2">
      <c r="A42" t="s">
        <v>521</v>
      </c>
      <c r="B42" s="108">
        <v>1102</v>
      </c>
      <c r="C42" s="108">
        <v>193</v>
      </c>
      <c r="D42" s="108">
        <v>192</v>
      </c>
      <c r="E42" s="108">
        <v>195</v>
      </c>
      <c r="F42" s="108">
        <v>194</v>
      </c>
      <c r="G42" s="108">
        <v>197</v>
      </c>
      <c r="H42" s="108">
        <v>192</v>
      </c>
      <c r="I42" s="108">
        <v>294</v>
      </c>
      <c r="J42" s="108">
        <v>192</v>
      </c>
      <c r="K42" s="108">
        <v>193</v>
      </c>
      <c r="L42" s="108">
        <v>195</v>
      </c>
      <c r="M42" s="108">
        <v>300</v>
      </c>
      <c r="N42" s="108">
        <v>192</v>
      </c>
      <c r="O42" s="108">
        <v>203</v>
      </c>
      <c r="P42" s="109"/>
      <c r="Q42" s="108">
        <v>192</v>
      </c>
      <c r="R42" s="108">
        <v>199</v>
      </c>
      <c r="S42" s="109"/>
      <c r="T42" s="108">
        <v>198</v>
      </c>
      <c r="U42" s="108">
        <v>200</v>
      </c>
      <c r="V42" s="108">
        <v>192</v>
      </c>
      <c r="W42" s="108">
        <v>194</v>
      </c>
      <c r="X42" s="108">
        <v>197</v>
      </c>
      <c r="Y42" s="108">
        <v>192</v>
      </c>
      <c r="Z42" s="108">
        <v>192</v>
      </c>
      <c r="AA42" s="108">
        <v>395</v>
      </c>
      <c r="AB42" s="108">
        <v>391</v>
      </c>
      <c r="AC42" s="108">
        <v>192</v>
      </c>
      <c r="AD42" s="108">
        <v>196</v>
      </c>
      <c r="AE42" s="108">
        <v>192</v>
      </c>
      <c r="AF42" s="108">
        <v>197</v>
      </c>
      <c r="AG42" s="108">
        <v>300</v>
      </c>
      <c r="AH42" s="108">
        <v>206</v>
      </c>
      <c r="AI42" s="108">
        <v>201</v>
      </c>
      <c r="AJ42" s="108">
        <v>193</v>
      </c>
      <c r="AK42" s="108">
        <v>192</v>
      </c>
      <c r="AL42" s="108">
        <v>192</v>
      </c>
      <c r="AM42" s="108">
        <v>200</v>
      </c>
      <c r="AN42" s="108">
        <v>192</v>
      </c>
      <c r="AO42" s="108">
        <v>200</v>
      </c>
      <c r="AP42" s="108">
        <v>192</v>
      </c>
      <c r="AQ42" s="108">
        <v>204</v>
      </c>
      <c r="AR42" s="108">
        <v>295</v>
      </c>
      <c r="AS42" s="108">
        <v>197</v>
      </c>
      <c r="AT42" s="108">
        <v>194</v>
      </c>
      <c r="AU42" s="108">
        <v>194</v>
      </c>
      <c r="AV42" s="108">
        <v>319</v>
      </c>
      <c r="AW42" s="108">
        <v>593</v>
      </c>
      <c r="AX42" s="108">
        <v>428</v>
      </c>
      <c r="AY42" s="108">
        <v>1024</v>
      </c>
      <c r="AZ42" s="108">
        <v>289</v>
      </c>
      <c r="BA42" s="108">
        <v>194</v>
      </c>
      <c r="BB42" s="108">
        <v>195</v>
      </c>
      <c r="BC42" s="108">
        <v>192</v>
      </c>
      <c r="BD42" s="108">
        <v>202</v>
      </c>
      <c r="BE42" s="108">
        <v>192</v>
      </c>
      <c r="BF42" s="108">
        <v>390</v>
      </c>
      <c r="BG42" s="108">
        <v>198</v>
      </c>
      <c r="BH42" s="108">
        <v>313</v>
      </c>
      <c r="BI42" s="108">
        <v>196</v>
      </c>
      <c r="BJ42" s="108">
        <v>194</v>
      </c>
      <c r="BK42" s="108">
        <v>197</v>
      </c>
      <c r="BL42" s="108">
        <v>193</v>
      </c>
    </row>
    <row r="43" spans="1:64" x14ac:dyDescent="0.2">
      <c r="A43" t="s">
        <v>135</v>
      </c>
      <c r="B43" s="108">
        <v>0.8727957010269165</v>
      </c>
      <c r="C43" s="108">
        <v>0.92699921131134033</v>
      </c>
      <c r="D43" s="108">
        <v>0.73031419515609741</v>
      </c>
      <c r="E43" s="108">
        <v>0.93221569061279297</v>
      </c>
      <c r="F43" s="108">
        <v>0.8180692195892334</v>
      </c>
      <c r="G43" s="108">
        <v>0.80895936489105225</v>
      </c>
      <c r="H43" s="108">
        <v>0.78549027442932129</v>
      </c>
      <c r="I43" s="108">
        <v>0.88567578792572021</v>
      </c>
      <c r="J43" s="108">
        <v>0.77180469036102295</v>
      </c>
      <c r="K43" s="108">
        <v>0.79502147436141968</v>
      </c>
      <c r="L43" s="108">
        <v>0.80157667398452759</v>
      </c>
      <c r="M43" s="108">
        <v>0.89948022365570068</v>
      </c>
      <c r="N43" s="108">
        <v>0.83443063497543335</v>
      </c>
      <c r="O43" s="108">
        <v>0.94561749696731567</v>
      </c>
      <c r="P43" s="109"/>
      <c r="Q43" s="108">
        <v>0.8064340353012085</v>
      </c>
      <c r="R43" s="108">
        <v>0.85454607009887695</v>
      </c>
      <c r="S43" s="109"/>
      <c r="T43" s="108">
        <v>0.75779163837432861</v>
      </c>
      <c r="U43" s="108">
        <v>0.7420271635055542</v>
      </c>
      <c r="V43" s="108">
        <v>0.89758491516113281</v>
      </c>
      <c r="W43" s="108">
        <v>0.76763838529586792</v>
      </c>
      <c r="X43" s="108">
        <v>0.7928917407989502</v>
      </c>
      <c r="Y43" s="108">
        <v>0.7740136981010437</v>
      </c>
      <c r="Z43" s="108">
        <v>0.77235257625579834</v>
      </c>
      <c r="AA43" s="108">
        <v>0.8433995246887207</v>
      </c>
      <c r="AB43" s="108">
        <v>0.75194424390792847</v>
      </c>
      <c r="AC43" s="108">
        <v>0.81647878885269165</v>
      </c>
      <c r="AD43" s="108">
        <v>0.83684384822845459</v>
      </c>
      <c r="AE43" s="108">
        <v>0.80951720476150513</v>
      </c>
      <c r="AF43" s="108">
        <v>0.97045397758483887</v>
      </c>
      <c r="AG43" s="108">
        <v>0.74681395292282104</v>
      </c>
      <c r="AH43" s="108">
        <v>0.73497998714447021</v>
      </c>
      <c r="AI43" s="108">
        <v>0.92795580625534058</v>
      </c>
      <c r="AJ43" s="108">
        <v>0.74205607175827026</v>
      </c>
      <c r="AK43" s="108">
        <v>0.75996941328048706</v>
      </c>
      <c r="AL43" s="108">
        <v>0.92139661312103271</v>
      </c>
      <c r="AM43" s="108">
        <v>0.93892568349838257</v>
      </c>
      <c r="AN43" s="108">
        <v>0.8404393196105957</v>
      </c>
      <c r="AO43" s="108">
        <v>0.77401328086853027</v>
      </c>
      <c r="AP43" s="108">
        <v>0.81031471490859985</v>
      </c>
      <c r="AQ43" s="108">
        <v>0.73959118127822876</v>
      </c>
      <c r="AR43" s="108">
        <v>0.81485021114349365</v>
      </c>
      <c r="AS43" s="108">
        <v>0.81678825616836548</v>
      </c>
      <c r="AT43" s="108">
        <v>0.80851066112518311</v>
      </c>
      <c r="AU43" s="108">
        <v>0.74069052934646606</v>
      </c>
      <c r="AV43" s="108">
        <v>0.86316591501235962</v>
      </c>
      <c r="AW43" s="108">
        <v>0.83008652925491333</v>
      </c>
      <c r="AX43" s="108">
        <v>0.78049427270889282</v>
      </c>
      <c r="AY43" s="108">
        <v>0.75671881437301636</v>
      </c>
      <c r="AZ43" s="108">
        <v>0.71475905179977417</v>
      </c>
      <c r="BA43" s="108">
        <v>0.71881592273712158</v>
      </c>
      <c r="BB43" s="108">
        <v>0.71139132976531982</v>
      </c>
      <c r="BC43" s="108">
        <v>0.73499596118927002</v>
      </c>
      <c r="BD43" s="108">
        <v>0.80467385053634644</v>
      </c>
      <c r="BE43" s="108">
        <v>0.73715341091156006</v>
      </c>
      <c r="BF43" s="108">
        <v>0.74938225746154785</v>
      </c>
      <c r="BG43" s="108">
        <v>0.69352293014526367</v>
      </c>
      <c r="BH43" s="108">
        <v>0.71482580900192261</v>
      </c>
      <c r="BI43" s="108">
        <v>0.81039136648178101</v>
      </c>
      <c r="BJ43" s="108">
        <v>0.74846237897872925</v>
      </c>
      <c r="BK43" s="108">
        <v>0.87070471048355103</v>
      </c>
      <c r="BL43" s="108">
        <v>0.818206787109375</v>
      </c>
    </row>
    <row r="44" spans="1:64" x14ac:dyDescent="0.2">
      <c r="A44" t="s">
        <v>149</v>
      </c>
      <c r="B44" s="108">
        <v>1.9289195537567139</v>
      </c>
      <c r="C44" s="108">
        <v>1.7282161712646484</v>
      </c>
      <c r="D44" s="108">
        <v>1.7122195959091187</v>
      </c>
      <c r="E44" s="108">
        <v>1.8995425701141357</v>
      </c>
      <c r="F44" s="108">
        <v>1.9677878618240356</v>
      </c>
      <c r="G44" s="108">
        <v>1.5961205959320068</v>
      </c>
      <c r="H44" s="108">
        <v>1.6293138265609741</v>
      </c>
      <c r="I44" s="108">
        <v>1.7447216510772705</v>
      </c>
      <c r="J44" s="108">
        <v>1.6721282005310059</v>
      </c>
      <c r="K44" s="108">
        <v>1.7115093469619751</v>
      </c>
      <c r="L44" s="108">
        <v>1.6753304004669189</v>
      </c>
      <c r="M44" s="108">
        <v>1.7506120204925537</v>
      </c>
      <c r="N44" s="108">
        <v>1.8262614011764526</v>
      </c>
      <c r="O44" s="108">
        <v>2.2533493041992188</v>
      </c>
      <c r="P44" s="109"/>
      <c r="Q44" s="108">
        <v>2.1071267127990723</v>
      </c>
      <c r="R44" s="108">
        <v>1.879887580871582</v>
      </c>
      <c r="S44" s="109"/>
      <c r="T44" s="108">
        <v>1.6584974527359009</v>
      </c>
      <c r="U44" s="108">
        <v>1.9804574251174927</v>
      </c>
      <c r="V44" s="108">
        <v>1.9071494340896606</v>
      </c>
      <c r="W44" s="108">
        <v>1.8374212980270386</v>
      </c>
      <c r="X44" s="108">
        <v>1.7699528932571411</v>
      </c>
      <c r="Y44" s="108">
        <v>1.814831018447876</v>
      </c>
      <c r="Z44" s="108">
        <v>1.8396120071411133</v>
      </c>
      <c r="AA44" s="108">
        <v>2.0367608070373535</v>
      </c>
      <c r="AB44" s="108">
        <v>1.8774073123931885</v>
      </c>
      <c r="AC44" s="108">
        <v>1.8572221994400024</v>
      </c>
      <c r="AD44" s="108">
        <v>1.9926398992538452</v>
      </c>
      <c r="AE44" s="108">
        <v>1.538793683052063</v>
      </c>
      <c r="AF44" s="108">
        <v>1.8875986337661743</v>
      </c>
      <c r="AG44" s="108">
        <v>1.4291903972625732</v>
      </c>
      <c r="AH44" s="108">
        <v>1.6690384149551392</v>
      </c>
      <c r="AI44" s="108">
        <v>1.7741682529449463</v>
      </c>
      <c r="AJ44" s="108">
        <v>1.6025313138961792</v>
      </c>
      <c r="AK44" s="108">
        <v>1.5124163627624512</v>
      </c>
      <c r="AL44" s="108">
        <v>1.6160967350006104</v>
      </c>
      <c r="AM44" s="108">
        <v>1.8114742040634155</v>
      </c>
      <c r="AN44" s="108">
        <v>1.7996869087219238</v>
      </c>
      <c r="AO44" s="108">
        <v>1.4328820705413818</v>
      </c>
      <c r="AP44" s="108">
        <v>1.611682653427124</v>
      </c>
      <c r="AQ44" s="108">
        <v>1.5768834352493286</v>
      </c>
      <c r="AR44" s="108">
        <v>1.5245698690414429</v>
      </c>
      <c r="AS44" s="108">
        <v>1.5655926465988159</v>
      </c>
      <c r="AT44" s="108">
        <v>1.6117866039276123</v>
      </c>
      <c r="AU44" s="108">
        <v>1.4115160703659058</v>
      </c>
      <c r="AV44" s="108">
        <v>2.0255341529846191</v>
      </c>
      <c r="AW44" s="108">
        <v>1.4800055027008057</v>
      </c>
      <c r="AX44" s="108">
        <v>1.6995698213577271</v>
      </c>
      <c r="AY44" s="108">
        <v>1.4676216840744019</v>
      </c>
      <c r="AZ44" s="108">
        <v>1.3722075223922729</v>
      </c>
      <c r="BA44" s="108">
        <v>1.203824520111084</v>
      </c>
      <c r="BB44" s="108">
        <v>1.5490913391113281</v>
      </c>
      <c r="BC44" s="108">
        <v>1.4121886491775513</v>
      </c>
      <c r="BD44" s="108">
        <v>1.4943331480026245</v>
      </c>
      <c r="BE44" s="108">
        <v>1.3501948118209839</v>
      </c>
      <c r="BF44" s="108">
        <v>1.3813599348068237</v>
      </c>
      <c r="BG44" s="108">
        <v>1.428419828414917</v>
      </c>
      <c r="BH44" s="108">
        <v>1.4217072725296021</v>
      </c>
      <c r="BI44" s="108">
        <v>1.6386921405792236</v>
      </c>
      <c r="BJ44" s="108">
        <v>1.5907598733901978</v>
      </c>
      <c r="BK44" s="108">
        <v>1.8420041799545288</v>
      </c>
      <c r="BL44" s="108">
        <v>1.5611172914505005</v>
      </c>
    </row>
    <row r="45" spans="1:64" x14ac:dyDescent="0.2">
      <c r="A45" t="s">
        <v>157</v>
      </c>
      <c r="B45" s="108">
        <v>1.6344366073608398</v>
      </c>
      <c r="C45" s="108">
        <v>1.387966513633728</v>
      </c>
      <c r="D45" s="108">
        <v>1.2900136709213257</v>
      </c>
      <c r="E45" s="108">
        <v>1.4218885898590088</v>
      </c>
      <c r="F45" s="108">
        <v>1.4131902456283569</v>
      </c>
      <c r="G45" s="108">
        <v>1.5216680765151978</v>
      </c>
      <c r="H45" s="108">
        <v>1.4445983171463013</v>
      </c>
      <c r="I45" s="108">
        <v>1.4279211759567261</v>
      </c>
      <c r="J45" s="108">
        <v>1.3069612979888916</v>
      </c>
      <c r="K45" s="108">
        <v>1.4281456470489502</v>
      </c>
      <c r="L45" s="108">
        <v>1.3597289323806763</v>
      </c>
      <c r="M45" s="108">
        <v>1.4530423879623413</v>
      </c>
      <c r="N45" s="108">
        <v>1.4665930271148682</v>
      </c>
      <c r="O45" s="108">
        <v>1.7769604921340942</v>
      </c>
      <c r="P45" s="109"/>
      <c r="Q45" s="108">
        <v>1.500889778137207</v>
      </c>
      <c r="R45" s="108">
        <v>1.4387433528900146</v>
      </c>
      <c r="S45" s="109"/>
      <c r="T45" s="108">
        <v>1.3826731443405151</v>
      </c>
      <c r="U45" s="108">
        <v>1.4545494318008423</v>
      </c>
      <c r="V45" s="108">
        <v>1.5548374652862549</v>
      </c>
      <c r="W45" s="108">
        <v>1.5086512565612793</v>
      </c>
      <c r="X45" s="108">
        <v>1.4730736017227173</v>
      </c>
      <c r="Y45" s="108">
        <v>1.528162956237793</v>
      </c>
      <c r="Z45" s="108">
        <v>1.4979904890060425</v>
      </c>
      <c r="AA45" s="108">
        <v>1.6586756706237793</v>
      </c>
      <c r="AB45" s="108">
        <v>1.4206211566925049</v>
      </c>
      <c r="AC45" s="108">
        <v>1.6249238252639771</v>
      </c>
      <c r="AD45" s="108">
        <v>1.5237882137298584</v>
      </c>
      <c r="AE45" s="108">
        <v>1.5385004281997681</v>
      </c>
      <c r="AF45" s="108">
        <v>1.6155796051025391</v>
      </c>
      <c r="AG45" s="108">
        <v>1.3568071126937866</v>
      </c>
      <c r="AH45" s="108">
        <v>1.4119637012481689</v>
      </c>
      <c r="AI45" s="108">
        <v>1.3504389524459839</v>
      </c>
      <c r="AJ45" s="108">
        <v>1.3552780151367188</v>
      </c>
      <c r="AK45" s="108">
        <v>1.481860876083374</v>
      </c>
      <c r="AL45" s="108">
        <v>1.5376298427581787</v>
      </c>
      <c r="AM45" s="108">
        <v>1.6732827425003052</v>
      </c>
      <c r="AN45" s="108">
        <v>1.8404228687286377</v>
      </c>
      <c r="AO45" s="108">
        <v>1.3231527805328369</v>
      </c>
      <c r="AP45" s="108">
        <v>1.3396323919296265</v>
      </c>
      <c r="AQ45" s="108">
        <v>1.2813417911529541</v>
      </c>
      <c r="AR45" s="108">
        <v>1.3004986047744751</v>
      </c>
      <c r="AS45" s="108">
        <v>1.406569242477417</v>
      </c>
      <c r="AT45" s="108">
        <v>1.5114706754684448</v>
      </c>
      <c r="AU45" s="108">
        <v>1.2420216798782349</v>
      </c>
      <c r="AV45" s="108">
        <v>1.7467631101608276</v>
      </c>
      <c r="AW45" s="108">
        <v>1.3895775079727173</v>
      </c>
      <c r="AX45" s="108">
        <v>1.4344660043716431</v>
      </c>
      <c r="AY45" s="108">
        <v>1.3696011304855347</v>
      </c>
      <c r="AZ45" s="108">
        <v>1.3710728883743286</v>
      </c>
      <c r="BA45" s="108">
        <v>1.271153450012207</v>
      </c>
      <c r="BB45" s="108">
        <v>1.3653132915496826</v>
      </c>
      <c r="BC45" s="108">
        <v>1.4040240049362183</v>
      </c>
      <c r="BD45" s="108">
        <v>1.4726748466491699</v>
      </c>
      <c r="BE45" s="108">
        <v>1.1992502212524414</v>
      </c>
      <c r="BF45" s="108">
        <v>1.2172623872756958</v>
      </c>
      <c r="BG45" s="108">
        <v>1.3041101694107056</v>
      </c>
      <c r="BH45" s="108">
        <v>1.2898048162460327</v>
      </c>
      <c r="BI45" s="108">
        <v>1.3820922374725342</v>
      </c>
      <c r="BJ45" s="108">
        <v>1.376350998878479</v>
      </c>
      <c r="BK45" s="108">
        <v>1.4973061084747314</v>
      </c>
      <c r="BL45" s="108">
        <v>1.4066790342330933</v>
      </c>
    </row>
    <row r="46" spans="1:64" x14ac:dyDescent="0.2">
      <c r="A46" t="s">
        <v>165</v>
      </c>
      <c r="B46" s="108">
        <v>1.3408194780349731</v>
      </c>
      <c r="C46" s="108">
        <v>1.2639744281768799</v>
      </c>
      <c r="D46" s="108">
        <v>1.1638511419296265</v>
      </c>
      <c r="E46" s="108">
        <v>1.2377914190292358</v>
      </c>
      <c r="F46" s="108">
        <v>1.3082391023635864</v>
      </c>
      <c r="G46" s="108">
        <v>1.1131665706634521</v>
      </c>
      <c r="H46" s="108">
        <v>1.3245363235473633</v>
      </c>
      <c r="I46" s="108">
        <v>1.2836722135543823</v>
      </c>
      <c r="J46" s="108">
        <v>1.3138316869735718</v>
      </c>
      <c r="K46" s="108">
        <v>1.4187250137329102</v>
      </c>
      <c r="L46" s="108">
        <v>1.2783207893371582</v>
      </c>
      <c r="M46" s="108">
        <v>1.387164831161499</v>
      </c>
      <c r="N46" s="108">
        <v>1.2112835645675659</v>
      </c>
      <c r="O46" s="108">
        <v>1.398565411567688</v>
      </c>
      <c r="P46" s="109"/>
      <c r="Q46" s="108">
        <v>1.3106608390808105</v>
      </c>
      <c r="R46" s="108">
        <v>1.4231753349304199</v>
      </c>
      <c r="S46" s="109"/>
      <c r="T46" s="108">
        <v>1.3482546806335449</v>
      </c>
      <c r="U46" s="108">
        <v>1.5617548227310181</v>
      </c>
      <c r="V46" s="108">
        <v>1.4504557847976685</v>
      </c>
      <c r="W46" s="108">
        <v>1.3483805656433105</v>
      </c>
      <c r="X46" s="108">
        <v>1.2537689208984375</v>
      </c>
      <c r="Y46" s="108">
        <v>1.2349032163619995</v>
      </c>
      <c r="Z46" s="108">
        <v>1.4134218692779541</v>
      </c>
      <c r="AA46" s="108">
        <v>1.4352660179138184</v>
      </c>
      <c r="AB46" s="108">
        <v>1.3872953653335571</v>
      </c>
      <c r="AC46" s="108">
        <v>1.2827407121658325</v>
      </c>
      <c r="AD46" s="108">
        <v>1.3533414602279663</v>
      </c>
      <c r="AE46" s="108">
        <v>1.3720402717590332</v>
      </c>
      <c r="AF46" s="108">
        <v>1.3740181922912598</v>
      </c>
      <c r="AG46" s="108">
        <v>1.3793917894363403</v>
      </c>
      <c r="AH46" s="108">
        <v>1.3803600072860718</v>
      </c>
      <c r="AI46" s="108">
        <v>1.3233911991119385</v>
      </c>
      <c r="AJ46" s="108">
        <v>1.3406842947006226</v>
      </c>
      <c r="AK46" s="108">
        <v>1.2263654470443726</v>
      </c>
      <c r="AL46" s="108">
        <v>1.4206914901733398</v>
      </c>
      <c r="AM46" s="108">
        <v>1.4390386343002319</v>
      </c>
      <c r="AN46" s="108">
        <v>1.481670618057251</v>
      </c>
      <c r="AO46" s="108">
        <v>1.1262835264205933</v>
      </c>
      <c r="AP46" s="108">
        <v>1.2710878849029541</v>
      </c>
      <c r="AQ46" s="108">
        <v>1.2410820722579956</v>
      </c>
      <c r="AR46" s="108">
        <v>1.230866551399231</v>
      </c>
      <c r="AS46" s="108">
        <v>1.1451849937438965</v>
      </c>
      <c r="AT46" s="108">
        <v>1.2125728130340576</v>
      </c>
      <c r="AU46" s="108">
        <v>1.1621215343475342</v>
      </c>
      <c r="AV46" s="108">
        <v>1.5743919610977173</v>
      </c>
      <c r="AW46" s="108">
        <v>1.2622513771057129</v>
      </c>
      <c r="AX46" s="108">
        <v>1.2689719200134277</v>
      </c>
      <c r="AY46" s="108">
        <v>1.2721726894378662</v>
      </c>
      <c r="AZ46" s="108">
        <v>1.2857365608215332</v>
      </c>
      <c r="BA46" s="108">
        <v>1.2164220809936523</v>
      </c>
      <c r="BB46" s="108">
        <v>1.1688446998596191</v>
      </c>
      <c r="BC46" s="108">
        <v>1.2869025468826294</v>
      </c>
      <c r="BD46" s="108">
        <v>1.3593324422836304</v>
      </c>
      <c r="BE46" s="108">
        <v>1.3153939247131348</v>
      </c>
      <c r="BF46" s="108">
        <v>1.2488902807235718</v>
      </c>
      <c r="BG46" s="108">
        <v>1.331081748008728</v>
      </c>
      <c r="BH46" s="108">
        <v>1.3288084268569946</v>
      </c>
      <c r="BI46" s="108">
        <v>1.2721989154815674</v>
      </c>
      <c r="BJ46" s="108">
        <v>1.3728290796279907</v>
      </c>
      <c r="BK46" s="108">
        <v>1.5337522029876709</v>
      </c>
      <c r="BL46" s="108">
        <v>1.3612214326858521</v>
      </c>
    </row>
    <row r="47" spans="1:64" x14ac:dyDescent="0.2">
      <c r="A47" t="s">
        <v>137</v>
      </c>
      <c r="B47" s="108">
        <v>0.18685692548751831</v>
      </c>
      <c r="C47" s="108">
        <v>0.21266308426856995</v>
      </c>
      <c r="D47" s="108">
        <v>9.9980935454368591E-2</v>
      </c>
      <c r="E47" s="108">
        <v>0.22988371551036835</v>
      </c>
      <c r="F47" s="108">
        <v>0.14356426894664764</v>
      </c>
      <c r="G47" s="108">
        <v>0.14699302613735199</v>
      </c>
      <c r="H47" s="108">
        <v>0.11560866236686707</v>
      </c>
      <c r="I47" s="108">
        <v>0.19693499803543091</v>
      </c>
      <c r="J47" s="108">
        <v>0.12307889759540558</v>
      </c>
      <c r="K47" s="108">
        <v>0.14568156003952026</v>
      </c>
      <c r="L47" s="108">
        <v>0.12812024354934692</v>
      </c>
      <c r="M47" s="108">
        <v>0.20133967697620392</v>
      </c>
      <c r="N47" s="108">
        <v>0.15120083093643188</v>
      </c>
      <c r="O47" s="108">
        <v>0.23693381249904633</v>
      </c>
      <c r="P47" s="109"/>
      <c r="Q47" s="108">
        <v>0.12399163097143173</v>
      </c>
      <c r="R47" s="108">
        <v>0.17069819569587708</v>
      </c>
      <c r="S47" s="109"/>
      <c r="T47" s="108">
        <v>9.4303794205188751E-2</v>
      </c>
      <c r="U47" s="108">
        <v>9.0767860412597656E-2</v>
      </c>
      <c r="V47" s="108">
        <v>0.1958707869052887</v>
      </c>
      <c r="W47" s="108">
        <v>0.10505480319261551</v>
      </c>
      <c r="X47" s="108">
        <v>0.11647344380617142</v>
      </c>
      <c r="Y47" s="108">
        <v>0.13055287301540375</v>
      </c>
      <c r="Z47" s="108">
        <v>0.11304021626710892</v>
      </c>
      <c r="AA47" s="108">
        <v>0.16111396253108978</v>
      </c>
      <c r="AB47" s="108">
        <v>0.12607318162918091</v>
      </c>
      <c r="AC47" s="108">
        <v>0.17161968350410461</v>
      </c>
      <c r="AD47" s="108">
        <v>0.14943611621856689</v>
      </c>
      <c r="AE47" s="108">
        <v>0.14446042478084564</v>
      </c>
      <c r="AF47" s="108">
        <v>0.24640330672264099</v>
      </c>
      <c r="AG47" s="108">
        <v>0.10541162639856339</v>
      </c>
      <c r="AH47" s="108">
        <v>9.1046608984470367E-2</v>
      </c>
      <c r="AI47" s="108">
        <v>0.22053803503513336</v>
      </c>
      <c r="AJ47" s="108">
        <v>8.8396497070789337E-2</v>
      </c>
      <c r="AK47" s="108">
        <v>0.10845755785703659</v>
      </c>
      <c r="AL47" s="108">
        <v>0.20481172204017639</v>
      </c>
      <c r="AM47" s="108">
        <v>0.21641910076141357</v>
      </c>
      <c r="AN47" s="108">
        <v>0.15806229412555695</v>
      </c>
      <c r="AO47" s="108">
        <v>0.11016819626092911</v>
      </c>
      <c r="AP47" s="108">
        <v>0.15050685405731201</v>
      </c>
      <c r="AQ47" s="108">
        <v>8.1703536212444305E-2</v>
      </c>
      <c r="AR47" s="108">
        <v>0.14734019339084625</v>
      </c>
      <c r="AS47" s="108">
        <v>0.15669701993465424</v>
      </c>
      <c r="AT47" s="108">
        <v>0.14214102923870087</v>
      </c>
      <c r="AU47" s="108">
        <v>0.11481352150440216</v>
      </c>
      <c r="AV47" s="108">
        <v>0.17667399346828461</v>
      </c>
      <c r="AW47" s="108">
        <v>0.15430444478988647</v>
      </c>
      <c r="AX47" s="108">
        <v>0.13885729014873505</v>
      </c>
      <c r="AY47" s="108">
        <v>0.10191295295953751</v>
      </c>
      <c r="AZ47" s="108">
        <v>7.0865489542484283E-2</v>
      </c>
      <c r="BA47" s="108">
        <v>6.5861940383911133E-2</v>
      </c>
      <c r="BB47" s="108">
        <v>6.3934288918972015E-2</v>
      </c>
      <c r="BC47" s="108">
        <v>8.3275593817234039E-2</v>
      </c>
      <c r="BD47" s="108">
        <v>0.14501377940177917</v>
      </c>
      <c r="BE47" s="108">
        <v>8.2369230687618256E-2</v>
      </c>
      <c r="BF47" s="108">
        <v>9.1090105473995209E-2</v>
      </c>
      <c r="BG47" s="108">
        <v>7.00235515832901E-2</v>
      </c>
      <c r="BH47" s="108">
        <v>8.2003623247146606E-2</v>
      </c>
      <c r="BI47" s="108">
        <v>0.12540288269519806</v>
      </c>
      <c r="BJ47" s="108">
        <v>8.8900759816169739E-2</v>
      </c>
      <c r="BK47" s="108">
        <v>0.17045824229717255</v>
      </c>
      <c r="BL47" s="108">
        <v>0.151466965675354</v>
      </c>
    </row>
    <row r="48" spans="1:64" x14ac:dyDescent="0.2">
      <c r="A48" t="s">
        <v>139</v>
      </c>
      <c r="B48" s="108">
        <v>0.17232534289360046</v>
      </c>
      <c r="C48" s="108">
        <v>0.18845091760158539</v>
      </c>
      <c r="D48" s="108">
        <v>7.4330359697341919E-2</v>
      </c>
      <c r="E48" s="108">
        <v>0.19396999478340149</v>
      </c>
      <c r="F48" s="108">
        <v>0.12101202458143234</v>
      </c>
      <c r="G48" s="108">
        <v>0.13334856927394867</v>
      </c>
      <c r="H48" s="108">
        <v>0.10739484429359436</v>
      </c>
      <c r="I48" s="108">
        <v>0.163156658411026</v>
      </c>
      <c r="J48" s="108">
        <v>0.11353363841772079</v>
      </c>
      <c r="K48" s="108">
        <v>9.2909529805183411E-2</v>
      </c>
      <c r="L48" s="108">
        <v>0.11089572310447693</v>
      </c>
      <c r="M48" s="108">
        <v>0.18621024489402771</v>
      </c>
      <c r="N48" s="108">
        <v>0.14173033833503723</v>
      </c>
      <c r="O48" s="108">
        <v>0.20941758155822754</v>
      </c>
      <c r="P48" s="109"/>
      <c r="Q48" s="108">
        <v>0.1143234595656395</v>
      </c>
      <c r="R48" s="108">
        <v>0.14243024587631226</v>
      </c>
      <c r="S48" s="109"/>
      <c r="T48" s="108">
        <v>8.5234425961971283E-2</v>
      </c>
      <c r="U48" s="108">
        <v>6.906534731388092E-2</v>
      </c>
      <c r="V48" s="108">
        <v>0.17129181325435638</v>
      </c>
      <c r="W48" s="108">
        <v>8.8753655552864075E-2</v>
      </c>
      <c r="X48" s="108">
        <v>0.10815390944480896</v>
      </c>
      <c r="Y48" s="108">
        <v>9.2045657336711884E-2</v>
      </c>
      <c r="Z48" s="108">
        <v>7.6710499823093414E-2</v>
      </c>
      <c r="AA48" s="108">
        <v>0.14892372488975525</v>
      </c>
      <c r="AB48" s="108">
        <v>0.10434368252754211</v>
      </c>
      <c r="AC48" s="108">
        <v>0.11791789531707764</v>
      </c>
      <c r="AD48" s="108">
        <v>0.1178336888551712</v>
      </c>
      <c r="AE48" s="108">
        <v>0.11065347492694855</v>
      </c>
      <c r="AF48" s="108">
        <v>0.22787855565547943</v>
      </c>
      <c r="AG48" s="108">
        <v>7.9419448971748352E-2</v>
      </c>
      <c r="AH48" s="108">
        <v>6.9526396691799164E-2</v>
      </c>
      <c r="AI48" s="108">
        <v>0.1842847615480423</v>
      </c>
      <c r="AJ48" s="108">
        <v>8.8396497070789337E-2</v>
      </c>
      <c r="AK48" s="108">
        <v>0.10141117870807648</v>
      </c>
      <c r="AL48" s="108">
        <v>0.17651805281639099</v>
      </c>
      <c r="AM48" s="108">
        <v>0.19782279431819916</v>
      </c>
      <c r="AN48" s="108">
        <v>0.1370026022195816</v>
      </c>
      <c r="AO48" s="108">
        <v>8.542303740978241E-2</v>
      </c>
      <c r="AP48" s="108">
        <v>0.12069264054298401</v>
      </c>
      <c r="AQ48" s="108">
        <v>6.2108270823955536E-2</v>
      </c>
      <c r="AR48" s="108">
        <v>0.1308380514383316</v>
      </c>
      <c r="AS48" s="108">
        <v>0.11142133176326752</v>
      </c>
      <c r="AT48" s="108">
        <v>0.1177099421620369</v>
      </c>
      <c r="AU48" s="108">
        <v>0.1002575159072876</v>
      </c>
      <c r="AV48" s="108">
        <v>0.16907837986946106</v>
      </c>
      <c r="AW48" s="108">
        <v>0.12747775018215179</v>
      </c>
      <c r="AX48" s="108">
        <v>9.584382176399231E-2</v>
      </c>
      <c r="AY48" s="108">
        <v>9.2130899429321289E-2</v>
      </c>
      <c r="AZ48" s="108">
        <v>4.9382690340280533E-2</v>
      </c>
      <c r="BA48" s="108">
        <v>4.4357191771268845E-2</v>
      </c>
      <c r="BB48" s="108">
        <v>4.7555048018693924E-2</v>
      </c>
      <c r="BC48" s="108">
        <v>6.7549504339694977E-2</v>
      </c>
      <c r="BD48" s="108">
        <v>0.12331528216600418</v>
      </c>
      <c r="BE48" s="108">
        <v>6.6744230687618256E-2</v>
      </c>
      <c r="BF48" s="108">
        <v>7.6238103210926056E-2</v>
      </c>
      <c r="BG48" s="108">
        <v>4.2194902896881104E-2</v>
      </c>
      <c r="BH48" s="108">
        <v>6.8795539438724518E-2</v>
      </c>
      <c r="BI48" s="108">
        <v>0.11816827207803726</v>
      </c>
      <c r="BJ48" s="108">
        <v>6.6269628703594208E-2</v>
      </c>
      <c r="BK48" s="108">
        <v>0.14816999435424805</v>
      </c>
      <c r="BL48" s="108">
        <v>0.13757471740245819</v>
      </c>
    </row>
    <row r="49" spans="1:64" x14ac:dyDescent="0.2">
      <c r="A49" t="s">
        <v>141</v>
      </c>
      <c r="B49" s="108">
        <v>0.16953153908252716</v>
      </c>
      <c r="C49" s="108">
        <v>0.21108914911746979</v>
      </c>
      <c r="D49" s="108">
        <v>7.0523209869861603E-2</v>
      </c>
      <c r="E49" s="108">
        <v>0.22270096838474274</v>
      </c>
      <c r="F49" s="108">
        <v>0.12211217731237411</v>
      </c>
      <c r="G49" s="108">
        <v>0.14017079770565033</v>
      </c>
      <c r="H49" s="108">
        <v>9.8378390073776245E-2</v>
      </c>
      <c r="I49" s="108">
        <v>0.18601471185684204</v>
      </c>
      <c r="J49" s="108">
        <v>0.11353363841772079</v>
      </c>
      <c r="K49" s="108">
        <v>0.13741935789585114</v>
      </c>
      <c r="L49" s="108">
        <v>0.11902418732643127</v>
      </c>
      <c r="M49" s="108">
        <v>0.19521665573120117</v>
      </c>
      <c r="N49" s="108">
        <v>0.1439410001039505</v>
      </c>
      <c r="O49" s="108">
        <v>0.22234471142292023</v>
      </c>
      <c r="P49" s="109"/>
      <c r="Q49" s="108">
        <v>0.12275451421737671</v>
      </c>
      <c r="R49" s="108">
        <v>0.15656422078609467</v>
      </c>
      <c r="S49" s="109"/>
      <c r="T49" s="108">
        <v>9.4303794205188751E-2</v>
      </c>
      <c r="U49" s="108">
        <v>7.6299518346786499E-2</v>
      </c>
      <c r="V49" s="108">
        <v>0.17948479950428009</v>
      </c>
      <c r="W49" s="108">
        <v>8.9656300842761993E-2</v>
      </c>
      <c r="X49" s="108">
        <v>0.10969735682010651</v>
      </c>
      <c r="Y49" s="108">
        <v>0.10544950515031815</v>
      </c>
      <c r="Z49" s="108">
        <v>0.10468115657567978</v>
      </c>
      <c r="AA49" s="108">
        <v>0.15188992023468018</v>
      </c>
      <c r="AB49" s="108">
        <v>0.10501546412706375</v>
      </c>
      <c r="AC49" s="108">
        <v>0.12671610713005066</v>
      </c>
      <c r="AD49" s="108">
        <v>0.14821097254753113</v>
      </c>
      <c r="AE49" s="108">
        <v>0.12627847492694855</v>
      </c>
      <c r="AF49" s="108">
        <v>0.22032430768013</v>
      </c>
      <c r="AG49" s="108">
        <v>8.5990287363529205E-2</v>
      </c>
      <c r="AH49" s="108">
        <v>6.9526396691799164E-2</v>
      </c>
      <c r="AI49" s="108">
        <v>0.20392057299613953</v>
      </c>
      <c r="AJ49" s="108">
        <v>8.8396497070789337E-2</v>
      </c>
      <c r="AK49" s="108">
        <v>9.9878944456577301E-2</v>
      </c>
      <c r="AL49" s="108">
        <v>0.19833682477474213</v>
      </c>
      <c r="AM49" s="108">
        <v>0.2102203369140625</v>
      </c>
      <c r="AN49" s="108">
        <v>0.14243729412555695</v>
      </c>
      <c r="AO49" s="108">
        <v>9.7795620560646057E-2</v>
      </c>
      <c r="AP49" s="108">
        <v>0.115033820271492</v>
      </c>
      <c r="AQ49" s="108">
        <v>8.1703536212444305E-2</v>
      </c>
      <c r="AR49" s="108">
        <v>0.14172990620136261</v>
      </c>
      <c r="AS49" s="108">
        <v>0.14987333118915558</v>
      </c>
      <c r="AT49" s="108">
        <v>0.1331082284450531</v>
      </c>
      <c r="AU49" s="108">
        <v>0.1002575159072876</v>
      </c>
      <c r="AV49" s="108">
        <v>0.17031311988830566</v>
      </c>
      <c r="AW49" s="108">
        <v>0.13657373189926147</v>
      </c>
      <c r="AX49" s="108">
        <v>0.10409221798181534</v>
      </c>
      <c r="AY49" s="108">
        <v>8.6279153823852539E-2</v>
      </c>
      <c r="AZ49" s="108">
        <v>6.3152171671390533E-2</v>
      </c>
      <c r="BA49" s="108">
        <v>6.5861940383911133E-2</v>
      </c>
      <c r="BB49" s="108">
        <v>6.3142955303192139E-2</v>
      </c>
      <c r="BC49" s="108">
        <v>6.7549504339694977E-2</v>
      </c>
      <c r="BD49" s="108">
        <v>0.1370667964220047</v>
      </c>
      <c r="BE49" s="108">
        <v>8.2369230687618256E-2</v>
      </c>
      <c r="BF49" s="108">
        <v>8.2178905606269836E-2</v>
      </c>
      <c r="BG49" s="108">
        <v>6.3066393136978149E-2</v>
      </c>
      <c r="BH49" s="108">
        <v>7.751280814409256E-2</v>
      </c>
      <c r="BI49" s="108">
        <v>0.12540288269519806</v>
      </c>
      <c r="BJ49" s="108">
        <v>8.7031297385692596E-2</v>
      </c>
      <c r="BK49" s="108">
        <v>0.16062207520008087</v>
      </c>
      <c r="BL49" s="108">
        <v>0.1412724107503891</v>
      </c>
    </row>
    <row r="50" spans="1:64" x14ac:dyDescent="0.2">
      <c r="A50" t="s">
        <v>143</v>
      </c>
      <c r="B50" s="108">
        <v>0.17435465753078461</v>
      </c>
      <c r="C50" s="108">
        <v>0.21108914911746979</v>
      </c>
      <c r="D50" s="108">
        <v>7.6701879501342773E-2</v>
      </c>
      <c r="E50" s="108">
        <v>0.21551822125911713</v>
      </c>
      <c r="F50" s="108">
        <v>0.12816272675991058</v>
      </c>
      <c r="G50" s="108">
        <v>0.13334856927394867</v>
      </c>
      <c r="H50" s="108">
        <v>9.9181026220321655E-2</v>
      </c>
      <c r="I50" s="108">
        <v>0.17509442567825317</v>
      </c>
      <c r="J50" s="108">
        <v>0.10606768727302551</v>
      </c>
      <c r="K50" s="108">
        <v>0.13016983866691589</v>
      </c>
      <c r="L50" s="108">
        <v>0.11283091455698013</v>
      </c>
      <c r="M50" s="108">
        <v>0.18170703947544098</v>
      </c>
      <c r="N50" s="108">
        <v>0.15009549260139465</v>
      </c>
      <c r="O50" s="108">
        <v>0.22400668263435364</v>
      </c>
      <c r="P50" s="109"/>
      <c r="Q50" s="108">
        <v>0.12151740491390228</v>
      </c>
      <c r="R50" s="108">
        <v>0.14243024587631226</v>
      </c>
      <c r="S50" s="109"/>
      <c r="T50" s="108">
        <v>8.026905357837677E-2</v>
      </c>
      <c r="U50" s="108">
        <v>7.5939714908599854E-2</v>
      </c>
      <c r="V50" s="108">
        <v>0.1802457869052887</v>
      </c>
      <c r="W50" s="108">
        <v>9.6904225647449493E-2</v>
      </c>
      <c r="X50" s="108">
        <v>0.10661046206951141</v>
      </c>
      <c r="Y50" s="108">
        <v>0.10656008124351501</v>
      </c>
      <c r="Z50" s="108">
        <v>9.8508328199386597E-2</v>
      </c>
      <c r="AA50" s="108">
        <v>0.14924918115139008</v>
      </c>
      <c r="AB50" s="108">
        <v>0.10797572880983353</v>
      </c>
      <c r="AC50" s="108">
        <v>0.13354289531707764</v>
      </c>
      <c r="AD50" s="108">
        <v>0.14943611621856689</v>
      </c>
      <c r="AE50" s="108">
        <v>0.11065347492694855</v>
      </c>
      <c r="AF50" s="108">
        <v>0.23543280363082886</v>
      </c>
      <c r="AG50" s="108">
        <v>7.5183361768722534E-2</v>
      </c>
      <c r="AH50" s="108">
        <v>6.3180610537528992E-2</v>
      </c>
      <c r="AI50" s="108">
        <v>0.19737529754638672</v>
      </c>
      <c r="AJ50" s="108">
        <v>8.8396497070789337E-2</v>
      </c>
      <c r="AK50" s="108">
        <v>9.4364799559116364E-2</v>
      </c>
      <c r="AL50" s="108">
        <v>0.19214305281639099</v>
      </c>
      <c r="AM50" s="108">
        <v>0.20402155816555023</v>
      </c>
      <c r="AN50" s="108">
        <v>0.1354174017906189</v>
      </c>
      <c r="AO50" s="108">
        <v>0.10398191213607788</v>
      </c>
      <c r="AP50" s="108">
        <v>0.107939213514328</v>
      </c>
      <c r="AQ50" s="108">
        <v>8.0061167478561401E-2</v>
      </c>
      <c r="AR50" s="108">
        <v>0.1462031751871109</v>
      </c>
      <c r="AS50" s="108">
        <v>0.14987333118915558</v>
      </c>
      <c r="AT50" s="108">
        <v>0.12407544255256653</v>
      </c>
      <c r="AU50" s="108">
        <v>8.5701502859592438E-2</v>
      </c>
      <c r="AV50" s="108">
        <v>0.17031311988830566</v>
      </c>
      <c r="AW50" s="108">
        <v>0.13902726769447327</v>
      </c>
      <c r="AX50" s="108">
        <v>0.11181778460741043</v>
      </c>
      <c r="AY50" s="108">
        <v>8.740583062171936E-2</v>
      </c>
      <c r="AZ50" s="108">
        <v>5.595715343952179E-2</v>
      </c>
      <c r="BA50" s="108">
        <v>6.5861940383911133E-2</v>
      </c>
      <c r="BB50" s="108">
        <v>5.574466660618782E-2</v>
      </c>
      <c r="BC50" s="108">
        <v>6.7549504339694977E-2</v>
      </c>
      <c r="BD50" s="108">
        <v>0.13813802599906921</v>
      </c>
      <c r="BE50" s="108">
        <v>6.7593075335025787E-2</v>
      </c>
      <c r="BF50" s="108">
        <v>7.9208500683307648E-2</v>
      </c>
      <c r="BG50" s="108">
        <v>6.8965107202529907E-2</v>
      </c>
      <c r="BH50" s="108">
        <v>7.117847353219986E-2</v>
      </c>
      <c r="BI50" s="108">
        <v>0.12540288269519806</v>
      </c>
      <c r="BJ50" s="108">
        <v>8.7031297385692596E-2</v>
      </c>
      <c r="BK50" s="108">
        <v>0.16206613183021545</v>
      </c>
      <c r="BL50" s="108">
        <v>0.13595050573348999</v>
      </c>
    </row>
    <row r="51" spans="1:64" x14ac:dyDescent="0.2">
      <c r="A51" t="s">
        <v>145</v>
      </c>
      <c r="B51" s="108">
        <v>0.95275384187698364</v>
      </c>
      <c r="C51" s="108">
        <v>0.96321088075637817</v>
      </c>
      <c r="D51" s="108">
        <v>0.92634165287017822</v>
      </c>
      <c r="E51" s="108">
        <v>0.96352130174636841</v>
      </c>
      <c r="F51" s="108">
        <v>1</v>
      </c>
      <c r="G51" s="108">
        <v>0.94374030828475952</v>
      </c>
      <c r="H51" s="108">
        <v>1</v>
      </c>
      <c r="I51" s="108">
        <v>0.94701677560806274</v>
      </c>
      <c r="J51" s="108">
        <v>0.9337087869644165</v>
      </c>
      <c r="K51" s="108">
        <v>0.98609745502471924</v>
      </c>
      <c r="L51" s="108">
        <v>1</v>
      </c>
      <c r="M51" s="108">
        <v>0.95587420463562012</v>
      </c>
      <c r="N51" s="108">
        <v>0.99268966913223267</v>
      </c>
      <c r="O51" s="108">
        <v>0.96474367380142212</v>
      </c>
      <c r="P51" s="109"/>
      <c r="Q51" s="108">
        <v>1</v>
      </c>
      <c r="R51" s="108">
        <v>1</v>
      </c>
      <c r="S51" s="109"/>
      <c r="T51" s="108">
        <v>1</v>
      </c>
      <c r="U51" s="108">
        <v>1</v>
      </c>
      <c r="V51" s="108">
        <v>1</v>
      </c>
      <c r="W51" s="108">
        <v>1</v>
      </c>
      <c r="X51" s="108">
        <v>1</v>
      </c>
      <c r="Y51" s="108">
        <v>0.94441169500350952</v>
      </c>
      <c r="Z51" s="108">
        <v>1</v>
      </c>
      <c r="AA51" s="108">
        <v>0.96317887306213379</v>
      </c>
      <c r="AB51" s="108">
        <v>0.90074950456619263</v>
      </c>
      <c r="AC51" s="108">
        <v>0.95256328582763672</v>
      </c>
      <c r="AD51" s="108">
        <v>1</v>
      </c>
      <c r="AE51" s="108">
        <v>1</v>
      </c>
      <c r="AF51" s="108">
        <v>1</v>
      </c>
      <c r="AG51" s="108">
        <v>0.99600774049758911</v>
      </c>
      <c r="AH51" s="108">
        <v>1</v>
      </c>
      <c r="AI51" s="108">
        <v>1</v>
      </c>
      <c r="AJ51" s="108">
        <v>0.98122549057006836</v>
      </c>
      <c r="AK51" s="108">
        <v>0.93503099679946899</v>
      </c>
      <c r="AL51" s="108">
        <v>1</v>
      </c>
      <c r="AM51" s="108">
        <v>1</v>
      </c>
      <c r="AN51" s="108">
        <v>1</v>
      </c>
      <c r="AO51" s="108">
        <v>1</v>
      </c>
      <c r="AP51" s="108">
        <v>1</v>
      </c>
      <c r="AQ51" s="108">
        <v>1</v>
      </c>
      <c r="AR51" s="108">
        <v>0.92736184597015381</v>
      </c>
      <c r="AS51" s="108">
        <v>0.91290587186813354</v>
      </c>
      <c r="AT51" s="108">
        <v>0.94896197319030762</v>
      </c>
      <c r="AU51" s="108">
        <v>0.92841804027557373</v>
      </c>
      <c r="AV51" s="108">
        <v>0.96838313341140747</v>
      </c>
      <c r="AW51" s="108">
        <v>0.99620085954666138</v>
      </c>
      <c r="AX51" s="108">
        <v>0.9450380802154541</v>
      </c>
      <c r="AY51" s="108">
        <v>0.97123068571090698</v>
      </c>
      <c r="AZ51" s="108">
        <v>1</v>
      </c>
      <c r="BA51" s="108">
        <v>1</v>
      </c>
      <c r="BB51" s="108">
        <v>1</v>
      </c>
      <c r="BC51" s="108">
        <v>1</v>
      </c>
      <c r="BD51" s="108">
        <v>0.94519835710525513</v>
      </c>
      <c r="BE51" s="108">
        <v>1</v>
      </c>
      <c r="BF51" s="108">
        <v>1</v>
      </c>
      <c r="BG51" s="108">
        <v>0.9811360239982605</v>
      </c>
      <c r="BH51" s="108">
        <v>0.92866462469100952</v>
      </c>
      <c r="BI51" s="108">
        <v>1</v>
      </c>
      <c r="BJ51" s="108">
        <v>1</v>
      </c>
      <c r="BK51" s="108">
        <v>1</v>
      </c>
      <c r="BL51" s="108">
        <v>0.97855353355407715</v>
      </c>
    </row>
    <row r="52" spans="1:64" x14ac:dyDescent="0.2">
      <c r="A52" t="s">
        <v>147</v>
      </c>
      <c r="B52" s="108">
        <v>0.99757808446884155</v>
      </c>
      <c r="C52" s="108">
        <v>0.99192929267883301</v>
      </c>
      <c r="D52" s="108">
        <v>1</v>
      </c>
      <c r="E52" s="108">
        <v>0.99281728267669678</v>
      </c>
      <c r="F52" s="108">
        <v>1</v>
      </c>
      <c r="G52" s="108">
        <v>1</v>
      </c>
      <c r="H52" s="108">
        <v>0.99258881807327271</v>
      </c>
      <c r="I52" s="108">
        <v>0.99007093906402588</v>
      </c>
      <c r="J52" s="108">
        <v>1</v>
      </c>
      <c r="K52" s="108">
        <v>0.99898731708526611</v>
      </c>
      <c r="L52" s="108">
        <v>1</v>
      </c>
      <c r="M52" s="108">
        <v>0.99549680948257446</v>
      </c>
      <c r="N52" s="108">
        <v>1</v>
      </c>
      <c r="O52" s="108">
        <v>1</v>
      </c>
      <c r="P52" s="109"/>
      <c r="Q52" s="108">
        <v>0.99876290559768677</v>
      </c>
      <c r="R52" s="108">
        <v>1</v>
      </c>
      <c r="S52" s="109"/>
      <c r="T52" s="108">
        <v>1</v>
      </c>
      <c r="U52" s="108">
        <v>1</v>
      </c>
      <c r="V52" s="108">
        <v>1</v>
      </c>
      <c r="W52" s="108">
        <v>1</v>
      </c>
      <c r="X52" s="108">
        <v>0.99322390556335449</v>
      </c>
      <c r="Y52" s="108">
        <v>1</v>
      </c>
      <c r="Z52" s="108">
        <v>1</v>
      </c>
      <c r="AA52" s="108">
        <v>0.99703377485275269</v>
      </c>
      <c r="AB52" s="108">
        <v>0.99703973531723022</v>
      </c>
      <c r="AC52" s="108">
        <v>0.99251610040664673</v>
      </c>
      <c r="AD52" s="108">
        <v>1</v>
      </c>
      <c r="AE52" s="108">
        <v>1</v>
      </c>
      <c r="AF52" s="108">
        <v>0.99244576692581177</v>
      </c>
      <c r="AG52" s="108">
        <v>1</v>
      </c>
      <c r="AH52" s="108">
        <v>1</v>
      </c>
      <c r="AI52" s="108">
        <v>0.99823653697967529</v>
      </c>
      <c r="AJ52" s="108">
        <v>0.99834036827087402</v>
      </c>
      <c r="AK52" s="108">
        <v>1</v>
      </c>
      <c r="AL52" s="108">
        <v>0.9814186692237854</v>
      </c>
      <c r="AM52" s="108">
        <v>0.99134862422943115</v>
      </c>
      <c r="AN52" s="108">
        <v>0.99841481447219849</v>
      </c>
      <c r="AO52" s="108">
        <v>1</v>
      </c>
      <c r="AP52" s="108">
        <v>1</v>
      </c>
      <c r="AQ52" s="108">
        <v>1</v>
      </c>
      <c r="AR52" s="108">
        <v>1</v>
      </c>
      <c r="AS52" s="108">
        <v>0.99317628145217896</v>
      </c>
      <c r="AT52" s="108">
        <v>0.99274539947509766</v>
      </c>
      <c r="AU52" s="108">
        <v>1</v>
      </c>
      <c r="AV52" s="108">
        <v>1</v>
      </c>
      <c r="AW52" s="108">
        <v>1</v>
      </c>
      <c r="AX52" s="108">
        <v>1</v>
      </c>
      <c r="AY52" s="108">
        <v>0.99707680940628052</v>
      </c>
      <c r="AZ52" s="108">
        <v>1</v>
      </c>
      <c r="BA52" s="108">
        <v>0.99176722764968872</v>
      </c>
      <c r="BB52" s="108">
        <v>1</v>
      </c>
      <c r="BC52" s="108">
        <v>0.99260145425796509</v>
      </c>
      <c r="BD52" s="108">
        <v>0.99312424659729004</v>
      </c>
      <c r="BE52" s="108">
        <v>1</v>
      </c>
      <c r="BF52" s="108">
        <v>0.99702960252761841</v>
      </c>
      <c r="BG52" s="108">
        <v>0.99304282665252686</v>
      </c>
      <c r="BH52" s="108">
        <v>1</v>
      </c>
      <c r="BI52" s="108">
        <v>1</v>
      </c>
      <c r="BJ52" s="108">
        <v>1</v>
      </c>
      <c r="BK52" s="108">
        <v>0.98610389232635498</v>
      </c>
      <c r="BL52" s="108">
        <v>0.9930538535118103</v>
      </c>
    </row>
    <row r="53" spans="1:64" x14ac:dyDescent="0.2">
      <c r="A53" t="s">
        <v>151</v>
      </c>
      <c r="B53" s="108">
        <v>0.67256355285644531</v>
      </c>
      <c r="C53" s="108">
        <v>0.58694171905517578</v>
      </c>
      <c r="D53" s="108">
        <v>0.63421350717544556</v>
      </c>
      <c r="E53" s="108">
        <v>0.74244451522827148</v>
      </c>
      <c r="F53" s="108">
        <v>0.77502745389938354</v>
      </c>
      <c r="G53" s="108">
        <v>0.63241702318191528</v>
      </c>
      <c r="H53" s="108">
        <v>0.63099336624145508</v>
      </c>
      <c r="I53" s="108">
        <v>0.66204154491424561</v>
      </c>
      <c r="J53" s="108">
        <v>0.6060677170753479</v>
      </c>
      <c r="K53" s="108">
        <v>0.67729175090789795</v>
      </c>
      <c r="L53" s="108">
        <v>0.58776789903640747</v>
      </c>
      <c r="M53" s="108">
        <v>0.63455569744110107</v>
      </c>
      <c r="N53" s="108">
        <v>0.63620364665985107</v>
      </c>
      <c r="O53" s="108">
        <v>0.78116351366043091</v>
      </c>
      <c r="P53" s="109"/>
      <c r="Q53" s="108">
        <v>0.82643038034439087</v>
      </c>
      <c r="R53" s="108">
        <v>0.61158192157745361</v>
      </c>
      <c r="S53" s="109"/>
      <c r="T53" s="108">
        <v>0.69894987344741821</v>
      </c>
      <c r="U53" s="108">
        <v>0.70199799537658691</v>
      </c>
      <c r="V53" s="108">
        <v>0.76088130474090576</v>
      </c>
      <c r="W53" s="108">
        <v>0.72826957702636719</v>
      </c>
      <c r="X53" s="108">
        <v>0.64387893676757813</v>
      </c>
      <c r="Y53" s="108">
        <v>0.80976206064224243</v>
      </c>
      <c r="Z53" s="108">
        <v>0.68930035829544067</v>
      </c>
      <c r="AA53" s="108">
        <v>0.75424230098724365</v>
      </c>
      <c r="AB53" s="108">
        <v>0.80779337882995605</v>
      </c>
      <c r="AC53" s="108">
        <v>0.70378214120864868</v>
      </c>
      <c r="AD53" s="108">
        <v>0.83096158504486084</v>
      </c>
      <c r="AE53" s="108">
        <v>0.66470175981521606</v>
      </c>
      <c r="AF53" s="108">
        <v>0.73723715543746948</v>
      </c>
      <c r="AG53" s="108">
        <v>0.44507533311843872</v>
      </c>
      <c r="AH53" s="108">
        <v>0.61077398061752319</v>
      </c>
      <c r="AI53" s="108">
        <v>0.59843337535858154</v>
      </c>
      <c r="AJ53" s="108">
        <v>0.66466963291168213</v>
      </c>
      <c r="AK53" s="108">
        <v>0.60202598571777344</v>
      </c>
      <c r="AL53" s="108">
        <v>0.58431875705718994</v>
      </c>
      <c r="AM53" s="108">
        <v>0.71914058923721313</v>
      </c>
      <c r="AN53" s="108">
        <v>0.66123270988464355</v>
      </c>
      <c r="AO53" s="108">
        <v>0.62991207838058472</v>
      </c>
      <c r="AP53" s="108">
        <v>0.59501713514328003</v>
      </c>
      <c r="AQ53" s="108">
        <v>0.58483737707138062</v>
      </c>
      <c r="AR53" s="108">
        <v>0.49814572930335999</v>
      </c>
      <c r="AS53" s="108">
        <v>0.47113674879074097</v>
      </c>
      <c r="AT53" s="108">
        <v>0.45291602611541748</v>
      </c>
      <c r="AU53" s="108">
        <v>0.39776092767715454</v>
      </c>
      <c r="AV53" s="108">
        <v>0.71171116828918457</v>
      </c>
      <c r="AW53" s="108">
        <v>0.45441275835037231</v>
      </c>
      <c r="AX53" s="108">
        <v>0.55897212028503418</v>
      </c>
      <c r="AY53" s="108">
        <v>0.48646953701972961</v>
      </c>
      <c r="AZ53" s="108">
        <v>0.34380781650543213</v>
      </c>
      <c r="BA53" s="108">
        <v>0.39247626066207886</v>
      </c>
      <c r="BB53" s="108">
        <v>0.54901838302612305</v>
      </c>
      <c r="BC53" s="108">
        <v>0.44036415219306946</v>
      </c>
      <c r="BD53" s="108">
        <v>0.51451128721237183</v>
      </c>
      <c r="BE53" s="108">
        <v>0.44319039583206177</v>
      </c>
      <c r="BF53" s="108">
        <v>0.47178283333778381</v>
      </c>
      <c r="BG53" s="108">
        <v>0.4860856831073761</v>
      </c>
      <c r="BH53" s="108">
        <v>0.45791858434677124</v>
      </c>
      <c r="BI53" s="108">
        <v>0.49196019768714905</v>
      </c>
      <c r="BJ53" s="108">
        <v>0.60941672325134277</v>
      </c>
      <c r="BK53" s="108">
        <v>0.57254642248153687</v>
      </c>
      <c r="BL53" s="108">
        <v>0.55254518985748291</v>
      </c>
    </row>
    <row r="54" spans="1:64" x14ac:dyDescent="0.2">
      <c r="A54" t="s">
        <v>153</v>
      </c>
      <c r="B54" s="108">
        <v>0.21981145441532135</v>
      </c>
      <c r="C54" s="108">
        <v>0.32629242539405823</v>
      </c>
      <c r="D54" s="108">
        <v>0.35087171196937561</v>
      </c>
      <c r="E54" s="108">
        <v>0.26690253615379333</v>
      </c>
      <c r="F54" s="108">
        <v>0.27412065863609314</v>
      </c>
      <c r="G54" s="108">
        <v>0.3830254077911377</v>
      </c>
      <c r="H54" s="108">
        <v>0.44903591275215149</v>
      </c>
      <c r="I54" s="108">
        <v>0.3418310284614563</v>
      </c>
      <c r="J54" s="108">
        <v>0.39366862177848816</v>
      </c>
      <c r="K54" s="108">
        <v>0.40816038846969604</v>
      </c>
      <c r="L54" s="108">
        <v>0.38537302613258362</v>
      </c>
      <c r="M54" s="108">
        <v>0.33026325702667236</v>
      </c>
      <c r="N54" s="108">
        <v>0.23571524024009705</v>
      </c>
      <c r="O54" s="108">
        <v>7.5630642473697662E-2</v>
      </c>
      <c r="P54" s="109"/>
      <c r="Q54" s="108">
        <v>0.18935509026050568</v>
      </c>
      <c r="R54" s="108">
        <v>0.27996712923049927</v>
      </c>
      <c r="S54" s="109"/>
      <c r="T54" s="108">
        <v>0.49270892143249512</v>
      </c>
      <c r="U54" s="108">
        <v>0.22862863540649414</v>
      </c>
      <c r="V54" s="108">
        <v>0.29251393675804138</v>
      </c>
      <c r="W54" s="108">
        <v>0.31748417019844055</v>
      </c>
      <c r="X54" s="108">
        <v>0.32519963383674622</v>
      </c>
      <c r="Y54" s="108">
        <v>0.34049102663993835</v>
      </c>
      <c r="Z54" s="108">
        <v>0.27858743071556091</v>
      </c>
      <c r="AA54" s="108">
        <v>0.18962360918521881</v>
      </c>
      <c r="AB54" s="108">
        <v>0.35087528824806213</v>
      </c>
      <c r="AC54" s="108">
        <v>0.29575663805007935</v>
      </c>
      <c r="AD54" s="108">
        <v>0.30077648162841797</v>
      </c>
      <c r="AE54" s="108">
        <v>0.48672428727149963</v>
      </c>
      <c r="AF54" s="108">
        <v>0.33489817380905151</v>
      </c>
      <c r="AG54" s="108">
        <v>0.48587319254875183</v>
      </c>
      <c r="AH54" s="108">
        <v>0.37267640233039856</v>
      </c>
      <c r="AI54" s="108">
        <v>0.28571429848670959</v>
      </c>
      <c r="AJ54" s="108">
        <v>0.46508437395095825</v>
      </c>
      <c r="AK54" s="108">
        <v>0.49464309215545654</v>
      </c>
      <c r="AL54" s="108">
        <v>0.4268740713596344</v>
      </c>
      <c r="AM54" s="108">
        <v>0.35406741499900818</v>
      </c>
      <c r="AN54" s="108">
        <v>0.34477543830871582</v>
      </c>
      <c r="AO54" s="108">
        <v>0.56136226654052734</v>
      </c>
      <c r="AP54" s="108">
        <v>0.46990537643432617</v>
      </c>
      <c r="AQ54" s="108">
        <v>0.37216860055923462</v>
      </c>
      <c r="AR54" s="108">
        <v>0.36676877737045288</v>
      </c>
      <c r="AS54" s="108">
        <v>0.41552552580833435</v>
      </c>
      <c r="AT54" s="108">
        <v>0.36411452293395996</v>
      </c>
      <c r="AU54" s="108">
        <v>0.43509387969970703</v>
      </c>
      <c r="AV54" s="108">
        <v>0.21957521140575409</v>
      </c>
      <c r="AW54" s="108">
        <v>0.43034875392913818</v>
      </c>
      <c r="AX54" s="108">
        <v>0.35522428154945374</v>
      </c>
      <c r="AY54" s="108">
        <v>0.42053613066673279</v>
      </c>
      <c r="AZ54" s="108">
        <v>0.47989916801452637</v>
      </c>
      <c r="BA54" s="108">
        <v>0.57459086179733276</v>
      </c>
      <c r="BB54" s="108">
        <v>0.38235294818878174</v>
      </c>
      <c r="BC54" s="108">
        <v>0.52478951215744019</v>
      </c>
      <c r="BD54" s="108">
        <v>0.34685400128364563</v>
      </c>
      <c r="BE54" s="108">
        <v>0.58854717016220093</v>
      </c>
      <c r="BF54" s="108">
        <v>0.52321410179138184</v>
      </c>
      <c r="BG54" s="108">
        <v>0.45409604907035828</v>
      </c>
      <c r="BH54" s="108">
        <v>0.53436213731765747</v>
      </c>
      <c r="BI54" s="108">
        <v>0.30920040607452393</v>
      </c>
      <c r="BJ54" s="108">
        <v>0.4246075451374054</v>
      </c>
      <c r="BK54" s="108">
        <v>0.251630038022995</v>
      </c>
      <c r="BL54" s="108">
        <v>0.44155582785606384</v>
      </c>
    </row>
    <row r="55" spans="1:64" x14ac:dyDescent="0.2">
      <c r="A55" t="s">
        <v>155</v>
      </c>
      <c r="B55" s="108">
        <v>0.21729221940040588</v>
      </c>
      <c r="C55" s="108">
        <v>0.29724597930908203</v>
      </c>
      <c r="D55" s="108">
        <v>0.3725534975528717</v>
      </c>
      <c r="E55" s="108">
        <v>0.30627202987670898</v>
      </c>
      <c r="F55" s="108">
        <v>0.22685541212558746</v>
      </c>
      <c r="G55" s="108">
        <v>0.47330188751220703</v>
      </c>
      <c r="H55" s="108">
        <v>0.39323857426643372</v>
      </c>
      <c r="I55" s="108">
        <v>0.34708702564239502</v>
      </c>
      <c r="J55" s="108">
        <v>0.36189410090446472</v>
      </c>
      <c r="K55" s="108">
        <v>0.36640003323554993</v>
      </c>
      <c r="L55" s="108">
        <v>0.31524953246116638</v>
      </c>
      <c r="M55" s="108">
        <v>0.30827924609184265</v>
      </c>
      <c r="N55" s="108">
        <v>0.29823148250579834</v>
      </c>
      <c r="O55" s="108">
        <v>3.9167668670415878E-2</v>
      </c>
      <c r="P55" s="109"/>
      <c r="Q55" s="108">
        <v>0.16927841305732727</v>
      </c>
      <c r="R55" s="108">
        <v>0.15777583420276642</v>
      </c>
      <c r="S55" s="109"/>
      <c r="T55" s="108">
        <v>0.36197766661643982</v>
      </c>
      <c r="U55" s="108">
        <v>0.17897839844226837</v>
      </c>
      <c r="V55" s="108">
        <v>0.28766575455665588</v>
      </c>
      <c r="W55" s="108">
        <v>0.32698816061019897</v>
      </c>
      <c r="X55" s="108">
        <v>0.30592510104179382</v>
      </c>
      <c r="Y55" s="108">
        <v>0.39422997832298279</v>
      </c>
      <c r="Z55" s="108">
        <v>0.31558957695960999</v>
      </c>
      <c r="AA55" s="108">
        <v>0.17470967769622803</v>
      </c>
      <c r="AB55" s="108">
        <v>0.29689568281173706</v>
      </c>
      <c r="AC55" s="108">
        <v>0.29213130474090576</v>
      </c>
      <c r="AD55" s="108">
        <v>0.19852380454540253</v>
      </c>
      <c r="AE55" s="108">
        <v>0.43759623169898987</v>
      </c>
      <c r="AF55" s="108">
        <v>0.22557118535041809</v>
      </c>
      <c r="AG55" s="108">
        <v>0.43793994188308716</v>
      </c>
      <c r="AH55" s="108">
        <v>0.35822799801826477</v>
      </c>
      <c r="AI55" s="108">
        <v>0.29038718342781067</v>
      </c>
      <c r="AJ55" s="108">
        <v>0.4260438084602356</v>
      </c>
      <c r="AK55" s="108">
        <v>0.45905140042304993</v>
      </c>
      <c r="AL55" s="108">
        <v>0.35670223832130432</v>
      </c>
      <c r="AM55" s="108">
        <v>0.31596073508262634</v>
      </c>
      <c r="AN55" s="108">
        <v>0.30709740519523621</v>
      </c>
      <c r="AO55" s="108">
        <v>0.50334042310714722</v>
      </c>
      <c r="AP55" s="108">
        <v>0.31611141562461853</v>
      </c>
      <c r="AQ55" s="108">
        <v>0.44649368524551392</v>
      </c>
      <c r="AR55" s="108">
        <v>0.43063870072364807</v>
      </c>
      <c r="AS55" s="108">
        <v>0.33725127577781677</v>
      </c>
      <c r="AT55" s="108">
        <v>0.29633209109306335</v>
      </c>
      <c r="AU55" s="108">
        <v>0.41587662696838379</v>
      </c>
      <c r="AV55" s="108">
        <v>0.14401625096797943</v>
      </c>
      <c r="AW55" s="108">
        <v>0.36825135350227356</v>
      </c>
      <c r="AX55" s="108">
        <v>0.27411150932312012</v>
      </c>
      <c r="AY55" s="108">
        <v>0.43866816163063049</v>
      </c>
      <c r="AZ55" s="108">
        <v>0.38506054878234863</v>
      </c>
      <c r="BA55" s="108">
        <v>0.56230813264846802</v>
      </c>
      <c r="BB55" s="108">
        <v>0.43471819162368774</v>
      </c>
      <c r="BC55" s="108">
        <v>0.44832322001457214</v>
      </c>
      <c r="BD55" s="108">
        <v>0.48465016484260559</v>
      </c>
      <c r="BE55" s="108">
        <v>0.42407065629959106</v>
      </c>
      <c r="BF55" s="108">
        <v>0.43621909618377686</v>
      </c>
      <c r="BG55" s="108">
        <v>0.4936690628528595</v>
      </c>
      <c r="BH55" s="108">
        <v>0.36693587899208069</v>
      </c>
      <c r="BI55" s="108">
        <v>0.34310731291770935</v>
      </c>
      <c r="BJ55" s="108">
        <v>0.3610745370388031</v>
      </c>
      <c r="BK55" s="108">
        <v>0.21348650753498077</v>
      </c>
      <c r="BL55" s="108">
        <v>0.37301537394523621</v>
      </c>
    </row>
    <row r="56" spans="1:64" x14ac:dyDescent="0.2">
      <c r="A56" t="s">
        <v>159</v>
      </c>
      <c r="B56" s="108">
        <v>0.5838896632194519</v>
      </c>
      <c r="C56" s="108">
        <v>0.4289986789226532</v>
      </c>
      <c r="D56" s="108">
        <v>0.40853747725486755</v>
      </c>
      <c r="E56" s="108">
        <v>0.51967155933380127</v>
      </c>
      <c r="F56" s="108">
        <v>0.51650166511535645</v>
      </c>
      <c r="G56" s="108">
        <v>0.51995068788528442</v>
      </c>
      <c r="H56" s="108">
        <v>0.39784875512123108</v>
      </c>
      <c r="I56" s="108">
        <v>0.35720446705818176</v>
      </c>
      <c r="J56" s="108">
        <v>0.4395793080329895</v>
      </c>
      <c r="K56" s="108">
        <v>0.49941325187683105</v>
      </c>
      <c r="L56" s="108">
        <v>0.35939544439315796</v>
      </c>
      <c r="M56" s="108">
        <v>0.43481960892677307</v>
      </c>
      <c r="N56" s="108">
        <v>0.43797749280929565</v>
      </c>
      <c r="O56" s="108">
        <v>0.79593688249588013</v>
      </c>
      <c r="P56" s="109"/>
      <c r="Q56" s="108">
        <v>0.59824097156524658</v>
      </c>
      <c r="R56" s="108">
        <v>0.52867579460144043</v>
      </c>
      <c r="S56" s="109"/>
      <c r="T56" s="108">
        <v>0.55843788385391235</v>
      </c>
      <c r="U56" s="108">
        <v>0.51970452070236206</v>
      </c>
      <c r="V56" s="108">
        <v>0.59737712144851685</v>
      </c>
      <c r="W56" s="108">
        <v>0.70113676786422729</v>
      </c>
      <c r="X56" s="108">
        <v>0.53632736206054688</v>
      </c>
      <c r="Y56" s="108">
        <v>0.62226206064224243</v>
      </c>
      <c r="Z56" s="108">
        <v>0.62352102994918823</v>
      </c>
      <c r="AA56" s="108">
        <v>0.69162666797637939</v>
      </c>
      <c r="AB56" s="108">
        <v>0.58961617946624756</v>
      </c>
      <c r="AC56" s="108">
        <v>0.65073752403259277</v>
      </c>
      <c r="AD56" s="108">
        <v>0.66707503795623779</v>
      </c>
      <c r="AE56" s="108">
        <v>0.46029826998710632</v>
      </c>
      <c r="AF56" s="108">
        <v>0.59784442186355591</v>
      </c>
      <c r="AG56" s="108">
        <v>0.38871225714683533</v>
      </c>
      <c r="AH56" s="108">
        <v>0.53165960311889648</v>
      </c>
      <c r="AI56" s="108">
        <v>0.42547571659088135</v>
      </c>
      <c r="AJ56" s="108">
        <v>0.41876620054244995</v>
      </c>
      <c r="AK56" s="108">
        <v>0.48100787401199341</v>
      </c>
      <c r="AL56" s="108">
        <v>0.4881746768951416</v>
      </c>
      <c r="AM56" s="108">
        <v>0.50231820344924927</v>
      </c>
      <c r="AN56" s="108">
        <v>0.48007354140281677</v>
      </c>
      <c r="AO56" s="108">
        <v>0.37525483965873718</v>
      </c>
      <c r="AP56" s="108">
        <v>0.36216223239898682</v>
      </c>
      <c r="AQ56" s="108">
        <v>0.31867775321006775</v>
      </c>
      <c r="AR56" s="108">
        <v>0.32941478490829468</v>
      </c>
      <c r="AS56" s="108">
        <v>0.36733680963516235</v>
      </c>
      <c r="AT56" s="108">
        <v>0.39843562245368958</v>
      </c>
      <c r="AU56" s="108">
        <v>0.28270083665847778</v>
      </c>
      <c r="AV56" s="108">
        <v>0.62489038705825806</v>
      </c>
      <c r="AW56" s="108">
        <v>0.34586068987846375</v>
      </c>
      <c r="AX56" s="108">
        <v>0.4237746000289917</v>
      </c>
      <c r="AY56" s="108">
        <v>0.38843494653701782</v>
      </c>
      <c r="AZ56" s="108">
        <v>0.3241906464099884</v>
      </c>
      <c r="BA56" s="108">
        <v>0.29183757305145264</v>
      </c>
      <c r="BB56" s="108">
        <v>0.32073909044265747</v>
      </c>
      <c r="BC56" s="108">
        <v>0.24703967571258545</v>
      </c>
      <c r="BD56" s="108">
        <v>0.38003531098365784</v>
      </c>
      <c r="BE56" s="108">
        <v>0.31419768929481506</v>
      </c>
      <c r="BF56" s="108">
        <v>0.32128798961639404</v>
      </c>
      <c r="BG56" s="108">
        <v>0.29355660080909729</v>
      </c>
      <c r="BH56" s="108">
        <v>0.24067477881908417</v>
      </c>
      <c r="BI56" s="108">
        <v>0.35691264271736145</v>
      </c>
      <c r="BJ56" s="108">
        <v>0.32780686020851135</v>
      </c>
      <c r="BK56" s="108">
        <v>0.3913523256778717</v>
      </c>
      <c r="BL56" s="108">
        <v>0.2980613112449646</v>
      </c>
    </row>
    <row r="57" spans="1:64" x14ac:dyDescent="0.2">
      <c r="A57" t="s">
        <v>161</v>
      </c>
      <c r="B57" s="108">
        <v>0.35540947318077087</v>
      </c>
      <c r="C57" s="108">
        <v>0.22979047894477844</v>
      </c>
      <c r="D57" s="108">
        <v>0.15336257219314575</v>
      </c>
      <c r="E57" s="108">
        <v>0.18183369934558868</v>
      </c>
      <c r="F57" s="108">
        <v>0.14658662676811218</v>
      </c>
      <c r="G57" s="108">
        <v>0.2662893533706665</v>
      </c>
      <c r="H57" s="108">
        <v>0.25078263878822327</v>
      </c>
      <c r="I57" s="108">
        <v>0.42465892434120178</v>
      </c>
      <c r="J57" s="108">
        <v>0.13379868865013123</v>
      </c>
      <c r="K57" s="108">
        <v>0.15637595951557159</v>
      </c>
      <c r="L57" s="108">
        <v>0.24848496913909912</v>
      </c>
      <c r="M57" s="108">
        <v>0.21806345880031586</v>
      </c>
      <c r="N57" s="108">
        <v>0.29096001386642456</v>
      </c>
      <c r="O57" s="108">
        <v>0.26520630717277527</v>
      </c>
      <c r="P57" s="109"/>
      <c r="Q57" s="108">
        <v>0.16018277406692505</v>
      </c>
      <c r="R57" s="108">
        <v>0.16239151358604431</v>
      </c>
      <c r="S57" s="109"/>
      <c r="T57" s="108">
        <v>0.16592101752758026</v>
      </c>
      <c r="U57" s="108">
        <v>0.14822392165660858</v>
      </c>
      <c r="V57" s="108">
        <v>0.24568597972393036</v>
      </c>
      <c r="W57" s="108">
        <v>0.14948257803916931</v>
      </c>
      <c r="X57" s="108">
        <v>0.16065704822540283</v>
      </c>
      <c r="Y57" s="108">
        <v>0.20525875687599182</v>
      </c>
      <c r="Z57" s="108">
        <v>0.24889396131038666</v>
      </c>
      <c r="AA57" s="108">
        <v>0.27036431431770325</v>
      </c>
      <c r="AB57" s="108">
        <v>0.20003758370876312</v>
      </c>
      <c r="AC57" s="108">
        <v>0.33395582437515259</v>
      </c>
      <c r="AD57" s="108">
        <v>0.15280057489871979</v>
      </c>
      <c r="AE57" s="108">
        <v>0.40616056323051453</v>
      </c>
      <c r="AF57" s="108">
        <v>0.23833300173282623</v>
      </c>
      <c r="AG57" s="108">
        <v>0.19854825735092163</v>
      </c>
      <c r="AH57" s="108">
        <v>0.22673638164997101</v>
      </c>
      <c r="AI57" s="108">
        <v>0.14973317086696625</v>
      </c>
      <c r="AJ57" s="108">
        <v>0.2695961594581604</v>
      </c>
      <c r="AK57" s="108">
        <v>0.21869592368602753</v>
      </c>
      <c r="AL57" s="108">
        <v>0.33518350124359131</v>
      </c>
      <c r="AM57" s="108">
        <v>0.42985314130783081</v>
      </c>
      <c r="AN57" s="108">
        <v>0.64599800109863281</v>
      </c>
      <c r="AO57" s="108">
        <v>0.22102706134319305</v>
      </c>
      <c r="AP57" s="108">
        <v>0.27197214961051941</v>
      </c>
      <c r="AQ57" s="108">
        <v>0.22857770323753357</v>
      </c>
      <c r="AR57" s="108">
        <v>0.2144913375377655</v>
      </c>
      <c r="AS57" s="108">
        <v>0.21992219984531403</v>
      </c>
      <c r="AT57" s="108">
        <v>0.32931175827980042</v>
      </c>
      <c r="AU57" s="108">
        <v>0.13497176766395569</v>
      </c>
      <c r="AV57" s="108">
        <v>0.39741617441177368</v>
      </c>
      <c r="AW57" s="108">
        <v>0.3336893618106842</v>
      </c>
      <c r="AX57" s="108">
        <v>0.25784569978713989</v>
      </c>
      <c r="AY57" s="108">
        <v>0.28954213857650757</v>
      </c>
      <c r="AZ57" s="108">
        <v>0.36742100119590759</v>
      </c>
      <c r="BA57" s="108">
        <v>0.14374460279941559</v>
      </c>
      <c r="BB57" s="108">
        <v>0.20996531844139099</v>
      </c>
      <c r="BC57" s="108">
        <v>0.38894516229629517</v>
      </c>
      <c r="BD57" s="108">
        <v>0.43355080485343933</v>
      </c>
      <c r="BE57" s="108">
        <v>0.15148256719112396</v>
      </c>
      <c r="BF57" s="108">
        <v>8.8130444288253784E-2</v>
      </c>
      <c r="BG57" s="108">
        <v>0.2347903847694397</v>
      </c>
      <c r="BH57" s="108">
        <v>0.24063204228878021</v>
      </c>
      <c r="BI57" s="108">
        <v>0.27777710556983948</v>
      </c>
      <c r="BJ57" s="108">
        <v>0.2672063410282135</v>
      </c>
      <c r="BK57" s="108">
        <v>0.30956977605819702</v>
      </c>
      <c r="BL57" s="108">
        <v>0.40423282980918884</v>
      </c>
    </row>
    <row r="58" spans="1:64" x14ac:dyDescent="0.2">
      <c r="A58" t="s">
        <v>163</v>
      </c>
      <c r="B58" s="108">
        <v>0.90813028812408447</v>
      </c>
      <c r="C58" s="108">
        <v>0.84914267063140869</v>
      </c>
      <c r="D58" s="108">
        <v>0.7519189715385437</v>
      </c>
      <c r="E58" s="108">
        <v>0.83615028858184814</v>
      </c>
      <c r="F58" s="108">
        <v>0.83890622854232788</v>
      </c>
      <c r="G58" s="108">
        <v>0.85090816020965576</v>
      </c>
      <c r="H58" s="108">
        <v>0.87783807516098022</v>
      </c>
      <c r="I58" s="108">
        <v>0.82186156511306763</v>
      </c>
      <c r="J58" s="108">
        <v>0.78098422288894653</v>
      </c>
      <c r="K58" s="108">
        <v>0.90286213159561157</v>
      </c>
      <c r="L58" s="108">
        <v>0.90201812982559204</v>
      </c>
      <c r="M58" s="108">
        <v>0.94276845455169678</v>
      </c>
      <c r="N58" s="108">
        <v>0.90712952613830566</v>
      </c>
      <c r="O58" s="108">
        <v>0.95981603860855103</v>
      </c>
      <c r="P58" s="109"/>
      <c r="Q58" s="108">
        <v>0.89192980527877808</v>
      </c>
      <c r="R58" s="108">
        <v>0.91842639446258545</v>
      </c>
      <c r="S58" s="109"/>
      <c r="T58" s="108">
        <v>0.78681719303131104</v>
      </c>
      <c r="U58" s="108">
        <v>0.88057953119277954</v>
      </c>
      <c r="V58" s="108">
        <v>0.92132550477981567</v>
      </c>
      <c r="W58" s="108">
        <v>0.8170013427734375</v>
      </c>
      <c r="X58" s="108">
        <v>0.93018347024917603</v>
      </c>
      <c r="Y58" s="108">
        <v>0.84868323802947998</v>
      </c>
      <c r="Z58" s="108">
        <v>0.80740445852279663</v>
      </c>
      <c r="AA58" s="108">
        <v>0.90301680564880371</v>
      </c>
      <c r="AB58" s="108">
        <v>0.75289046764373779</v>
      </c>
      <c r="AC58" s="108">
        <v>0.82242941856384277</v>
      </c>
      <c r="AD58" s="108">
        <v>0.88151663541793823</v>
      </c>
      <c r="AE58" s="108">
        <v>0.88162100315093994</v>
      </c>
      <c r="AF58" s="108">
        <v>0.92783266305923462</v>
      </c>
      <c r="AG58" s="108">
        <v>0.8265998363494873</v>
      </c>
      <c r="AH58" s="108">
        <v>0.81334054470062256</v>
      </c>
      <c r="AI58" s="108">
        <v>0.85633063316345215</v>
      </c>
      <c r="AJ58" s="108">
        <v>0.78695815801620483</v>
      </c>
      <c r="AK58" s="108">
        <v>0.89787447452545166</v>
      </c>
      <c r="AL58" s="108">
        <v>0.85708671808242798</v>
      </c>
      <c r="AM58" s="108">
        <v>0.96406209468841553</v>
      </c>
      <c r="AN58" s="108">
        <v>0.97964560985565186</v>
      </c>
      <c r="AO58" s="108">
        <v>0.81717485189437866</v>
      </c>
      <c r="AP58" s="108">
        <v>0.81868404150009155</v>
      </c>
      <c r="AQ58" s="108">
        <v>0.79764682054519653</v>
      </c>
      <c r="AR58" s="108">
        <v>0.80080443620681763</v>
      </c>
      <c r="AS58" s="108">
        <v>0.87693971395492554</v>
      </c>
      <c r="AT58" s="108">
        <v>0.88129591941833496</v>
      </c>
      <c r="AU58" s="108">
        <v>0.9417157769203186</v>
      </c>
      <c r="AV58" s="108">
        <v>0.97617805004119873</v>
      </c>
      <c r="AW58" s="108">
        <v>0.86923938989639282</v>
      </c>
      <c r="AX58" s="108">
        <v>0.84680694341659546</v>
      </c>
      <c r="AY58" s="108">
        <v>0.85154509544372559</v>
      </c>
      <c r="AZ58" s="108">
        <v>0.80821388959884644</v>
      </c>
      <c r="BA58" s="108">
        <v>0.83933883905410767</v>
      </c>
      <c r="BB58" s="108">
        <v>0.96420532464981079</v>
      </c>
      <c r="BC58" s="108">
        <v>0.83498752117156982</v>
      </c>
      <c r="BD58" s="108">
        <v>0.83188939094543457</v>
      </c>
      <c r="BE58" s="108">
        <v>0.79506564140319824</v>
      </c>
      <c r="BF58" s="108">
        <v>0.85572898387908936</v>
      </c>
      <c r="BG58" s="108">
        <v>0.81105959415435791</v>
      </c>
      <c r="BH58" s="108">
        <v>0.84750306606292725</v>
      </c>
      <c r="BI58" s="108">
        <v>0.89295721054077148</v>
      </c>
      <c r="BJ58" s="108">
        <v>0.87561458349227905</v>
      </c>
      <c r="BK58" s="108">
        <v>0.89518225193023682</v>
      </c>
      <c r="BL58" s="108">
        <v>0.87554365396499634</v>
      </c>
    </row>
    <row r="59" spans="1:64" x14ac:dyDescent="0.2">
      <c r="A59" t="s">
        <v>167</v>
      </c>
      <c r="B59" s="108">
        <v>0.12767679989337921</v>
      </c>
      <c r="C59" s="108">
        <v>0.14862194657325745</v>
      </c>
      <c r="D59" s="108">
        <v>0.15034620463848114</v>
      </c>
      <c r="E59" s="108">
        <v>0.17603114247322083</v>
      </c>
      <c r="F59" s="108">
        <v>0.1358637660741806</v>
      </c>
      <c r="G59" s="108">
        <v>0.12156722694635391</v>
      </c>
      <c r="H59" s="108">
        <v>0.17168755829334259</v>
      </c>
      <c r="I59" s="108">
        <v>0.10840778052806854</v>
      </c>
      <c r="J59" s="108">
        <v>0.16510215401649475</v>
      </c>
      <c r="K59" s="108">
        <v>9.4934865832328796E-2</v>
      </c>
      <c r="L59" s="108">
        <v>0.12947554886341095</v>
      </c>
      <c r="M59" s="108">
        <v>0.24001649022102356</v>
      </c>
      <c r="N59" s="108">
        <v>0.17802950739860535</v>
      </c>
      <c r="O59" s="108">
        <v>0.20480027794837952</v>
      </c>
      <c r="P59" s="109"/>
      <c r="Q59" s="108">
        <v>0.10813788324594498</v>
      </c>
      <c r="R59" s="108">
        <v>0.13835150003433228</v>
      </c>
      <c r="S59" s="109"/>
      <c r="T59" s="108">
        <v>0.1576247364282608</v>
      </c>
      <c r="U59" s="108">
        <v>0.13996782898902893</v>
      </c>
      <c r="V59" s="108">
        <v>9.0122893452644348E-2</v>
      </c>
      <c r="W59" s="108">
        <v>0.13587859272956848</v>
      </c>
      <c r="X59" s="108">
        <v>0.1478692889213562</v>
      </c>
      <c r="Y59" s="108">
        <v>0.178021639585495</v>
      </c>
      <c r="Z59" s="108">
        <v>9.7029343247413635E-2</v>
      </c>
      <c r="AA59" s="108">
        <v>0.14103859663009644</v>
      </c>
      <c r="AB59" s="108">
        <v>0.10892064869403839</v>
      </c>
      <c r="AC59" s="108">
        <v>0.14325357973575592</v>
      </c>
      <c r="AD59" s="108">
        <v>0.24595543742179871</v>
      </c>
      <c r="AE59" s="108">
        <v>0.19801110029220581</v>
      </c>
      <c r="AF59" s="108">
        <v>0.28759083151817322</v>
      </c>
      <c r="AG59" s="108">
        <v>9.00997593998909E-2</v>
      </c>
      <c r="AH59" s="108">
        <v>0.16643665730953217</v>
      </c>
      <c r="AI59" s="108">
        <v>0.15281330049037933</v>
      </c>
      <c r="AJ59" s="108">
        <v>0.15729720890522003</v>
      </c>
      <c r="AK59" s="108">
        <v>0.15073585510253906</v>
      </c>
      <c r="AL59" s="108">
        <v>0.25915011763572693</v>
      </c>
      <c r="AM59" s="108">
        <v>0.28433665633201599</v>
      </c>
      <c r="AN59" s="108">
        <v>0.19021843373775482</v>
      </c>
      <c r="AO59" s="108">
        <v>0.10677880048751831</v>
      </c>
      <c r="AP59" s="108">
        <v>0.20304067432880402</v>
      </c>
      <c r="AQ59" s="108">
        <v>0.12096952646970749</v>
      </c>
      <c r="AR59" s="108">
        <v>0.13303367793560028</v>
      </c>
      <c r="AS59" s="108">
        <v>0.14449414610862732</v>
      </c>
      <c r="AT59" s="108">
        <v>0.15665023028850555</v>
      </c>
      <c r="AU59" s="108">
        <v>0.13946926593780518</v>
      </c>
      <c r="AV59" s="108">
        <v>0.33854654431343079</v>
      </c>
      <c r="AW59" s="108">
        <v>0.19925703108310699</v>
      </c>
      <c r="AX59" s="108">
        <v>0.13885729014873505</v>
      </c>
      <c r="AY59" s="108">
        <v>6.9823935627937317E-2</v>
      </c>
      <c r="AZ59" s="108">
        <v>0.19173304736614227</v>
      </c>
      <c r="BA59" s="108">
        <v>0.1171041801571846</v>
      </c>
      <c r="BB59" s="108">
        <v>0.11651363223791122</v>
      </c>
      <c r="BC59" s="108">
        <v>0.15818989276885986</v>
      </c>
      <c r="BD59" s="108">
        <v>0.17725008726119995</v>
      </c>
      <c r="BE59" s="108">
        <v>9.7145386040210724E-2</v>
      </c>
      <c r="BF59" s="108">
        <v>9.9008999764919281E-2</v>
      </c>
      <c r="BG59" s="108">
        <v>8.182099461555481E-2</v>
      </c>
      <c r="BH59" s="108">
        <v>0.13372322916984558</v>
      </c>
      <c r="BI59" s="108">
        <v>0.24356892704963684</v>
      </c>
      <c r="BJ59" s="108">
        <v>8.5161842405796051E-2</v>
      </c>
      <c r="BK59" s="108">
        <v>0.23966673016548157</v>
      </c>
      <c r="BL59" s="108">
        <v>0.136849045753479</v>
      </c>
    </row>
    <row r="60" spans="1:64" x14ac:dyDescent="0.2">
      <c r="A60" t="s">
        <v>169</v>
      </c>
      <c r="B60" s="108">
        <v>2.8265563771128654E-2</v>
      </c>
      <c r="C60" s="108">
        <v>6.1942566186189651E-2</v>
      </c>
      <c r="D60" s="108">
        <v>7.2208695113658905E-2</v>
      </c>
      <c r="E60" s="108">
        <v>3.9523068815469742E-2</v>
      </c>
      <c r="F60" s="108">
        <v>2.5852685794234276E-2</v>
      </c>
      <c r="G60" s="108">
        <v>4.8171155154705048E-2</v>
      </c>
      <c r="H60" s="108">
        <v>6.9911181926727295E-2</v>
      </c>
      <c r="I60" s="108">
        <v>3.2760865986347198E-2</v>
      </c>
      <c r="J60" s="108">
        <v>4.6181894838809967E-2</v>
      </c>
      <c r="K60" s="108">
        <v>3.4061465412378311E-2</v>
      </c>
      <c r="L60" s="108">
        <v>3.0578669160604477E-2</v>
      </c>
      <c r="M60" s="108">
        <v>6.2137555330991745E-2</v>
      </c>
      <c r="N60" s="108">
        <v>6.865449994802475E-2</v>
      </c>
      <c r="O60" s="108">
        <v>4.0627662092447281E-2</v>
      </c>
      <c r="P60" s="109"/>
      <c r="Q60" s="108">
        <v>2.8775770217180252E-2</v>
      </c>
      <c r="R60" s="108">
        <v>2.9899448156356812E-2</v>
      </c>
      <c r="S60" s="109"/>
      <c r="T60" s="108">
        <v>4.4156212359666824E-2</v>
      </c>
      <c r="U60" s="108">
        <v>3.6530647426843643E-2</v>
      </c>
      <c r="V60" s="108">
        <v>3.2010979950428009E-2</v>
      </c>
      <c r="W60" s="108">
        <v>2.5354361161589622E-2</v>
      </c>
      <c r="X60" s="108">
        <v>4.3743409216403961E-2</v>
      </c>
      <c r="Y60" s="108">
        <v>3.9617788046598434E-2</v>
      </c>
      <c r="Z60" s="108">
        <v>1.6718115657567978E-2</v>
      </c>
      <c r="AA60" s="108">
        <v>2.7021238580346107E-2</v>
      </c>
      <c r="AB60" s="108">
        <v>4.7700077295303345E-2</v>
      </c>
      <c r="AC60" s="108">
        <v>9.794820100069046E-2</v>
      </c>
      <c r="AD60" s="108">
        <v>0.12359029054641724</v>
      </c>
      <c r="AE60" s="108">
        <v>8.4019787609577179E-2</v>
      </c>
      <c r="AF60" s="108">
        <v>0.1235625296831131</v>
      </c>
      <c r="AG60" s="108">
        <v>1.8545137718319893E-2</v>
      </c>
      <c r="AH60" s="108">
        <v>3.669464960694313E-2</v>
      </c>
      <c r="AI60" s="108">
        <v>5.5889099836349487E-2</v>
      </c>
      <c r="AJ60" s="108">
        <v>2.9052110388875008E-2</v>
      </c>
      <c r="AK60" s="108">
        <v>6.4949676394462585E-2</v>
      </c>
      <c r="AL60" s="108">
        <v>3.125E-2</v>
      </c>
      <c r="AM60" s="108">
        <v>8.5354775190353394E-2</v>
      </c>
      <c r="AN60" s="108">
        <v>6.9746978580951691E-2</v>
      </c>
      <c r="AO60" s="108">
        <v>1.7966359853744507E-2</v>
      </c>
      <c r="AP60" s="108">
        <v>2.8378427028656006E-2</v>
      </c>
      <c r="AQ60" s="108">
        <v>4.0832903236150742E-2</v>
      </c>
      <c r="AR60" s="108">
        <v>3.8703449070453644E-2</v>
      </c>
      <c r="AS60" s="108">
        <v>5.0654880702495575E-2</v>
      </c>
      <c r="AT60" s="108">
        <v>2.5320179760456085E-2</v>
      </c>
      <c r="AU60" s="108">
        <v>4.648975282907486E-2</v>
      </c>
      <c r="AV60" s="108">
        <v>0.12289242446422577</v>
      </c>
      <c r="AW60" s="108">
        <v>4.2202472686767578E-2</v>
      </c>
      <c r="AX60" s="108">
        <v>3.1425110995769501E-2</v>
      </c>
      <c r="AY60" s="108">
        <v>1.7539294436573982E-2</v>
      </c>
      <c r="AZ60" s="108">
        <v>3.9651274681091309E-2</v>
      </c>
      <c r="BA60" s="108">
        <v>3.2930970191955566E-2</v>
      </c>
      <c r="BB60" s="108">
        <v>1.558790635317564E-2</v>
      </c>
      <c r="BC60" s="108">
        <v>4.7178257256746292E-2</v>
      </c>
      <c r="BD60" s="108">
        <v>4.8130292445421219E-2</v>
      </c>
      <c r="BE60" s="108">
        <v>1.7322693020105362E-2</v>
      </c>
      <c r="BF60" s="108">
        <v>1.7822401598095894E-2</v>
      </c>
      <c r="BG60" s="108">
        <v>3.6902695894241333E-2</v>
      </c>
      <c r="BH60" s="108">
        <v>3.9426069706678391E-2</v>
      </c>
      <c r="BI60" s="108">
        <v>0.11173553019762039</v>
      </c>
      <c r="BJ60" s="108">
        <v>3.0797991901636124E-2</v>
      </c>
      <c r="BK60" s="108">
        <v>4.8908647149801254E-2</v>
      </c>
      <c r="BL60" s="108">
        <v>4.8622883856296539E-2</v>
      </c>
    </row>
    <row r="61" spans="1:64" x14ac:dyDescent="0.2">
      <c r="A61" t="s">
        <v>171</v>
      </c>
      <c r="B61" s="108">
        <v>0.79274260997772217</v>
      </c>
      <c r="C61" s="108">
        <v>0.75635236501693726</v>
      </c>
      <c r="D61" s="108">
        <v>0.89801186323165894</v>
      </c>
      <c r="E61" s="108">
        <v>0.81826460361480713</v>
      </c>
      <c r="F61" s="108">
        <v>1</v>
      </c>
      <c r="G61" s="108">
        <v>0.57512575387954712</v>
      </c>
      <c r="H61" s="108">
        <v>0.89399147033691406</v>
      </c>
      <c r="I61" s="108">
        <v>0.98487204313278198</v>
      </c>
      <c r="J61" s="108">
        <v>0.83833605051040649</v>
      </c>
      <c r="K61" s="108">
        <v>0.97026932239532471</v>
      </c>
      <c r="L61" s="108">
        <v>1</v>
      </c>
      <c r="M61" s="108">
        <v>0.92752838134765625</v>
      </c>
      <c r="N61" s="108">
        <v>0.96780019998550415</v>
      </c>
      <c r="O61" s="108">
        <v>0.68181443214416504</v>
      </c>
      <c r="P61" s="109"/>
      <c r="Q61" s="108">
        <v>1</v>
      </c>
      <c r="R61" s="108">
        <v>0.97271686792373657</v>
      </c>
      <c r="S61" s="109"/>
      <c r="T61" s="108">
        <v>1</v>
      </c>
      <c r="U61" s="108">
        <v>1</v>
      </c>
      <c r="V61" s="108">
        <v>1</v>
      </c>
      <c r="W61" s="108">
        <v>0.92879778146743774</v>
      </c>
      <c r="X61" s="108">
        <v>0.84509468078613281</v>
      </c>
      <c r="Y61" s="108">
        <v>0.45045796036720276</v>
      </c>
      <c r="Z61" s="108">
        <v>1</v>
      </c>
      <c r="AA61" s="108">
        <v>0.89022713899612427</v>
      </c>
      <c r="AB61" s="108">
        <v>0.93794012069702148</v>
      </c>
      <c r="AC61" s="108">
        <v>0.77077901363372803</v>
      </c>
      <c r="AD61" s="108">
        <v>0.82061386108398438</v>
      </c>
      <c r="AE61" s="108">
        <v>1</v>
      </c>
      <c r="AF61" s="108">
        <v>0.93886291980743408</v>
      </c>
      <c r="AG61" s="108">
        <v>0.93705207109451294</v>
      </c>
      <c r="AH61" s="108">
        <v>1</v>
      </c>
      <c r="AI61" s="108">
        <v>0.88288819789886475</v>
      </c>
      <c r="AJ61" s="108">
        <v>1</v>
      </c>
      <c r="AK61" s="108">
        <v>0.89151012897491455</v>
      </c>
      <c r="AL61" s="108">
        <v>1</v>
      </c>
      <c r="AM61" s="108">
        <v>1</v>
      </c>
      <c r="AN61" s="108">
        <v>1</v>
      </c>
      <c r="AO61" s="108">
        <v>0.5</v>
      </c>
      <c r="AP61" s="108">
        <v>1</v>
      </c>
      <c r="AQ61" s="108">
        <v>0.84003698825836182</v>
      </c>
      <c r="AR61" s="108">
        <v>0.98531126976013184</v>
      </c>
      <c r="AS61" s="108">
        <v>0.73058098554611206</v>
      </c>
      <c r="AT61" s="108">
        <v>1</v>
      </c>
      <c r="AU61" s="108">
        <v>0.8029855489730835</v>
      </c>
      <c r="AV61" s="108">
        <v>1</v>
      </c>
      <c r="AW61" s="108">
        <v>0.827495276927948</v>
      </c>
      <c r="AX61" s="108">
        <v>0.87977081537246704</v>
      </c>
      <c r="AY61" s="108">
        <v>0.83333331346511841</v>
      </c>
      <c r="AZ61" s="108">
        <v>1</v>
      </c>
      <c r="BA61" s="108">
        <v>1</v>
      </c>
      <c r="BB61" s="108">
        <v>1</v>
      </c>
      <c r="BC61" s="108">
        <v>0.84317928552627563</v>
      </c>
      <c r="BD61" s="108">
        <v>1</v>
      </c>
      <c r="BE61" s="108">
        <v>0.95099800825119019</v>
      </c>
      <c r="BF61" s="108">
        <v>0.83333331346511841</v>
      </c>
      <c r="BG61" s="108">
        <v>1</v>
      </c>
      <c r="BH61" s="108">
        <v>1</v>
      </c>
      <c r="BI61" s="108">
        <v>0.8633083701133728</v>
      </c>
      <c r="BJ61" s="108">
        <v>1</v>
      </c>
      <c r="BK61" s="108">
        <v>1</v>
      </c>
      <c r="BL61" s="108">
        <v>1</v>
      </c>
    </row>
    <row r="62" spans="1:64" x14ac:dyDescent="0.2">
      <c r="A62" t="s">
        <v>173</v>
      </c>
      <c r="B62" s="108">
        <v>2.3341126441955566</v>
      </c>
      <c r="C62" s="108">
        <v>2.4675531387329102</v>
      </c>
      <c r="D62" s="108">
        <v>2.2495594024658203</v>
      </c>
      <c r="E62" s="108">
        <v>2.3971071243286133</v>
      </c>
      <c r="F62" s="108">
        <v>2.121457576751709</v>
      </c>
      <c r="G62" s="108">
        <v>2.0357224941253662</v>
      </c>
      <c r="H62" s="108">
        <v>2.5741000175476074</v>
      </c>
      <c r="I62" s="108">
        <v>2.2974967956542969</v>
      </c>
      <c r="J62" s="108">
        <v>2.3579144477844238</v>
      </c>
      <c r="K62" s="108">
        <v>2.2930915355682373</v>
      </c>
      <c r="L62" s="108">
        <v>2.3189787864685059</v>
      </c>
      <c r="M62" s="108">
        <v>2.2504031658172607</v>
      </c>
      <c r="N62" s="108">
        <v>2.3670094013214111</v>
      </c>
      <c r="O62" s="108">
        <v>2.1890120506286621</v>
      </c>
      <c r="P62" s="109"/>
      <c r="Q62" s="108">
        <v>2.465679407119751</v>
      </c>
      <c r="R62" s="108">
        <v>2.2161121368408203</v>
      </c>
      <c r="S62" s="109"/>
      <c r="T62" s="108">
        <v>2.2996623516082764</v>
      </c>
      <c r="U62" s="108">
        <v>2.5736708641052246</v>
      </c>
      <c r="V62" s="108">
        <v>2.3636362552642822</v>
      </c>
      <c r="W62" s="108">
        <v>2.1900925636291504</v>
      </c>
      <c r="X62" s="108">
        <v>2.193737268447876</v>
      </c>
      <c r="Y62" s="108">
        <v>2.4858555793762207</v>
      </c>
      <c r="Z62" s="108">
        <v>2.3333332538604736</v>
      </c>
      <c r="AA62" s="108">
        <v>2.4152469635009766</v>
      </c>
      <c r="AB62" s="108">
        <v>2.3563997745513916</v>
      </c>
      <c r="AC62" s="108">
        <v>2.5203008651733398</v>
      </c>
      <c r="AD62" s="108">
        <v>2.3091204166412354</v>
      </c>
      <c r="AE62" s="108">
        <v>2.3012380599975586</v>
      </c>
      <c r="AF62" s="108">
        <v>2.3174996376037598</v>
      </c>
      <c r="AG62" s="108">
        <v>2.193044900894165</v>
      </c>
      <c r="AH62" s="108">
        <v>2.2855384349822998</v>
      </c>
      <c r="AI62" s="108">
        <v>2.2833406925201416</v>
      </c>
      <c r="AJ62" s="108">
        <v>2.1020667552947998</v>
      </c>
      <c r="AK62" s="108">
        <v>2.1422488689422607</v>
      </c>
      <c r="AL62" s="108">
        <v>2.363210916519165</v>
      </c>
      <c r="AM62" s="108">
        <v>2.3351650238037109</v>
      </c>
      <c r="AN62" s="108">
        <v>2.2595245838165283</v>
      </c>
      <c r="AO62" s="108">
        <v>2.1508011817932129</v>
      </c>
      <c r="AP62" s="108">
        <v>2.280306339263916</v>
      </c>
      <c r="AQ62" s="108">
        <v>2.0944132804870605</v>
      </c>
      <c r="AR62" s="108">
        <v>2.2625889778137207</v>
      </c>
      <c r="AS62" s="108">
        <v>2.1988959312438965</v>
      </c>
      <c r="AT62" s="108">
        <v>2.1502838134765625</v>
      </c>
      <c r="AU62" s="108">
        <v>2.2049126625061035</v>
      </c>
      <c r="AV62" s="108">
        <v>2.3836021423339844</v>
      </c>
      <c r="AW62" s="108">
        <v>2.0875973701477051</v>
      </c>
      <c r="AX62" s="108">
        <v>2.3315157890319824</v>
      </c>
      <c r="AY62" s="108">
        <v>2.228179931640625</v>
      </c>
      <c r="AZ62" s="108">
        <v>2.258246898651123</v>
      </c>
      <c r="BA62" s="108">
        <v>2.3763656616210938</v>
      </c>
      <c r="BB62" s="108">
        <v>2.0702888965606689</v>
      </c>
      <c r="BC62" s="108">
        <v>2.2164440155029297</v>
      </c>
      <c r="BD62" s="108">
        <v>2.3163738250732422</v>
      </c>
      <c r="BE62" s="108">
        <v>2.3031237125396729</v>
      </c>
      <c r="BF62" s="108">
        <v>2.4196887016296387</v>
      </c>
      <c r="BG62" s="108">
        <v>2.2809593677520752</v>
      </c>
      <c r="BH62" s="108">
        <v>2.3133206367492676</v>
      </c>
      <c r="BI62" s="108">
        <v>2.2284796237945557</v>
      </c>
      <c r="BJ62" s="108">
        <v>2.2767186164855957</v>
      </c>
      <c r="BK62" s="108">
        <v>2.3706831932067871</v>
      </c>
      <c r="BL62" s="108">
        <v>2.3208301067352295</v>
      </c>
    </row>
    <row r="63" spans="1:64" x14ac:dyDescent="0.2">
      <c r="A63" t="s">
        <v>176</v>
      </c>
      <c r="B63" s="108">
        <v>0.90610748529434204</v>
      </c>
      <c r="C63" s="108">
        <v>0.82873982191085815</v>
      </c>
      <c r="D63" s="108">
        <v>0.61779916286468506</v>
      </c>
      <c r="E63" s="108">
        <v>0.64316123723983765</v>
      </c>
      <c r="F63" s="108">
        <v>0.81573128700256348</v>
      </c>
      <c r="G63" s="108">
        <v>0.74095618724822998</v>
      </c>
      <c r="H63" s="108">
        <v>0.79644721746444702</v>
      </c>
      <c r="I63" s="108">
        <v>0.84994214773178101</v>
      </c>
      <c r="J63" s="108">
        <v>0.82743191719055176</v>
      </c>
      <c r="K63" s="108">
        <v>0.89461678266525269</v>
      </c>
      <c r="L63" s="108">
        <v>0.82852685451507568</v>
      </c>
      <c r="M63" s="108">
        <v>0.73894971609115601</v>
      </c>
      <c r="N63" s="108">
        <v>0.69697052240371704</v>
      </c>
      <c r="O63" s="108">
        <v>0.89639860391616821</v>
      </c>
      <c r="P63" s="109"/>
      <c r="Q63" s="108">
        <v>0.85442656278610229</v>
      </c>
      <c r="R63" s="108">
        <v>0.93558138608932495</v>
      </c>
      <c r="S63" s="109"/>
      <c r="T63" s="108">
        <v>0.91973096132278442</v>
      </c>
      <c r="U63" s="108">
        <v>0.89620304107666016</v>
      </c>
      <c r="V63" s="108">
        <v>0.85861402750015259</v>
      </c>
      <c r="W63" s="108">
        <v>0.86234289407730103</v>
      </c>
      <c r="X63" s="108">
        <v>0.83334589004516602</v>
      </c>
      <c r="Y63" s="108">
        <v>0.88336777687072754</v>
      </c>
      <c r="Z63" s="108">
        <v>0.82921808958053589</v>
      </c>
      <c r="AA63" s="108">
        <v>0.88402992486953735</v>
      </c>
      <c r="AB63" s="108">
        <v>0.90392804145812988</v>
      </c>
      <c r="AC63" s="108">
        <v>0.79201966524124146</v>
      </c>
      <c r="AD63" s="108">
        <v>0.78319668769836426</v>
      </c>
      <c r="AE63" s="108">
        <v>0.75049757957458496</v>
      </c>
      <c r="AF63" s="108">
        <v>0.66241639852523804</v>
      </c>
      <c r="AG63" s="108">
        <v>0.85593408346176147</v>
      </c>
      <c r="AH63" s="108">
        <v>0.8069387674331665</v>
      </c>
      <c r="AI63" s="108">
        <v>0.82653379440307617</v>
      </c>
      <c r="AJ63" s="108">
        <v>0.83627408742904663</v>
      </c>
      <c r="AK63" s="108">
        <v>0.69485855102539063</v>
      </c>
      <c r="AL63" s="108">
        <v>0.890625</v>
      </c>
      <c r="AM63" s="108">
        <v>0.7425076961517334</v>
      </c>
      <c r="AN63" s="108">
        <v>0.80774438381195068</v>
      </c>
      <c r="AO63" s="108">
        <v>0.85626912117004395</v>
      </c>
      <c r="AP63" s="108">
        <v>0.62778723239898682</v>
      </c>
      <c r="AQ63" s="108">
        <v>0.86768478155136108</v>
      </c>
      <c r="AR63" s="108">
        <v>0.74718016386032104</v>
      </c>
      <c r="AS63" s="108">
        <v>0.68884813785552979</v>
      </c>
      <c r="AT63" s="108">
        <v>0.69203412532806396</v>
      </c>
      <c r="AU63" s="108">
        <v>0.7969098687171936</v>
      </c>
      <c r="AV63" s="108">
        <v>0.88158416748046875</v>
      </c>
      <c r="AW63" s="108">
        <v>0.80369085073471069</v>
      </c>
      <c r="AX63" s="108">
        <v>0.70088016986846924</v>
      </c>
      <c r="AY63" s="108">
        <v>0.90581154823303223</v>
      </c>
      <c r="AZ63" s="108">
        <v>0.65872937440872192</v>
      </c>
      <c r="BA63" s="108">
        <v>0.8789210319519043</v>
      </c>
      <c r="BB63" s="108">
        <v>0.73975354433059692</v>
      </c>
      <c r="BC63" s="108">
        <v>0.71324807405471802</v>
      </c>
      <c r="BD63" s="108">
        <v>0.56433576345443726</v>
      </c>
      <c r="BE63" s="108">
        <v>0.87899267673492432</v>
      </c>
      <c r="BF63" s="108">
        <v>0.79752802848815918</v>
      </c>
      <c r="BG63" s="108">
        <v>0.8604048490524292</v>
      </c>
      <c r="BH63" s="108">
        <v>0.77174443006515503</v>
      </c>
      <c r="BI63" s="108">
        <v>0.61012846231460571</v>
      </c>
      <c r="BJ63" s="108">
        <v>0.86421322822570801</v>
      </c>
      <c r="BK63" s="108">
        <v>0.91201889514923096</v>
      </c>
      <c r="BL63" s="108">
        <v>0.85133218765258789</v>
      </c>
    </row>
    <row r="64" spans="1:64" x14ac:dyDescent="0.2">
      <c r="A64" t="s">
        <v>178</v>
      </c>
      <c r="B64" s="108">
        <v>0.25136688351631165</v>
      </c>
      <c r="C64" s="108">
        <v>0.22547943890094757</v>
      </c>
      <c r="D64" s="108">
        <v>9.0909093618392944E-2</v>
      </c>
      <c r="E64" s="108">
        <v>0.30163377523422241</v>
      </c>
      <c r="F64" s="108">
        <v>0.32236915826797485</v>
      </c>
      <c r="G64" s="108">
        <v>4.932645708322525E-2</v>
      </c>
      <c r="H64" s="108">
        <v>0.26333573460578918</v>
      </c>
      <c r="I64" s="108">
        <v>0.3128473162651062</v>
      </c>
      <c r="J64" s="108">
        <v>0.25183472037315369</v>
      </c>
      <c r="K64" s="108">
        <v>0.86429846286773682</v>
      </c>
      <c r="L64" s="108">
        <v>0.10481641441583633</v>
      </c>
      <c r="M64" s="108">
        <v>0.32534345984458923</v>
      </c>
      <c r="N64" s="108">
        <v>0.14066652953624725</v>
      </c>
      <c r="O64" s="108">
        <v>0.36269623041152954</v>
      </c>
      <c r="P64" s="109"/>
      <c r="Q64" s="108">
        <v>2.0961865782737732E-2</v>
      </c>
      <c r="R64" s="108">
        <v>0.41353917121887207</v>
      </c>
      <c r="S64" s="109"/>
      <c r="T64" s="108">
        <v>0.30372822284698486</v>
      </c>
      <c r="U64" s="108">
        <v>0.67210280895233154</v>
      </c>
      <c r="V64" s="108">
        <v>0.56748032569885254</v>
      </c>
      <c r="W64" s="108">
        <v>0.5</v>
      </c>
      <c r="X64" s="108">
        <v>0.1605709046125412</v>
      </c>
      <c r="Y64" s="108">
        <v>2.9697155579924583E-2</v>
      </c>
      <c r="Z64" s="108">
        <v>0.42688742280006409</v>
      </c>
      <c r="AA64" s="108">
        <v>0.48266416788101196</v>
      </c>
      <c r="AB64" s="108">
        <v>0.44990465044975281</v>
      </c>
      <c r="AC64" s="108">
        <v>0.17756591737270355</v>
      </c>
      <c r="AD64" s="108">
        <v>0.40000000596046448</v>
      </c>
      <c r="AE64" s="108">
        <v>0.36852923035621643</v>
      </c>
      <c r="AF64" s="108">
        <v>0.26783478260040283</v>
      </c>
      <c r="AG64" s="108">
        <v>0.64568400382995605</v>
      </c>
      <c r="AH64" s="108">
        <v>0.63863176107406616</v>
      </c>
      <c r="AI64" s="108">
        <v>0.2881280779838562</v>
      </c>
      <c r="AJ64" s="108">
        <v>0.52464652061462402</v>
      </c>
      <c r="AK64" s="108">
        <v>0.25784441828727722</v>
      </c>
      <c r="AL64" s="108">
        <v>0.23342449963092804</v>
      </c>
      <c r="AM64" s="108">
        <v>0.30639508366584778</v>
      </c>
      <c r="AN64" s="108">
        <v>0.4609416127204895</v>
      </c>
      <c r="AO64" s="108">
        <v>0.30888739228248596</v>
      </c>
      <c r="AP64" s="108">
        <v>0.11679255217313766</v>
      </c>
      <c r="AQ64" s="108">
        <v>5.9143207967281342E-2</v>
      </c>
      <c r="AR64" s="108">
        <v>0.1250046044588089</v>
      </c>
      <c r="AS64" s="108">
        <v>0.10095694661140442</v>
      </c>
      <c r="AT64" s="108">
        <v>6.8665772676467896E-2</v>
      </c>
      <c r="AU64" s="108">
        <v>0.13673660159111023</v>
      </c>
      <c r="AV64" s="108">
        <v>0.34505987167358398</v>
      </c>
      <c r="AW64" s="108">
        <v>0.25469458103179932</v>
      </c>
      <c r="AX64" s="108">
        <v>0.23619093000888824</v>
      </c>
      <c r="AY64" s="108">
        <v>0.23238308727741241</v>
      </c>
      <c r="AZ64" s="108">
        <v>0.34538686275482178</v>
      </c>
      <c r="BA64" s="108">
        <v>0</v>
      </c>
      <c r="BB64" s="108">
        <v>0.18067480623722076</v>
      </c>
      <c r="BC64" s="108">
        <v>0.41235175728797913</v>
      </c>
      <c r="BD64" s="108">
        <v>0.55285024642944336</v>
      </c>
      <c r="BE64" s="108">
        <v>0.59166640043258667</v>
      </c>
      <c r="BF64" s="108">
        <v>0.37502574920654297</v>
      </c>
      <c r="BG64" s="108">
        <v>0.46465441584587097</v>
      </c>
      <c r="BH64" s="108">
        <v>0.32960164546966553</v>
      </c>
      <c r="BI64" s="108">
        <v>0.30303537845611572</v>
      </c>
      <c r="BJ64" s="108">
        <v>0.49205049872398376</v>
      </c>
      <c r="BK64" s="108">
        <v>0.69381028413772583</v>
      </c>
      <c r="BL64" s="108">
        <v>0.32083004713058472</v>
      </c>
    </row>
    <row r="65" spans="1:64" x14ac:dyDescent="0.2">
      <c r="A65" t="s">
        <v>180</v>
      </c>
      <c r="B65" s="108">
        <v>0.75</v>
      </c>
      <c r="C65" s="108">
        <v>0.94247341156005859</v>
      </c>
      <c r="D65" s="108">
        <v>0.60000002384185791</v>
      </c>
      <c r="E65" s="108">
        <v>0.86366742849349976</v>
      </c>
      <c r="F65" s="108">
        <v>0.90475958585739136</v>
      </c>
      <c r="G65" s="108">
        <v>1</v>
      </c>
      <c r="H65" s="108">
        <v>1</v>
      </c>
      <c r="I65" s="108">
        <v>0.61535930633544922</v>
      </c>
      <c r="J65" s="108">
        <v>0.80000001192092896</v>
      </c>
      <c r="K65" s="108">
        <v>1</v>
      </c>
      <c r="L65" s="108">
        <v>1</v>
      </c>
      <c r="M65" s="108">
        <v>0.42778480052947998</v>
      </c>
      <c r="N65" s="108">
        <v>1</v>
      </c>
      <c r="O65" s="108">
        <v>1</v>
      </c>
      <c r="P65" s="109"/>
      <c r="Q65" s="108">
        <v>1</v>
      </c>
      <c r="R65" s="108">
        <v>1</v>
      </c>
      <c r="S65" s="109"/>
      <c r="T65" s="108">
        <v>1</v>
      </c>
      <c r="U65" s="108">
        <v>9.9704138934612274E-2</v>
      </c>
      <c r="V65" s="108">
        <v>1</v>
      </c>
      <c r="W65" s="108">
        <v>1</v>
      </c>
      <c r="X65" s="108">
        <v>1</v>
      </c>
      <c r="Y65" s="108">
        <v>0.91002333164215088</v>
      </c>
      <c r="Z65" s="108">
        <v>1</v>
      </c>
      <c r="AA65" s="108">
        <v>0.3333333432674408</v>
      </c>
      <c r="AB65" s="108">
        <v>0.75</v>
      </c>
      <c r="AC65" s="108">
        <v>0.81330937147140503</v>
      </c>
      <c r="AD65" s="108">
        <v>0.95633459091186523</v>
      </c>
      <c r="AE65" s="108">
        <v>0.84914124011993408</v>
      </c>
      <c r="AF65" s="108">
        <v>0.97196513414382935</v>
      </c>
      <c r="AG65" s="108">
        <v>1</v>
      </c>
      <c r="AH65" s="108">
        <v>1</v>
      </c>
      <c r="AI65" s="108">
        <v>0.93428593873977661</v>
      </c>
      <c r="AJ65" s="108">
        <v>0.66666668653488159</v>
      </c>
      <c r="AK65" s="108">
        <v>1</v>
      </c>
      <c r="AL65" s="108">
        <v>1</v>
      </c>
      <c r="AM65" s="108">
        <v>1</v>
      </c>
      <c r="AN65" s="108">
        <v>0.66666668653488159</v>
      </c>
      <c r="AO65" s="108">
        <v>0.95291227102279663</v>
      </c>
      <c r="AP65" s="108">
        <v>1</v>
      </c>
      <c r="AQ65" s="108">
        <v>0.6336473822593689</v>
      </c>
      <c r="AR65" s="108">
        <v>0.68043309450149536</v>
      </c>
      <c r="AS65" s="108">
        <v>0.75</v>
      </c>
      <c r="AT65" s="108">
        <v>0.70086187124252319</v>
      </c>
      <c r="AU65" s="108">
        <v>0.78947371244430542</v>
      </c>
      <c r="AV65" s="108">
        <v>1</v>
      </c>
      <c r="AW65" s="108">
        <v>0.52386510372161865</v>
      </c>
      <c r="AX65" s="108">
        <v>0.6823885440826416</v>
      </c>
      <c r="AY65" s="108">
        <v>1</v>
      </c>
      <c r="AZ65" s="108">
        <v>0.70169824361801147</v>
      </c>
      <c r="BA65" s="108">
        <v>0.77079766988754272</v>
      </c>
      <c r="BB65" s="108">
        <v>0</v>
      </c>
      <c r="BC65" s="108">
        <v>1</v>
      </c>
      <c r="BD65" s="108">
        <v>0</v>
      </c>
      <c r="BE65" s="108">
        <v>0.9026140570640564</v>
      </c>
      <c r="BF65" s="108">
        <v>0.80000412464141846</v>
      </c>
      <c r="BG65" s="108">
        <v>0.65260875225067139</v>
      </c>
      <c r="BH65" s="108">
        <v>1</v>
      </c>
      <c r="BI65" s="108">
        <v>0.55233842134475708</v>
      </c>
      <c r="BJ65" s="108"/>
      <c r="BK65" s="108"/>
      <c r="BL65" s="108"/>
    </row>
    <row r="66" spans="1:64" x14ac:dyDescent="0.2">
      <c r="A66" t="s">
        <v>182</v>
      </c>
      <c r="B66" s="108">
        <v>0.5</v>
      </c>
      <c r="C66" s="108">
        <v>0.17257975041866302</v>
      </c>
      <c r="D66" s="108">
        <v>0.75</v>
      </c>
      <c r="E66" s="108">
        <v>0.97716408967971802</v>
      </c>
      <c r="F66" s="108">
        <v>1</v>
      </c>
      <c r="G66" s="108">
        <v>0.94962644577026367</v>
      </c>
      <c r="H66" s="108">
        <v>0.59816604852676392</v>
      </c>
      <c r="I66" s="108">
        <v>1</v>
      </c>
      <c r="J66" s="108">
        <v>0.80000001192092896</v>
      </c>
      <c r="K66" s="108">
        <v>1</v>
      </c>
      <c r="L66" s="108">
        <v>1</v>
      </c>
      <c r="M66" s="108">
        <v>0.91904163360595703</v>
      </c>
      <c r="N66" s="108">
        <v>1</v>
      </c>
      <c r="O66" s="108">
        <v>1</v>
      </c>
      <c r="P66" s="109"/>
      <c r="Q66" s="108">
        <v>1</v>
      </c>
      <c r="R66" s="108">
        <v>1</v>
      </c>
      <c r="S66" s="109"/>
      <c r="T66" s="108">
        <v>1</v>
      </c>
      <c r="U66" s="108">
        <v>0.19940827786922455</v>
      </c>
      <c r="V66" s="108">
        <v>1</v>
      </c>
      <c r="W66" s="108">
        <v>1</v>
      </c>
      <c r="X66" s="108">
        <v>1</v>
      </c>
      <c r="Y66" s="108">
        <v>0.91002333164215088</v>
      </c>
      <c r="Z66" s="108">
        <v>1</v>
      </c>
      <c r="AA66" s="108">
        <v>1</v>
      </c>
      <c r="AB66" s="108">
        <v>1</v>
      </c>
      <c r="AC66" s="108">
        <v>1</v>
      </c>
      <c r="AD66" s="108">
        <v>0.88769668340682983</v>
      </c>
      <c r="AE66" s="108">
        <v>0.84914124011993408</v>
      </c>
      <c r="AF66" s="108">
        <v>1</v>
      </c>
      <c r="AG66" s="108">
        <v>1</v>
      </c>
      <c r="AH66" s="108">
        <v>1</v>
      </c>
      <c r="AI66" s="108">
        <v>0.92966389656066895</v>
      </c>
      <c r="AJ66" s="108">
        <v>1</v>
      </c>
      <c r="AK66" s="108">
        <v>0.31134745478630066</v>
      </c>
      <c r="AL66" s="108">
        <v>1</v>
      </c>
      <c r="AM66" s="108">
        <v>0.66666668653488159</v>
      </c>
      <c r="AN66" s="108">
        <v>0.96179002523422241</v>
      </c>
      <c r="AO66" s="108">
        <v>1</v>
      </c>
      <c r="AP66" s="108">
        <v>0.74547880887985229</v>
      </c>
      <c r="AQ66" s="108">
        <v>0.68043309450149536</v>
      </c>
      <c r="AR66" s="108">
        <v>1</v>
      </c>
      <c r="AS66" s="108">
        <v>0.7162933349609375</v>
      </c>
      <c r="AT66" s="108">
        <v>0.8125</v>
      </c>
      <c r="AU66" s="108">
        <v>1</v>
      </c>
      <c r="AV66" s="108">
        <v>1</v>
      </c>
      <c r="AW66" s="108">
        <v>1</v>
      </c>
      <c r="AX66" s="108">
        <v>0.68885374069213867</v>
      </c>
      <c r="AY66" s="108">
        <v>0.97550129890441895</v>
      </c>
      <c r="AZ66" s="108">
        <v>0.95132941007614136</v>
      </c>
      <c r="BA66" s="108">
        <v>0</v>
      </c>
      <c r="BB66" s="108">
        <v>1</v>
      </c>
      <c r="BC66" s="108">
        <v>0.83061057329177856</v>
      </c>
      <c r="BD66" s="108">
        <v>0.91851562261581421</v>
      </c>
      <c r="BE66" s="108">
        <v>0.83333331346511841</v>
      </c>
      <c r="BF66" s="108">
        <v>1</v>
      </c>
      <c r="BG66" s="108">
        <v>1</v>
      </c>
      <c r="BH66" s="108"/>
      <c r="BI66" s="108"/>
      <c r="BJ66" s="108"/>
      <c r="BK66" s="108"/>
      <c r="BL66" s="108"/>
    </row>
    <row r="67" spans="1:64" x14ac:dyDescent="0.2">
      <c r="A67" t="s">
        <v>184</v>
      </c>
      <c r="B67" s="108">
        <v>0.60328829288482666</v>
      </c>
      <c r="C67" s="108">
        <v>0.34179463982582092</v>
      </c>
      <c r="D67" s="108">
        <v>0.34319350123405457</v>
      </c>
      <c r="E67" s="108">
        <v>0.3880479633808136</v>
      </c>
      <c r="F67" s="108">
        <v>0.37293744087219238</v>
      </c>
      <c r="G67" s="108">
        <v>0.47013109922409058</v>
      </c>
      <c r="H67" s="108">
        <v>0.24702976644039154</v>
      </c>
      <c r="I67" s="108">
        <v>0.4666806161403656</v>
      </c>
      <c r="J67" s="108">
        <v>0.43627199530601501</v>
      </c>
      <c r="K67" s="108">
        <v>0.40703389048576355</v>
      </c>
      <c r="L67" s="108">
        <v>0.45964762568473816</v>
      </c>
      <c r="M67" s="108">
        <v>0.55240249633789063</v>
      </c>
      <c r="N67" s="108">
        <v>0.459757000207901</v>
      </c>
      <c r="O67" s="108">
        <v>0.74090445041656494</v>
      </c>
      <c r="P67" s="109"/>
      <c r="Q67" s="108">
        <v>0.55878865718841553</v>
      </c>
      <c r="R67" s="108">
        <v>0.58901572227478027</v>
      </c>
      <c r="S67" s="109"/>
      <c r="T67" s="108">
        <v>0.41981327533721924</v>
      </c>
      <c r="U67" s="108">
        <v>0.50487637519836426</v>
      </c>
      <c r="V67" s="108">
        <v>0.52551776170730591</v>
      </c>
      <c r="W67" s="108">
        <v>0.54800081253051758</v>
      </c>
      <c r="X67" s="108">
        <v>0.49017471075057983</v>
      </c>
      <c r="Y67" s="108">
        <v>0.42853844165802002</v>
      </c>
      <c r="Z67" s="108">
        <v>0.39030361175537109</v>
      </c>
      <c r="AA67" s="108">
        <v>0.6286855936050415</v>
      </c>
      <c r="AB67" s="108">
        <v>0.45445182919502258</v>
      </c>
      <c r="AC67" s="108">
        <v>0.5127410888671875</v>
      </c>
      <c r="AD67" s="108">
        <v>0.40519273281097412</v>
      </c>
      <c r="AE67" s="108">
        <v>0.38728716969490051</v>
      </c>
      <c r="AF67" s="108">
        <v>0.53668862581253052</v>
      </c>
      <c r="AG67" s="108">
        <v>0.53752076625823975</v>
      </c>
      <c r="AH67" s="108">
        <v>0.42964500188827515</v>
      </c>
      <c r="AI67" s="108">
        <v>0.48489171266555786</v>
      </c>
      <c r="AJ67" s="108">
        <v>0.34114804863929749</v>
      </c>
      <c r="AK67" s="108">
        <v>0.3682657778263092</v>
      </c>
      <c r="AL67" s="108">
        <v>0.58065509796142578</v>
      </c>
      <c r="AM67" s="108">
        <v>0.62111937999725342</v>
      </c>
      <c r="AN67" s="108">
        <v>0.50588887929916382</v>
      </c>
      <c r="AO67" s="108">
        <v>0.36627167463302612</v>
      </c>
      <c r="AP67" s="108">
        <v>0.46013528108596802</v>
      </c>
      <c r="AQ67" s="108">
        <v>0.48048019409179688</v>
      </c>
      <c r="AR67" s="108">
        <v>0.49195283651351929</v>
      </c>
      <c r="AS67" s="108">
        <v>0.48478412628173828</v>
      </c>
      <c r="AT67" s="108">
        <v>0.46906158328056335</v>
      </c>
      <c r="AU67" s="108">
        <v>0.35033062100410461</v>
      </c>
      <c r="AV67" s="108">
        <v>0.65565639734268188</v>
      </c>
      <c r="AW67" s="108">
        <v>0.4902421236038208</v>
      </c>
      <c r="AX67" s="108">
        <v>0.51627844572067261</v>
      </c>
      <c r="AY67" s="108">
        <v>0.51520025730133057</v>
      </c>
      <c r="AZ67" s="108">
        <v>0.34955629706382751</v>
      </c>
      <c r="BA67" s="108">
        <v>0.32689753174781799</v>
      </c>
      <c r="BB67" s="108">
        <v>0.33921599388122559</v>
      </c>
      <c r="BC67" s="108">
        <v>0.39414864778518677</v>
      </c>
      <c r="BD67" s="108">
        <v>0.50138270854949951</v>
      </c>
      <c r="BE67" s="108">
        <v>0.48038232326507568</v>
      </c>
      <c r="BF67" s="108">
        <v>0.36237579584121704</v>
      </c>
      <c r="BG67" s="108">
        <v>0.39397761225700378</v>
      </c>
      <c r="BH67" s="108">
        <v>0.32561767101287842</v>
      </c>
      <c r="BI67" s="108">
        <v>0.35611078143119812</v>
      </c>
      <c r="BJ67" s="108">
        <v>0.41951179504394531</v>
      </c>
      <c r="BK67" s="108">
        <v>0.54990285634994507</v>
      </c>
      <c r="BL67" s="108">
        <v>0.48795658349990845</v>
      </c>
    </row>
    <row r="68" spans="1:64" x14ac:dyDescent="0.2">
      <c r="A68" s="104" t="s">
        <v>186</v>
      </c>
      <c r="B68" s="110">
        <v>4.3706684112548828</v>
      </c>
      <c r="C68" s="110">
        <v>4.1183452606201172</v>
      </c>
      <c r="D68" s="110">
        <v>4.1071596145629883</v>
      </c>
      <c r="E68" s="110">
        <v>4.3556170463562012</v>
      </c>
      <c r="F68" s="110">
        <v>4.4065399169921875</v>
      </c>
      <c r="G68" s="110">
        <v>4.2149209976196289</v>
      </c>
      <c r="H68" s="110">
        <v>4.1838650703430176</v>
      </c>
      <c r="I68" s="110">
        <v>4.3170757293701172</v>
      </c>
      <c r="J68" s="110">
        <v>4.21875</v>
      </c>
      <c r="K68" s="110">
        <v>4.3560056686401367</v>
      </c>
      <c r="L68" s="110">
        <v>4.3150782585144043</v>
      </c>
      <c r="M68" s="110">
        <v>4.4112863540649414</v>
      </c>
      <c r="N68" s="110">
        <v>4.4797568321228027</v>
      </c>
      <c r="O68" s="110">
        <v>4.5820865631103516</v>
      </c>
      <c r="P68" s="109">
        <v>4.3967270851135254</v>
      </c>
      <c r="Q68" s="110">
        <v>4.2259016036987305</v>
      </c>
      <c r="R68" s="110">
        <v>4.505192756652832</v>
      </c>
      <c r="S68" s="109"/>
      <c r="T68" s="110">
        <v>4.2873167991638184</v>
      </c>
      <c r="U68" s="110">
        <v>4.5039429664611816</v>
      </c>
      <c r="V68" s="110">
        <v>4.2877058982849121</v>
      </c>
      <c r="W68" s="110">
        <v>4.3360552787780762</v>
      </c>
      <c r="X68" s="110">
        <v>4.4197750091552734</v>
      </c>
      <c r="Y68" s="110">
        <v>4.3349323272705078</v>
      </c>
      <c r="Z68" s="110">
        <v>4.1995658874511719</v>
      </c>
      <c r="AA68" s="110">
        <v>4.5242900848388672</v>
      </c>
      <c r="AB68" s="110">
        <v>4.3129062652587891</v>
      </c>
      <c r="AC68" s="110">
        <v>4.5541276931762695</v>
      </c>
      <c r="AD68" s="110">
        <v>4.2742500305175781</v>
      </c>
      <c r="AE68" s="110">
        <v>4.3313045501708984</v>
      </c>
      <c r="AF68" s="110">
        <v>4.3262863159179688</v>
      </c>
      <c r="AG68" s="110">
        <v>4.2023048400878906</v>
      </c>
      <c r="AH68" s="110">
        <v>4.3640437126159668</v>
      </c>
      <c r="AI68" s="110">
        <v>4.3955349922180176</v>
      </c>
      <c r="AJ68" s="110">
        <v>4.1415824890136719</v>
      </c>
      <c r="AK68" s="110">
        <v>4.0884356498718262</v>
      </c>
      <c r="AL68" s="110">
        <v>4.4444003105163574</v>
      </c>
      <c r="AM68" s="110">
        <v>4.3562006950378418</v>
      </c>
      <c r="AN68" s="110">
        <v>4.4257078170776367</v>
      </c>
      <c r="AO68" s="110">
        <v>4.1791086196899414</v>
      </c>
      <c r="AP68" s="110">
        <v>3.9166488647460938</v>
      </c>
      <c r="AQ68" s="110">
        <v>4.1477422714233398</v>
      </c>
      <c r="AR68" s="110">
        <v>4.3238558769226074</v>
      </c>
      <c r="AS68" s="110">
        <v>4.1752843856811523</v>
      </c>
      <c r="AT68" s="110">
        <v>4.0014863014221191</v>
      </c>
      <c r="AU68" s="110">
        <v>4.0198574066162109</v>
      </c>
      <c r="AV68" s="110">
        <v>4.5423116683959961</v>
      </c>
      <c r="AW68" s="110">
        <v>4.180880069732666</v>
      </c>
      <c r="AX68" s="110">
        <v>4.2505388259887695</v>
      </c>
      <c r="AY68" s="110">
        <v>4.3024554252624512</v>
      </c>
      <c r="AZ68" s="110">
        <v>3.9954378604888916</v>
      </c>
      <c r="BA68" s="110">
        <v>4.1569485664367676</v>
      </c>
      <c r="BB68" s="110">
        <v>3.9702434539794922</v>
      </c>
      <c r="BC68" s="110">
        <v>3.9934396743774414</v>
      </c>
      <c r="BD68" s="110">
        <v>4.4151415824890137</v>
      </c>
      <c r="BE68" s="110">
        <v>4.240199089050293</v>
      </c>
      <c r="BF68" s="110">
        <v>4.1583843231201172</v>
      </c>
      <c r="BG68" s="110">
        <v>4.2855372428894043</v>
      </c>
      <c r="BH68" s="110">
        <v>4.0008220672607422</v>
      </c>
      <c r="BI68" s="110">
        <v>4.228569507598877</v>
      </c>
      <c r="BJ68" s="110">
        <v>4.358424186706543</v>
      </c>
      <c r="BK68" s="110">
        <v>4.5169539451599121</v>
      </c>
      <c r="BL68" s="110">
        <v>4.463716983795166</v>
      </c>
    </row>
    <row r="69" spans="1:64" x14ac:dyDescent="0.2">
      <c r="A69" t="s">
        <v>522</v>
      </c>
      <c r="B69" s="108">
        <v>2.882542903535068E-4</v>
      </c>
      <c r="C69" s="108">
        <v>5.5951387621462345E-3</v>
      </c>
      <c r="D69" s="108">
        <v>2.6311365887522697E-2</v>
      </c>
      <c r="E69" s="108">
        <v>1.5999533236026764E-2</v>
      </c>
      <c r="F69" s="108">
        <v>4.2292349971830845E-3</v>
      </c>
      <c r="G69" s="108">
        <v>3.8479163777083158E-3</v>
      </c>
      <c r="H69" s="108">
        <v>1.3533300720155239E-2</v>
      </c>
      <c r="I69" s="108">
        <v>3.7339599803090096E-3</v>
      </c>
      <c r="J69" s="108">
        <v>5.1629632711410522E-2</v>
      </c>
      <c r="K69" s="108">
        <v>1.417065691202879E-2</v>
      </c>
      <c r="L69" s="108">
        <v>6.8113035522401333E-3</v>
      </c>
      <c r="M69" s="108">
        <v>8.1631186185404658E-4</v>
      </c>
      <c r="N69" s="108">
        <v>7.838517427444458E-3</v>
      </c>
      <c r="O69" s="108">
        <v>1.7628257628530264E-3</v>
      </c>
      <c r="P69" s="109">
        <v>8.3045568317174911E-3</v>
      </c>
      <c r="Q69" s="108">
        <v>9.1995345428586006E-4</v>
      </c>
      <c r="R69" s="108">
        <v>3.6348041612654924E-3</v>
      </c>
      <c r="S69" s="109"/>
      <c r="T69" s="108">
        <v>7.0134893758222461E-4</v>
      </c>
      <c r="U69" s="108">
        <v>4.9781543202698231E-3</v>
      </c>
      <c r="V69" s="108">
        <v>3.1188169494271278E-2</v>
      </c>
      <c r="W69" s="108">
        <v>6.0661896131932735E-3</v>
      </c>
      <c r="X69" s="108">
        <v>3.0879117548465729E-3</v>
      </c>
      <c r="Y69" s="108">
        <v>5.3636697120964527E-3</v>
      </c>
      <c r="Z69" s="108">
        <v>2.7942627668380737E-2</v>
      </c>
      <c r="AA69" s="108">
        <v>1.0495255701243877E-3</v>
      </c>
      <c r="AB69" s="108">
        <v>1.3115297770127654E-3</v>
      </c>
      <c r="AC69" s="108">
        <v>5.1284749060869217E-3</v>
      </c>
      <c r="AD69" s="108">
        <v>3.3544152975082397E-3</v>
      </c>
      <c r="AE69" s="108">
        <v>1.333876745775342E-3</v>
      </c>
      <c r="AF69" s="108">
        <v>3.1339291017502546E-3</v>
      </c>
      <c r="AG69" s="108">
        <v>9.1325677931308746E-3</v>
      </c>
      <c r="AH69" s="108">
        <v>4.3945692596025765E-4</v>
      </c>
      <c r="AI69" s="108">
        <v>2.4408930912613869E-3</v>
      </c>
      <c r="AJ69" s="108">
        <v>5.4046427831053734E-3</v>
      </c>
      <c r="AK69" s="108">
        <v>2.9818105977028608E-3</v>
      </c>
      <c r="AL69" s="108">
        <v>3.6253598518669605E-3</v>
      </c>
      <c r="AM69" s="108">
        <v>2.1056812256574631E-2</v>
      </c>
      <c r="AN69" s="108">
        <v>5.2535295486450195E-2</v>
      </c>
      <c r="AO69" s="108">
        <v>8.7846722453832626E-3</v>
      </c>
      <c r="AP69" s="108">
        <v>6.3372151926159859E-3</v>
      </c>
      <c r="AQ69" s="108">
        <v>2.1152212284505367E-3</v>
      </c>
      <c r="AR69" s="108">
        <v>1.8677482381463051E-2</v>
      </c>
      <c r="AS69" s="108">
        <v>1.7065547406673431E-2</v>
      </c>
      <c r="AT69" s="108">
        <v>1.4188451459631324E-3</v>
      </c>
      <c r="AU69" s="108">
        <v>1.5384236350655556E-2</v>
      </c>
      <c r="AV69" s="108">
        <v>1.4614473097026348E-2</v>
      </c>
      <c r="AW69" s="108">
        <v>2.8488505631685257E-3</v>
      </c>
      <c r="AX69" s="108">
        <v>8.9753912761807442E-3</v>
      </c>
      <c r="AY69" s="108">
        <v>3.1238200608640909E-3</v>
      </c>
      <c r="AZ69" s="108">
        <v>7.9641519114375114E-3</v>
      </c>
      <c r="BA69" s="108">
        <v>6.6218890249729156E-2</v>
      </c>
      <c r="BB69" s="108">
        <v>4.092707484960556E-2</v>
      </c>
      <c r="BC69" s="108">
        <v>1.3457049615681171E-2</v>
      </c>
      <c r="BD69" s="108">
        <v>2.7493927627801895E-3</v>
      </c>
      <c r="BE69" s="108">
        <v>2.1839470136910677E-3</v>
      </c>
      <c r="BF69" s="108">
        <v>1.7877077916637063E-3</v>
      </c>
      <c r="BG69" s="108">
        <v>6.4093810506165028E-3</v>
      </c>
      <c r="BH69" s="108">
        <v>1.4011390740051866E-3</v>
      </c>
      <c r="BI69" s="108">
        <v>6.3293259590864182E-3</v>
      </c>
      <c r="BJ69" s="108"/>
      <c r="BK69" s="108"/>
      <c r="BL69" s="108"/>
    </row>
    <row r="70" spans="1:64" x14ac:dyDescent="0.2">
      <c r="A70" t="s">
        <v>523</v>
      </c>
      <c r="B70" s="108">
        <v>1102</v>
      </c>
      <c r="C70" s="108">
        <v>193</v>
      </c>
      <c r="D70" s="108">
        <v>192</v>
      </c>
      <c r="E70" s="108">
        <v>195</v>
      </c>
      <c r="F70" s="108">
        <v>194</v>
      </c>
      <c r="G70" s="108">
        <v>197</v>
      </c>
      <c r="H70" s="108">
        <v>192</v>
      </c>
      <c r="I70" s="108">
        <v>294</v>
      </c>
      <c r="J70" s="108">
        <v>192</v>
      </c>
      <c r="K70" s="108">
        <v>193</v>
      </c>
      <c r="L70" s="108">
        <v>195</v>
      </c>
      <c r="M70" s="108">
        <v>300</v>
      </c>
      <c r="N70" s="108">
        <v>192</v>
      </c>
      <c r="O70" s="108">
        <v>203</v>
      </c>
      <c r="P70" s="109">
        <v>192</v>
      </c>
      <c r="Q70" s="108">
        <v>192</v>
      </c>
      <c r="R70" s="108">
        <v>199</v>
      </c>
      <c r="S70" s="109"/>
      <c r="T70" s="108">
        <v>198</v>
      </c>
      <c r="U70" s="108">
        <v>200</v>
      </c>
      <c r="V70" s="108">
        <v>192</v>
      </c>
      <c r="W70" s="108">
        <v>194</v>
      </c>
      <c r="X70" s="108">
        <v>197</v>
      </c>
      <c r="Y70" s="108">
        <v>192</v>
      </c>
      <c r="Z70" s="108">
        <v>192</v>
      </c>
      <c r="AA70" s="108">
        <v>395</v>
      </c>
      <c r="AB70" s="108">
        <v>391</v>
      </c>
      <c r="AC70" s="108">
        <v>192</v>
      </c>
      <c r="AD70" s="108">
        <v>196</v>
      </c>
      <c r="AE70" s="108">
        <v>192</v>
      </c>
      <c r="AF70" s="108">
        <v>197</v>
      </c>
      <c r="AG70" s="108">
        <v>300</v>
      </c>
      <c r="AH70" s="108">
        <v>206</v>
      </c>
      <c r="AI70" s="108">
        <v>201</v>
      </c>
      <c r="AJ70" s="108">
        <v>193</v>
      </c>
      <c r="AK70" s="108">
        <v>192</v>
      </c>
      <c r="AL70" s="108">
        <v>192</v>
      </c>
      <c r="AM70" s="108">
        <v>200</v>
      </c>
      <c r="AN70" s="108">
        <v>192</v>
      </c>
      <c r="AO70" s="108">
        <v>200</v>
      </c>
      <c r="AP70" s="108">
        <v>192</v>
      </c>
      <c r="AQ70" s="108">
        <v>204</v>
      </c>
      <c r="AR70" s="108">
        <v>295</v>
      </c>
      <c r="AS70" s="108">
        <v>197</v>
      </c>
      <c r="AT70" s="108">
        <v>194</v>
      </c>
      <c r="AU70" s="108">
        <v>194</v>
      </c>
      <c r="AV70" s="108">
        <v>319</v>
      </c>
      <c r="AW70" s="108">
        <v>593</v>
      </c>
      <c r="AX70" s="108">
        <v>428</v>
      </c>
      <c r="AY70" s="108">
        <v>1024</v>
      </c>
      <c r="AZ70" s="108">
        <v>289</v>
      </c>
      <c r="BA70" s="108">
        <v>194</v>
      </c>
      <c r="BB70" s="108">
        <v>195</v>
      </c>
      <c r="BC70" s="108">
        <v>192</v>
      </c>
      <c r="BD70" s="108">
        <v>202</v>
      </c>
      <c r="BE70" s="108">
        <v>192</v>
      </c>
      <c r="BF70" s="108">
        <v>390</v>
      </c>
      <c r="BG70" s="108">
        <v>198</v>
      </c>
      <c r="BH70" s="108">
        <v>313</v>
      </c>
      <c r="BI70" s="108">
        <v>196</v>
      </c>
      <c r="BJ70" s="108">
        <v>194</v>
      </c>
      <c r="BK70" s="108">
        <v>197</v>
      </c>
      <c r="BL70" s="108">
        <v>193</v>
      </c>
    </row>
    <row r="71" spans="1:64" x14ac:dyDescent="0.2">
      <c r="A71" t="s">
        <v>188</v>
      </c>
      <c r="B71" s="108">
        <v>1.9230015277862549</v>
      </c>
      <c r="C71" s="108">
        <v>1.8746364116668701</v>
      </c>
      <c r="D71" s="108">
        <v>1.9430040121078491</v>
      </c>
      <c r="E71" s="108">
        <v>2.0441956520080566</v>
      </c>
      <c r="F71" s="108">
        <v>1.9316078424453735</v>
      </c>
      <c r="G71" s="108">
        <v>1.8640562295913696</v>
      </c>
      <c r="H71" s="108">
        <v>1.9812419414520264</v>
      </c>
      <c r="I71" s="108">
        <v>1.9272472858428955</v>
      </c>
      <c r="J71" s="108">
        <v>2.0037767887115479</v>
      </c>
      <c r="K71" s="108">
        <v>2.0050358772277832</v>
      </c>
      <c r="L71" s="108">
        <v>2.0020654201507568</v>
      </c>
      <c r="M71" s="108">
        <v>1.891130805015564</v>
      </c>
      <c r="N71" s="108">
        <v>2.0125181674957275</v>
      </c>
      <c r="O71" s="108">
        <v>2.0563600063323975</v>
      </c>
      <c r="P71" s="109">
        <v>1.9629161357879639</v>
      </c>
      <c r="Q71" s="108">
        <v>1.7504445314407349</v>
      </c>
      <c r="R71" s="108">
        <v>1.9782552719116211</v>
      </c>
      <c r="S71" s="109"/>
      <c r="T71" s="108">
        <v>1.825230598449707</v>
      </c>
      <c r="U71" s="108">
        <v>1.9939992427825928</v>
      </c>
      <c r="V71" s="108">
        <v>1.9649109840393066</v>
      </c>
      <c r="W71" s="108">
        <v>1.9209442138671875</v>
      </c>
      <c r="X71" s="108">
        <v>2.0132269859313965</v>
      </c>
      <c r="Y71" s="108">
        <v>2.0096182823181152</v>
      </c>
      <c r="Z71" s="108">
        <v>1.922540545463562</v>
      </c>
      <c r="AA71" s="108">
        <v>1.925123929977417</v>
      </c>
      <c r="AB71" s="108">
        <v>1.8374037742614746</v>
      </c>
      <c r="AC71" s="108">
        <v>2.0507962703704834</v>
      </c>
      <c r="AD71" s="108">
        <v>1.9529178142547607</v>
      </c>
      <c r="AE71" s="108">
        <v>2.012031078338623</v>
      </c>
      <c r="AF71" s="108">
        <v>2.043917179107666</v>
      </c>
      <c r="AG71" s="108">
        <v>1.884727954864502</v>
      </c>
      <c r="AH71" s="108">
        <v>1.9635727405548096</v>
      </c>
      <c r="AI71" s="108">
        <v>2.0623252391815186</v>
      </c>
      <c r="AJ71" s="108">
        <v>1.9619832038879395</v>
      </c>
      <c r="AK71" s="108">
        <v>1.9620602130889893</v>
      </c>
      <c r="AL71" s="108">
        <v>2.1116266250610352</v>
      </c>
      <c r="AM71" s="108">
        <v>2.0481455326080322</v>
      </c>
      <c r="AN71" s="108">
        <v>2.1344633102416992</v>
      </c>
      <c r="AO71" s="108">
        <v>1.8910651206970215</v>
      </c>
      <c r="AP71" s="108">
        <v>1.7098203897476196</v>
      </c>
      <c r="AQ71" s="108">
        <v>1.8803080320358276</v>
      </c>
      <c r="AR71" s="108">
        <v>1.9366908073425293</v>
      </c>
      <c r="AS71" s="108">
        <v>2.0588905811309814</v>
      </c>
      <c r="AT71" s="108">
        <v>1.8506265878677368</v>
      </c>
      <c r="AU71" s="108">
        <v>1.9577521085739136</v>
      </c>
      <c r="AV71" s="108">
        <v>2.1368610858917236</v>
      </c>
      <c r="AW71" s="108">
        <v>1.9423329830169678</v>
      </c>
      <c r="AX71" s="108">
        <v>1.9737216234207153</v>
      </c>
      <c r="AY71" s="108">
        <v>2.0186238288879395</v>
      </c>
      <c r="AZ71" s="108">
        <v>1.93994140625</v>
      </c>
      <c r="BA71" s="108">
        <v>2.0404708385467529</v>
      </c>
      <c r="BB71" s="108">
        <v>1.8536423444747925</v>
      </c>
      <c r="BC71" s="108">
        <v>1.9197350740432739</v>
      </c>
      <c r="BD71" s="108">
        <v>2.051851749420166</v>
      </c>
      <c r="BE71" s="108">
        <v>2.1742615699768066</v>
      </c>
      <c r="BF71" s="108">
        <v>1.9035793542861938</v>
      </c>
      <c r="BG71" s="108">
        <v>1.9492110013961792</v>
      </c>
      <c r="BH71" s="108">
        <v>2.0000336170196533</v>
      </c>
      <c r="BI71" s="108">
        <v>2.0936932563781738</v>
      </c>
      <c r="BJ71" s="108">
        <v>2.0959300994873047</v>
      </c>
      <c r="BK71" s="108">
        <v>2.1971137523651123</v>
      </c>
      <c r="BL71" s="108">
        <v>2.1138999462127686</v>
      </c>
    </row>
    <row r="72" spans="1:64" x14ac:dyDescent="0.2">
      <c r="A72" t="s">
        <v>207</v>
      </c>
      <c r="B72" s="108">
        <v>0.460113525390625</v>
      </c>
      <c r="C72" s="108">
        <v>0.44412714242935181</v>
      </c>
      <c r="D72" s="108">
        <v>0.44577950239181519</v>
      </c>
      <c r="E72" s="108">
        <v>0.49313554167747498</v>
      </c>
      <c r="F72" s="108">
        <v>0.53686279058456421</v>
      </c>
      <c r="G72" s="108">
        <v>0.47874581813812256</v>
      </c>
      <c r="H72" s="108">
        <v>0.48313456773757935</v>
      </c>
      <c r="I72" s="108">
        <v>0.51467710733413696</v>
      </c>
      <c r="J72" s="108">
        <v>0.59180712699890137</v>
      </c>
      <c r="K72" s="108">
        <v>0.47778746485710144</v>
      </c>
      <c r="L72" s="108">
        <v>0.50330263376235962</v>
      </c>
      <c r="M72" s="108">
        <v>0.52758020162582397</v>
      </c>
      <c r="N72" s="108">
        <v>0.49974262714385986</v>
      </c>
      <c r="O72" s="108">
        <v>0.46540507674217224</v>
      </c>
      <c r="P72" s="109">
        <v>0.5269322395324707</v>
      </c>
      <c r="Q72" s="108">
        <v>0.49914121627807617</v>
      </c>
      <c r="R72" s="108">
        <v>0.44856971502304077</v>
      </c>
      <c r="S72" s="109"/>
      <c r="T72" s="108">
        <v>0.44507074356079102</v>
      </c>
      <c r="U72" s="108">
        <v>0.46964150667190552</v>
      </c>
      <c r="V72" s="108">
        <v>0.47990676760673523</v>
      </c>
      <c r="W72" s="108">
        <v>0.45006051659584045</v>
      </c>
      <c r="X72" s="108">
        <v>0.47249603271484375</v>
      </c>
      <c r="Y72" s="108">
        <v>0.49825122952461243</v>
      </c>
      <c r="Z72" s="108">
        <v>0.45222222805023193</v>
      </c>
      <c r="AA72" s="108">
        <v>0.59387069940567017</v>
      </c>
      <c r="AB72" s="108">
        <v>0.54424965381622314</v>
      </c>
      <c r="AC72" s="108">
        <v>0.56890267133712769</v>
      </c>
      <c r="AD72" s="108">
        <v>0.65695607662200928</v>
      </c>
      <c r="AE72" s="108">
        <v>0.56814754009246826</v>
      </c>
      <c r="AF72" s="108">
        <v>0.53285402059555054</v>
      </c>
      <c r="AG72" s="108">
        <v>0.40773671865463257</v>
      </c>
      <c r="AH72" s="108">
        <v>0.4843330979347229</v>
      </c>
      <c r="AI72" s="108">
        <v>0.47543060779571533</v>
      </c>
      <c r="AJ72" s="108">
        <v>0.44286283850669861</v>
      </c>
      <c r="AK72" s="108">
        <v>0.47263181209564209</v>
      </c>
      <c r="AL72" s="108">
        <v>0.42960646748542786</v>
      </c>
      <c r="AM72" s="108">
        <v>0.48570820689201355</v>
      </c>
      <c r="AN72" s="108">
        <v>0.49544873833656311</v>
      </c>
      <c r="AO72" s="108">
        <v>0.48664829134941101</v>
      </c>
      <c r="AP72" s="108">
        <v>0.47925251722335815</v>
      </c>
      <c r="AQ72" s="108">
        <v>0.4361705482006073</v>
      </c>
      <c r="AR72" s="108">
        <v>0.52367514371871948</v>
      </c>
      <c r="AS72" s="108">
        <v>0.46023467183113098</v>
      </c>
      <c r="AT72" s="108">
        <v>0.45670315623283386</v>
      </c>
      <c r="AU72" s="108">
        <v>0.40278682112693787</v>
      </c>
      <c r="AV72" s="108">
        <v>0.46766376495361328</v>
      </c>
      <c r="AW72" s="108">
        <v>0.43277785181999207</v>
      </c>
      <c r="AX72" s="108">
        <v>0.47352465987205505</v>
      </c>
      <c r="AY72" s="108">
        <v>0.40277576446533203</v>
      </c>
      <c r="AZ72" s="108">
        <v>0.44470605254173279</v>
      </c>
      <c r="BA72" s="108">
        <v>0.42040145397186279</v>
      </c>
      <c r="BB72" s="108">
        <v>0.45045468211174011</v>
      </c>
      <c r="BC72" s="108">
        <v>0.47353088855743408</v>
      </c>
      <c r="BD72" s="108">
        <v>0.49717849493026733</v>
      </c>
      <c r="BE72" s="108">
        <v>0.44475510716438293</v>
      </c>
      <c r="BF72" s="108">
        <v>0.38513565063476563</v>
      </c>
      <c r="BG72" s="108">
        <v>0.43443530797958374</v>
      </c>
      <c r="BH72" s="108">
        <v>0.41216269135475159</v>
      </c>
      <c r="BI72" s="108">
        <v>0.44817984104156494</v>
      </c>
      <c r="BJ72" s="108">
        <v>0.41566196084022522</v>
      </c>
      <c r="BK72" s="108">
        <v>0.51612603664398193</v>
      </c>
      <c r="BL72" s="108">
        <v>0.5310782790184021</v>
      </c>
    </row>
    <row r="73" spans="1:64" x14ac:dyDescent="0.2">
      <c r="A73" t="s">
        <v>213</v>
      </c>
      <c r="B73" s="108">
        <v>1.987553596496582</v>
      </c>
      <c r="C73" s="108">
        <v>1.79958176612854</v>
      </c>
      <c r="D73" s="108">
        <v>1.7183762788772583</v>
      </c>
      <c r="E73" s="108">
        <v>1.8182859420776367</v>
      </c>
      <c r="F73" s="108">
        <v>1.9380694627761841</v>
      </c>
      <c r="G73" s="108">
        <v>1.8721188306808472</v>
      </c>
      <c r="H73" s="108">
        <v>1.7194886207580566</v>
      </c>
      <c r="I73" s="108">
        <v>1.8751516342163086</v>
      </c>
      <c r="J73" s="108">
        <v>1.6231663227081299</v>
      </c>
      <c r="K73" s="108">
        <v>1.8731826543807983</v>
      </c>
      <c r="L73" s="108">
        <v>1.8097101449966431</v>
      </c>
      <c r="M73" s="108">
        <v>1.9925755262374878</v>
      </c>
      <c r="N73" s="108">
        <v>1.9674960374832153</v>
      </c>
      <c r="O73" s="108">
        <v>2.060321569442749</v>
      </c>
      <c r="P73" s="109">
        <v>1.9068787097930908</v>
      </c>
      <c r="Q73" s="108">
        <v>1.9763154983520508</v>
      </c>
      <c r="R73" s="108">
        <v>2.0783679485321045</v>
      </c>
      <c r="S73" s="109"/>
      <c r="T73" s="108">
        <v>2.0170154571533203</v>
      </c>
      <c r="U73" s="108">
        <v>2.0403025150299072</v>
      </c>
      <c r="V73" s="108">
        <v>1.8428881168365479</v>
      </c>
      <c r="W73" s="108">
        <v>1.9650504589080811</v>
      </c>
      <c r="X73" s="108">
        <v>1.9340521097183228</v>
      </c>
      <c r="Y73" s="108">
        <v>1.827062726020813</v>
      </c>
      <c r="Z73" s="108">
        <v>1.824803352355957</v>
      </c>
      <c r="AA73" s="108">
        <v>2.0052955150604248</v>
      </c>
      <c r="AB73" s="108">
        <v>1.9312527179718018</v>
      </c>
      <c r="AC73" s="108">
        <v>1.9344290494918823</v>
      </c>
      <c r="AD73" s="108">
        <v>1.664375901222229</v>
      </c>
      <c r="AE73" s="108">
        <v>1.7511258125305176</v>
      </c>
      <c r="AF73" s="108">
        <v>1.7495150566101074</v>
      </c>
      <c r="AG73" s="108">
        <v>1.9098403453826904</v>
      </c>
      <c r="AH73" s="108">
        <v>1.9161380529403687</v>
      </c>
      <c r="AI73" s="108">
        <v>1.8577792644500732</v>
      </c>
      <c r="AJ73" s="108">
        <v>1.7367361783981323</v>
      </c>
      <c r="AK73" s="108">
        <v>1.6537433862686157</v>
      </c>
      <c r="AL73" s="108">
        <v>1.9031670093536377</v>
      </c>
      <c r="AM73" s="108">
        <v>1.8223470449447632</v>
      </c>
      <c r="AN73" s="108">
        <v>1.7957956790924072</v>
      </c>
      <c r="AO73" s="108">
        <v>1.8013951778411865</v>
      </c>
      <c r="AP73" s="108">
        <v>1.7275758981704712</v>
      </c>
      <c r="AQ73" s="108">
        <v>1.8312636613845825</v>
      </c>
      <c r="AR73" s="108">
        <v>1.863490104675293</v>
      </c>
      <c r="AS73" s="108">
        <v>1.6561590433120728</v>
      </c>
      <c r="AT73" s="108">
        <v>1.6941567659378052</v>
      </c>
      <c r="AU73" s="108">
        <v>1.6593186855316162</v>
      </c>
      <c r="AV73" s="108">
        <v>1.9377868175506592</v>
      </c>
      <c r="AW73" s="108">
        <v>1.8057694435119629</v>
      </c>
      <c r="AX73" s="108">
        <v>1.8032925128936768</v>
      </c>
      <c r="AY73" s="108">
        <v>1.8810557126998901</v>
      </c>
      <c r="AZ73" s="108">
        <v>1.6107903718948364</v>
      </c>
      <c r="BA73" s="108">
        <v>1.6960761547088623</v>
      </c>
      <c r="BB73" s="108">
        <v>1.6661463975906372</v>
      </c>
      <c r="BC73" s="108">
        <v>1.6001738309860229</v>
      </c>
      <c r="BD73" s="108">
        <v>1.8661113977432251</v>
      </c>
      <c r="BE73" s="108">
        <v>1.6211824417114258</v>
      </c>
      <c r="BF73" s="108">
        <v>1.8696693181991577</v>
      </c>
      <c r="BG73" s="108">
        <v>1.9018909931182861</v>
      </c>
      <c r="BH73" s="108">
        <v>1.5886255502700806</v>
      </c>
      <c r="BI73" s="108">
        <v>1.6866964101791382</v>
      </c>
      <c r="BJ73" s="108">
        <v>1.8468320369720459</v>
      </c>
      <c r="BK73" s="108">
        <v>1.8037141561508179</v>
      </c>
      <c r="BL73" s="108">
        <v>1.8187386989593506</v>
      </c>
    </row>
    <row r="74" spans="1:64" x14ac:dyDescent="0.2">
      <c r="A74" t="s">
        <v>191</v>
      </c>
      <c r="B74" s="108">
        <v>0.26114705204963684</v>
      </c>
      <c r="C74" s="108">
        <v>0.15909373760223389</v>
      </c>
      <c r="D74" s="108">
        <v>0.19895800948143005</v>
      </c>
      <c r="E74" s="108">
        <v>0.3405931293964386</v>
      </c>
      <c r="F74" s="108">
        <v>0.22937317192554474</v>
      </c>
      <c r="G74" s="108">
        <v>0.20441295206546783</v>
      </c>
      <c r="H74" s="108">
        <v>0.27165144681930542</v>
      </c>
      <c r="I74" s="108">
        <v>0.28588926792144775</v>
      </c>
      <c r="J74" s="108">
        <v>0.25467380881309509</v>
      </c>
      <c r="K74" s="108">
        <v>0.21772994101047516</v>
      </c>
      <c r="L74" s="108">
        <v>0.22378161549568176</v>
      </c>
      <c r="M74" s="108">
        <v>0.20188212394714355</v>
      </c>
      <c r="N74" s="108">
        <v>0.234375</v>
      </c>
      <c r="O74" s="108">
        <v>0.23841148614883423</v>
      </c>
      <c r="P74" s="109">
        <v>0.26986974477767944</v>
      </c>
      <c r="Q74" s="108">
        <v>0.28496134281158447</v>
      </c>
      <c r="R74" s="108">
        <v>0.24789406359195709</v>
      </c>
      <c r="S74" s="109"/>
      <c r="T74" s="108">
        <v>0.10850315541028976</v>
      </c>
      <c r="U74" s="108">
        <v>0.18760845065116882</v>
      </c>
      <c r="V74" s="108">
        <v>0.18553604185581207</v>
      </c>
      <c r="W74" s="108">
        <v>0.1530555933713913</v>
      </c>
      <c r="X74" s="108">
        <v>0.2211567610502243</v>
      </c>
      <c r="Y74" s="108">
        <v>0.19468024373054504</v>
      </c>
      <c r="Z74" s="108">
        <v>0.17572389543056488</v>
      </c>
      <c r="AA74" s="108">
        <v>0.20945313572883606</v>
      </c>
      <c r="AB74" s="108">
        <v>0.2382272332906723</v>
      </c>
      <c r="AC74" s="108">
        <v>0.27993571758270264</v>
      </c>
      <c r="AD74" s="108">
        <v>0.2542252242565155</v>
      </c>
      <c r="AE74" s="108">
        <v>0.34702014923095703</v>
      </c>
      <c r="AF74" s="108">
        <v>0.25817877054214478</v>
      </c>
      <c r="AG74" s="108">
        <v>0.32430607080459595</v>
      </c>
      <c r="AH74" s="108">
        <v>0.23388463258743286</v>
      </c>
      <c r="AI74" s="108">
        <v>0.26071274280548096</v>
      </c>
      <c r="AJ74" s="108">
        <v>0.24742287397384644</v>
      </c>
      <c r="AK74" s="108">
        <v>0.23162268102169037</v>
      </c>
      <c r="AL74" s="108">
        <v>0.3817560076713562</v>
      </c>
      <c r="AM74" s="108">
        <v>0.29700309038162231</v>
      </c>
      <c r="AN74" s="108">
        <v>0.35472971200942993</v>
      </c>
      <c r="AO74" s="108">
        <v>0.21910600364208221</v>
      </c>
      <c r="AP74" s="108">
        <v>0.23252770304679871</v>
      </c>
      <c r="AQ74" s="108">
        <v>0.16016006469726563</v>
      </c>
      <c r="AR74" s="108">
        <v>0.29032915830612183</v>
      </c>
      <c r="AS74" s="108">
        <v>0.3060099184513092</v>
      </c>
      <c r="AT74" s="108">
        <v>0.22804144024848938</v>
      </c>
      <c r="AU74" s="108">
        <v>0.31125643849372864</v>
      </c>
      <c r="AV74" s="108">
        <v>0.4240727424621582</v>
      </c>
      <c r="AW74" s="108">
        <v>0.27126288414001465</v>
      </c>
      <c r="AX74" s="108">
        <v>0.26926746964454651</v>
      </c>
      <c r="AY74" s="108">
        <v>0.31714364886283875</v>
      </c>
      <c r="AZ74" s="108">
        <v>0.27689605951309204</v>
      </c>
      <c r="BA74" s="108">
        <v>0.31052899360656738</v>
      </c>
      <c r="BB74" s="108">
        <v>0.32888928055763245</v>
      </c>
      <c r="BC74" s="108">
        <v>0.29766166210174561</v>
      </c>
      <c r="BD74" s="108">
        <v>0.37248733639717102</v>
      </c>
      <c r="BE74" s="108">
        <v>0.38900595903396606</v>
      </c>
      <c r="BF74" s="108">
        <v>0.22659553587436676</v>
      </c>
      <c r="BG74" s="108">
        <v>0.2816014289855957</v>
      </c>
      <c r="BH74" s="108">
        <v>0.25876244902610779</v>
      </c>
      <c r="BI74" s="108">
        <v>0.38137558102607727</v>
      </c>
      <c r="BJ74" s="108">
        <v>0.34345155954360962</v>
      </c>
      <c r="BK74" s="108">
        <v>0.40317690372467041</v>
      </c>
      <c r="BL74" s="108">
        <v>0.37861207127571106</v>
      </c>
    </row>
    <row r="75" spans="1:64" x14ac:dyDescent="0.2">
      <c r="A75" t="s">
        <v>195</v>
      </c>
      <c r="B75" s="108">
        <v>0.12513060867786407</v>
      </c>
      <c r="C75" s="108">
        <v>0.10856291651725769</v>
      </c>
      <c r="D75" s="108">
        <v>0.117793008685112</v>
      </c>
      <c r="E75" s="108">
        <v>0.19581930339336395</v>
      </c>
      <c r="F75" s="108">
        <v>0.13861386477947235</v>
      </c>
      <c r="G75" s="108">
        <v>0.15154026448726654</v>
      </c>
      <c r="H75" s="108">
        <v>0.12170132249593735</v>
      </c>
      <c r="I75" s="108">
        <v>0.16163745522499084</v>
      </c>
      <c r="J75" s="108">
        <v>0.10537458211183548</v>
      </c>
      <c r="K75" s="108">
        <v>0.14280438423156738</v>
      </c>
      <c r="L75" s="108">
        <v>0.14379727840423584</v>
      </c>
      <c r="M75" s="108">
        <v>0.12466373294591904</v>
      </c>
      <c r="N75" s="108">
        <v>0.11637435853481293</v>
      </c>
      <c r="O75" s="108">
        <v>0.16860562562942505</v>
      </c>
      <c r="P75" s="109">
        <v>0.12658566236495972</v>
      </c>
      <c r="Q75" s="108">
        <v>0.10541362315416336</v>
      </c>
      <c r="R75" s="108">
        <v>0.12612380087375641</v>
      </c>
      <c r="S75" s="109"/>
      <c r="T75" s="108">
        <v>7.5303681194782257E-2</v>
      </c>
      <c r="U75" s="108">
        <v>0.15483668446540833</v>
      </c>
      <c r="V75" s="108">
        <v>0.13582777976989746</v>
      </c>
      <c r="W75" s="108">
        <v>0.10234687477350235</v>
      </c>
      <c r="X75" s="108">
        <v>0.16960862278938293</v>
      </c>
      <c r="Y75" s="108">
        <v>0.11365778744220734</v>
      </c>
      <c r="Z75" s="108">
        <v>0.1355452835559845</v>
      </c>
      <c r="AA75" s="108">
        <v>0.14439599215984344</v>
      </c>
      <c r="AB75" s="108">
        <v>0.13333334028720856</v>
      </c>
      <c r="AC75" s="108">
        <v>0.15625</v>
      </c>
      <c r="AD75" s="108">
        <v>0.13642510771751404</v>
      </c>
      <c r="AE75" s="108">
        <v>0.18112842738628387</v>
      </c>
      <c r="AF75" s="108">
        <v>0.19014118611812592</v>
      </c>
      <c r="AG75" s="108">
        <v>0.16876402497291565</v>
      </c>
      <c r="AH75" s="108">
        <v>0.16071160137653351</v>
      </c>
      <c r="AI75" s="108">
        <v>0.21097439527511597</v>
      </c>
      <c r="AJ75" s="108">
        <v>0.15817065536975861</v>
      </c>
      <c r="AK75" s="108">
        <v>0.18831905722618103</v>
      </c>
      <c r="AL75" s="108">
        <v>0.23493723571300507</v>
      </c>
      <c r="AM75" s="108">
        <v>0.24509476125240326</v>
      </c>
      <c r="AN75" s="108">
        <v>0.24796281754970551</v>
      </c>
      <c r="AO75" s="108">
        <v>0.11442844569683075</v>
      </c>
      <c r="AP75" s="108">
        <v>0.17625005543231964</v>
      </c>
      <c r="AQ75" s="108">
        <v>0.11115302890539169</v>
      </c>
      <c r="AR75" s="108">
        <v>0.20262785255908966</v>
      </c>
      <c r="AS75" s="108">
        <v>0.17953014373779297</v>
      </c>
      <c r="AT75" s="108">
        <v>0.18330016732215881</v>
      </c>
      <c r="AU75" s="108">
        <v>0.19205969572067261</v>
      </c>
      <c r="AV75" s="108">
        <v>0.22428318858146667</v>
      </c>
      <c r="AW75" s="108">
        <v>0.16482527554035187</v>
      </c>
      <c r="AX75" s="108">
        <v>0.18299202620983124</v>
      </c>
      <c r="AY75" s="108">
        <v>0.21614697575569153</v>
      </c>
      <c r="AZ75" s="108">
        <v>0.1190158948302269</v>
      </c>
      <c r="BA75" s="108">
        <v>0.1712673157453537</v>
      </c>
      <c r="BB75" s="108">
        <v>0.18697172403335571</v>
      </c>
      <c r="BC75" s="108">
        <v>0.21498474478721619</v>
      </c>
      <c r="BD75" s="108">
        <v>0.26359578967094421</v>
      </c>
      <c r="BE75" s="108">
        <v>0.30418103933334351</v>
      </c>
      <c r="BF75" s="108">
        <v>0.16434510052204132</v>
      </c>
      <c r="BG75" s="108">
        <v>0.20240476727485657</v>
      </c>
      <c r="BH75" s="108">
        <v>0.16568408906459808</v>
      </c>
      <c r="BI75" s="108">
        <v>0.24276483058929443</v>
      </c>
      <c r="BJ75" s="108">
        <v>0.23455069959163666</v>
      </c>
      <c r="BK75" s="108">
        <v>0.33198001980781555</v>
      </c>
      <c r="BL75" s="108">
        <v>0.25832203030586243</v>
      </c>
    </row>
    <row r="76" spans="1:64" x14ac:dyDescent="0.2">
      <c r="A76" t="s">
        <v>199</v>
      </c>
      <c r="B76" s="108">
        <v>5.4790724068880081E-2</v>
      </c>
      <c r="C76" s="108">
        <v>8.4695279598236084E-2</v>
      </c>
      <c r="D76" s="108">
        <v>7.7989228069782257E-2</v>
      </c>
      <c r="E76" s="108">
        <v>0.15185186266899109</v>
      </c>
      <c r="F76" s="108">
        <v>8.0857947468757629E-2</v>
      </c>
      <c r="G76" s="108">
        <v>8.4001526236534119E-2</v>
      </c>
      <c r="H76" s="108">
        <v>6.4583919942378998E-2</v>
      </c>
      <c r="I76" s="108">
        <v>7.3917977511882782E-2</v>
      </c>
      <c r="J76" s="108">
        <v>0.10004175454378128</v>
      </c>
      <c r="K76" s="108">
        <v>9.6269197762012482E-2</v>
      </c>
      <c r="L76" s="108">
        <v>7.6446674764156342E-2</v>
      </c>
      <c r="M76" s="108">
        <v>8.7035633623600006E-2</v>
      </c>
      <c r="N76" s="108">
        <v>0.1216840073466301</v>
      </c>
      <c r="O76" s="108">
        <v>7.2945497930049896E-2</v>
      </c>
      <c r="P76" s="109">
        <v>9.2957168817520142E-2</v>
      </c>
      <c r="Q76" s="108">
        <v>7.2691105306148529E-2</v>
      </c>
      <c r="R76" s="108">
        <v>9.0514093637466431E-2</v>
      </c>
      <c r="S76" s="109"/>
      <c r="T76" s="108">
        <v>3.6112841218709946E-2</v>
      </c>
      <c r="U76" s="108">
        <v>0.12496429681777954</v>
      </c>
      <c r="V76" s="108">
        <v>7.8003101050853729E-2</v>
      </c>
      <c r="W76" s="108">
        <v>4.8044160008430481E-2</v>
      </c>
      <c r="X76" s="108">
        <v>5.206293985247612E-2</v>
      </c>
      <c r="Y76" s="108">
        <v>8.0933496356010437E-2</v>
      </c>
      <c r="Z76" s="108">
        <v>6.6872462630271912E-2</v>
      </c>
      <c r="AA76" s="108">
        <v>9.0499192476272583E-2</v>
      </c>
      <c r="AB76" s="108">
        <v>5.4628267884254456E-2</v>
      </c>
      <c r="AC76" s="108">
        <v>0.14810892939567566</v>
      </c>
      <c r="AD76" s="108">
        <v>0.1504867821931839</v>
      </c>
      <c r="AE76" s="108">
        <v>0.12926508486270905</v>
      </c>
      <c r="AF76" s="108">
        <v>0.14379887282848358</v>
      </c>
      <c r="AG76" s="108">
        <v>6.1681617051362991E-2</v>
      </c>
      <c r="AH76" s="108">
        <v>8.9184455573558807E-2</v>
      </c>
      <c r="AI76" s="108">
        <v>0.12890420854091644</v>
      </c>
      <c r="AJ76" s="108">
        <v>5.8911081403493881E-2</v>
      </c>
      <c r="AK76" s="108">
        <v>8.8073968887329102E-2</v>
      </c>
      <c r="AL76" s="108">
        <v>0.1034623458981514</v>
      </c>
      <c r="AM76" s="108">
        <v>0.13985015451908112</v>
      </c>
      <c r="AN76" s="108">
        <v>0.19248270988464355</v>
      </c>
      <c r="AO76" s="108">
        <v>0.10528091341257095</v>
      </c>
      <c r="AP76" s="108">
        <v>7.350921630859375E-2</v>
      </c>
      <c r="AQ76" s="108">
        <v>5.8823529630899429E-2</v>
      </c>
      <c r="AR76" s="108">
        <v>0.12700134515762329</v>
      </c>
      <c r="AS76" s="108">
        <v>0.13333693146705627</v>
      </c>
      <c r="AT76" s="108">
        <v>0.12498214095830917</v>
      </c>
      <c r="AU76" s="108">
        <v>8.9830808341503143E-2</v>
      </c>
      <c r="AV76" s="108">
        <v>0.13679656386375427</v>
      </c>
      <c r="AW76" s="108">
        <v>8.9793279767036438E-2</v>
      </c>
      <c r="AX76" s="108">
        <v>0.10281413048505783</v>
      </c>
      <c r="AY76" s="108">
        <v>0.10385420173406601</v>
      </c>
      <c r="AZ76" s="108">
        <v>5.7431474328041077E-2</v>
      </c>
      <c r="BA76" s="108">
        <v>7.4094682931900024E-2</v>
      </c>
      <c r="BB76" s="108">
        <v>0.11986995488405228</v>
      </c>
      <c r="BC76" s="108">
        <v>7.8106977045536041E-2</v>
      </c>
      <c r="BD76" s="108">
        <v>0.18519708514213562</v>
      </c>
      <c r="BE76" s="108">
        <v>0.15814997255802155</v>
      </c>
      <c r="BF76" s="108">
        <v>6.5044231712818146E-2</v>
      </c>
      <c r="BG76" s="108">
        <v>0.12869307398796082</v>
      </c>
      <c r="BH76" s="108">
        <v>0.10305932909250259</v>
      </c>
      <c r="BI76" s="108">
        <v>0.13435147702693939</v>
      </c>
      <c r="BJ76" s="108">
        <v>0.13960057497024536</v>
      </c>
      <c r="BK76" s="108">
        <v>0.16034990549087524</v>
      </c>
      <c r="BL76" s="108">
        <v>0.11537525057792664</v>
      </c>
    </row>
    <row r="77" spans="1:64" x14ac:dyDescent="0.2">
      <c r="A77" t="s">
        <v>193</v>
      </c>
      <c r="B77" s="108">
        <v>0.933746337890625</v>
      </c>
      <c r="C77" s="108">
        <v>0.95184153318405151</v>
      </c>
      <c r="D77" s="108">
        <v>0.84744608402252197</v>
      </c>
      <c r="E77" s="108">
        <v>0.8642888069152832</v>
      </c>
      <c r="F77" s="108">
        <v>0.89688253402709961</v>
      </c>
      <c r="G77" s="108">
        <v>0.9923560619354248</v>
      </c>
      <c r="H77" s="108">
        <v>0.94347506761550903</v>
      </c>
      <c r="I77" s="108">
        <v>0.95788067579269409</v>
      </c>
      <c r="J77" s="108">
        <v>1</v>
      </c>
      <c r="K77" s="108">
        <v>0.93059396743774414</v>
      </c>
      <c r="L77" s="108">
        <v>0.96341478824615479</v>
      </c>
      <c r="M77" s="108">
        <v>0.83923596143722534</v>
      </c>
      <c r="N77" s="108">
        <v>0.93333333730697632</v>
      </c>
      <c r="O77" s="108">
        <v>0.96591800451278687</v>
      </c>
      <c r="P77" s="109">
        <v>0.96958190202713013</v>
      </c>
      <c r="Q77" s="108">
        <v>0.90853381156921387</v>
      </c>
      <c r="R77" s="108">
        <v>0.93969309329986572</v>
      </c>
      <c r="S77" s="109"/>
      <c r="T77" s="108">
        <v>0.92586970329284668</v>
      </c>
      <c r="U77" s="108">
        <v>0.91652274131774902</v>
      </c>
      <c r="V77" s="108">
        <v>0.87152832746505737</v>
      </c>
      <c r="W77" s="108">
        <v>0.89349526166915894</v>
      </c>
      <c r="X77" s="108">
        <v>0.96915167570114136</v>
      </c>
      <c r="Y77" s="108">
        <v>0.96272242069244385</v>
      </c>
      <c r="Z77" s="108">
        <v>0.91617220640182495</v>
      </c>
      <c r="AA77" s="108">
        <v>0.92407995462417603</v>
      </c>
      <c r="AB77" s="108">
        <v>0.92544275522232056</v>
      </c>
      <c r="AC77" s="108">
        <v>0.97091805934906006</v>
      </c>
      <c r="AD77" s="108">
        <v>0.91703218221664429</v>
      </c>
      <c r="AE77" s="108">
        <v>0.93596810102462769</v>
      </c>
      <c r="AF77" s="108">
        <v>0.89672255516052246</v>
      </c>
      <c r="AG77" s="108">
        <v>0.88153362274169922</v>
      </c>
      <c r="AH77" s="108">
        <v>0.87018078565597534</v>
      </c>
      <c r="AI77" s="108">
        <v>0.96770799160003662</v>
      </c>
      <c r="AJ77" s="108">
        <v>0.90221208333969116</v>
      </c>
      <c r="AK77" s="108">
        <v>0.94973254203796387</v>
      </c>
      <c r="AL77" s="108">
        <v>0.93436586856842041</v>
      </c>
      <c r="AM77" s="108">
        <v>0.94174212217330933</v>
      </c>
      <c r="AN77" s="108">
        <v>0.93158572912216187</v>
      </c>
      <c r="AO77" s="108">
        <v>0.9740028977394104</v>
      </c>
      <c r="AP77" s="108">
        <v>0.93084108829498291</v>
      </c>
      <c r="AQ77" s="108">
        <v>0.93870818614959717</v>
      </c>
      <c r="AR77" s="108">
        <v>0.9232984185218811</v>
      </c>
      <c r="AS77" s="108">
        <v>0.92344111204147339</v>
      </c>
      <c r="AT77" s="108">
        <v>0.76782959699630737</v>
      </c>
      <c r="AU77" s="108">
        <v>0.97035789489746094</v>
      </c>
      <c r="AV77" s="108">
        <v>0.94688469171524048</v>
      </c>
      <c r="AW77" s="108">
        <v>0.8852543830871582</v>
      </c>
      <c r="AX77" s="108">
        <v>0.89950990676879883</v>
      </c>
      <c r="AY77" s="108">
        <v>0.93787205219268799</v>
      </c>
      <c r="AZ77" s="108">
        <v>0.90632092952728271</v>
      </c>
      <c r="BA77" s="108">
        <v>0.92334252595901489</v>
      </c>
      <c r="BB77" s="108">
        <v>0.87913733720779419</v>
      </c>
      <c r="BC77" s="108">
        <v>0.84079539775848389</v>
      </c>
      <c r="BD77" s="108">
        <v>0.88336902856826782</v>
      </c>
      <c r="BE77" s="108">
        <v>0.93642318248748779</v>
      </c>
      <c r="BF77" s="108">
        <v>0.93406420946121216</v>
      </c>
      <c r="BG77" s="108">
        <v>0.84315729141235352</v>
      </c>
      <c r="BH77" s="108">
        <v>0.93205708265304565</v>
      </c>
      <c r="BI77" s="108">
        <v>0.90021234750747681</v>
      </c>
      <c r="BJ77" s="108">
        <v>0.97622120380401611</v>
      </c>
      <c r="BK77" s="108">
        <v>0.96195173263549805</v>
      </c>
      <c r="BL77" s="108">
        <v>0.98114621639251709</v>
      </c>
    </row>
    <row r="78" spans="1:64" x14ac:dyDescent="0.2">
      <c r="A78" t="s">
        <v>524</v>
      </c>
      <c r="B78" s="108">
        <v>0.88665181398391724</v>
      </c>
      <c r="C78" s="108">
        <v>0.92996269464492798</v>
      </c>
      <c r="D78" s="108">
        <v>0.93458962440490723</v>
      </c>
      <c r="E78" s="108">
        <v>0.91246479749679565</v>
      </c>
      <c r="F78" s="108">
        <v>0.9246024489402771</v>
      </c>
      <c r="G78" s="108">
        <v>0.85338956117630005</v>
      </c>
      <c r="H78" s="108">
        <v>0.98671120405197144</v>
      </c>
      <c r="I78" s="108">
        <v>0.92713743448257446</v>
      </c>
      <c r="J78" s="108">
        <v>0.91599339246749878</v>
      </c>
      <c r="K78" s="108">
        <v>0.89846909046173096</v>
      </c>
      <c r="L78" s="108">
        <v>0.94347274303436279</v>
      </c>
      <c r="M78" s="108">
        <v>0.88092273473739624</v>
      </c>
      <c r="N78" s="108">
        <v>0.93716037273406982</v>
      </c>
      <c r="O78" s="108">
        <v>1</v>
      </c>
      <c r="P78" s="109">
        <v>0.94141453504562378</v>
      </c>
      <c r="Q78" s="108">
        <v>0.78890645503997803</v>
      </c>
      <c r="R78" s="108">
        <v>0.88146787881851196</v>
      </c>
      <c r="S78" s="109"/>
      <c r="T78" s="108">
        <v>0.78637516498565674</v>
      </c>
      <c r="U78" s="108">
        <v>0.99765932559967041</v>
      </c>
      <c r="V78" s="108">
        <v>0.88966315984725952</v>
      </c>
      <c r="W78" s="108">
        <v>0.92036324739456177</v>
      </c>
      <c r="X78" s="108">
        <v>0.91942703723907471</v>
      </c>
      <c r="Y78" s="108">
        <v>0.93117833137512207</v>
      </c>
      <c r="Z78" s="108">
        <v>0.88671690225601196</v>
      </c>
      <c r="AA78" s="108">
        <v>0.86507761478424072</v>
      </c>
      <c r="AB78" s="108">
        <v>0.75252664089202881</v>
      </c>
      <c r="AC78" s="108">
        <v>0.95210283994674683</v>
      </c>
      <c r="AD78" s="108">
        <v>0.89692753553390503</v>
      </c>
      <c r="AE78" s="108">
        <v>0.88033205270767212</v>
      </c>
      <c r="AF78" s="108">
        <v>0.90038812160491943</v>
      </c>
      <c r="AG78" s="108">
        <v>0.99010533094406128</v>
      </c>
      <c r="AH78" s="108">
        <v>0.90557968616485596</v>
      </c>
      <c r="AI78" s="108">
        <v>0.90692794322967529</v>
      </c>
      <c r="AJ78" s="108">
        <v>0.89168167114257813</v>
      </c>
      <c r="AK78" s="108">
        <v>0.8685535192489624</v>
      </c>
      <c r="AL78" s="108">
        <v>0.95985639095306396</v>
      </c>
      <c r="AM78" s="108">
        <v>0.92412608861923218</v>
      </c>
      <c r="AN78" s="108">
        <v>0.93698650598526001</v>
      </c>
      <c r="AO78" s="108">
        <v>0.94732105731964111</v>
      </c>
      <c r="AP78" s="108">
        <v>0.73175442218780518</v>
      </c>
      <c r="AQ78" s="108">
        <v>0.91168481111526489</v>
      </c>
      <c r="AR78" s="108">
        <v>0.91330498456954956</v>
      </c>
      <c r="AS78" s="108">
        <v>0.98386126756668091</v>
      </c>
      <c r="AT78" s="108">
        <v>0.82587450742721558</v>
      </c>
      <c r="AU78" s="108">
        <v>0.95196127891540527</v>
      </c>
      <c r="AV78" s="108">
        <v>0.91845595836639404</v>
      </c>
      <c r="AW78" s="108">
        <v>0.8807833194732666</v>
      </c>
      <c r="AX78" s="108">
        <v>0.7699962854385376</v>
      </c>
      <c r="AY78" s="108">
        <v>0.93397510051727295</v>
      </c>
      <c r="AZ78" s="108">
        <v>0.88779664039611816</v>
      </c>
      <c r="BA78" s="108">
        <v>0.90866971015930176</v>
      </c>
      <c r="BB78" s="108">
        <v>0.86561316251754761</v>
      </c>
      <c r="BC78" s="108">
        <v>0.8590846061706543</v>
      </c>
      <c r="BD78" s="108">
        <v>0.89566212892532349</v>
      </c>
      <c r="BE78" s="108">
        <v>0.96963006258010864</v>
      </c>
      <c r="BF78" s="108">
        <v>0.8909069299697876</v>
      </c>
      <c r="BG78" s="108">
        <v>0.81527340412139893</v>
      </c>
      <c r="BH78" s="108">
        <v>0.86792826652526855</v>
      </c>
      <c r="BI78" s="108">
        <v>1</v>
      </c>
      <c r="BJ78" s="108">
        <v>0.96380293369293213</v>
      </c>
      <c r="BK78" s="108">
        <v>0.96587294340133667</v>
      </c>
      <c r="BL78" s="108">
        <v>0.85804885625839233</v>
      </c>
    </row>
    <row r="79" spans="1:64" x14ac:dyDescent="0.2">
      <c r="A79" t="s">
        <v>201</v>
      </c>
      <c r="B79" s="108">
        <v>0.95668703317642212</v>
      </c>
      <c r="C79" s="108">
        <v>0.91022574901580811</v>
      </c>
      <c r="D79" s="108">
        <v>1</v>
      </c>
      <c r="E79" s="108">
        <v>0.95200961828231812</v>
      </c>
      <c r="F79" s="108">
        <v>1</v>
      </c>
      <c r="G79" s="108">
        <v>0.90959155559539795</v>
      </c>
      <c r="H79" s="108">
        <v>1</v>
      </c>
      <c r="I79" s="108">
        <v>0.93103039264678955</v>
      </c>
      <c r="J79" s="108">
        <v>0.92481034994125366</v>
      </c>
      <c r="K79" s="108">
        <v>1</v>
      </c>
      <c r="L79" s="108">
        <v>1</v>
      </c>
      <c r="M79" s="108">
        <v>1</v>
      </c>
      <c r="N79" s="108">
        <v>0.99091637134552002</v>
      </c>
      <c r="O79" s="108">
        <v>1</v>
      </c>
      <c r="P79" s="109">
        <v>0.92022043466567993</v>
      </c>
      <c r="Q79" s="108">
        <v>0.8831748366355896</v>
      </c>
      <c r="R79" s="108">
        <v>1</v>
      </c>
      <c r="S79" s="109"/>
      <c r="T79" s="108">
        <v>1</v>
      </c>
      <c r="U79" s="108">
        <v>0.94168829917907715</v>
      </c>
      <c r="V79" s="108">
        <v>1</v>
      </c>
      <c r="W79" s="108">
        <v>1</v>
      </c>
      <c r="X79" s="108">
        <v>1</v>
      </c>
      <c r="Y79" s="108">
        <v>1</v>
      </c>
      <c r="Z79" s="108">
        <v>0.782692551612854</v>
      </c>
      <c r="AA79" s="108">
        <v>1</v>
      </c>
      <c r="AB79" s="108">
        <v>0.94581079483032227</v>
      </c>
      <c r="AC79" s="108">
        <v>1</v>
      </c>
      <c r="AD79" s="108">
        <v>0.85983812808990479</v>
      </c>
      <c r="AE79" s="108">
        <v>0.88821280002593994</v>
      </c>
      <c r="AF79" s="108">
        <v>1</v>
      </c>
      <c r="AG79" s="108">
        <v>1</v>
      </c>
      <c r="AH79" s="108">
        <v>0.9218866229057312</v>
      </c>
      <c r="AI79" s="108">
        <v>0.94922375679016113</v>
      </c>
      <c r="AJ79" s="108">
        <v>1</v>
      </c>
      <c r="AK79" s="108">
        <v>0.91930246353149414</v>
      </c>
      <c r="AL79" s="108">
        <v>0.96870893239974976</v>
      </c>
      <c r="AM79" s="108">
        <v>0.95567566156387329</v>
      </c>
      <c r="AN79" s="108">
        <v>0.95529413223266602</v>
      </c>
      <c r="AO79" s="108">
        <v>0.87880975008010864</v>
      </c>
      <c r="AP79" s="108">
        <v>0.68647986650466919</v>
      </c>
      <c r="AQ79" s="108">
        <v>1</v>
      </c>
      <c r="AR79" s="108">
        <v>0.87125307321548462</v>
      </c>
      <c r="AS79" s="108">
        <v>0.94882369041442871</v>
      </c>
      <c r="AT79" s="108">
        <v>0.93436497449874878</v>
      </c>
      <c r="AU79" s="108">
        <v>0.82494330406188965</v>
      </c>
      <c r="AV79" s="108">
        <v>0.96337586641311646</v>
      </c>
      <c r="AW79" s="108">
        <v>0.95335912704467773</v>
      </c>
      <c r="AX79" s="108">
        <v>1</v>
      </c>
      <c r="AY79" s="108">
        <v>0.96819388866424561</v>
      </c>
      <c r="AZ79" s="108">
        <v>1</v>
      </c>
      <c r="BA79" s="108">
        <v>1</v>
      </c>
      <c r="BB79" s="108">
        <v>0.93735378980636597</v>
      </c>
      <c r="BC79" s="108">
        <v>0.90367269515991211</v>
      </c>
      <c r="BD79" s="108">
        <v>0.96287328004837036</v>
      </c>
      <c r="BE79" s="108">
        <v>1</v>
      </c>
      <c r="BF79" s="108">
        <v>1</v>
      </c>
      <c r="BG79" s="108">
        <v>0.94556117057800293</v>
      </c>
      <c r="BH79" s="108">
        <v>1</v>
      </c>
      <c r="BI79" s="108">
        <v>1</v>
      </c>
      <c r="BJ79" s="108">
        <v>0.99325549602508545</v>
      </c>
      <c r="BK79" s="108">
        <v>0.95666933059692383</v>
      </c>
      <c r="BL79" s="108">
        <v>1</v>
      </c>
    </row>
    <row r="80" spans="1:64" x14ac:dyDescent="0.2">
      <c r="A80" t="s">
        <v>203</v>
      </c>
      <c r="B80" s="108">
        <v>3.0997145920991898E-2</v>
      </c>
      <c r="C80" s="108">
        <v>3.1233604997396469E-2</v>
      </c>
      <c r="D80" s="108">
        <v>4.9661088734865189E-2</v>
      </c>
      <c r="E80" s="108">
        <v>5.2685432136058807E-2</v>
      </c>
      <c r="F80" s="108">
        <v>5.8305714279413223E-2</v>
      </c>
      <c r="G80" s="108">
        <v>7.5044505298137665E-2</v>
      </c>
      <c r="H80" s="108">
        <v>5.3483542054891586E-2</v>
      </c>
      <c r="I80" s="108">
        <v>9.6780233085155487E-2</v>
      </c>
      <c r="J80" s="108">
        <v>4.7568105161190033E-2</v>
      </c>
      <c r="K80" s="108">
        <v>3.6247637122869492E-2</v>
      </c>
      <c r="L80" s="108">
        <v>1.6256930306553841E-2</v>
      </c>
      <c r="M80" s="108">
        <v>2.7375474572181702E-2</v>
      </c>
      <c r="N80" s="108">
        <v>5.9184007346630096E-2</v>
      </c>
      <c r="O80" s="108">
        <v>4.5244969427585602E-2</v>
      </c>
      <c r="P80" s="109">
        <v>3.8666084408760071E-2</v>
      </c>
      <c r="Q80" s="108">
        <v>5.5306058377027512E-2</v>
      </c>
      <c r="R80" s="108">
        <v>5.4363410919904709E-2</v>
      </c>
      <c r="S80" s="109"/>
      <c r="T80" s="108">
        <v>8.0433683469891548E-3</v>
      </c>
      <c r="U80" s="108">
        <v>5.8233156800270081E-2</v>
      </c>
      <c r="V80" s="108">
        <v>4.6149138361215591E-2</v>
      </c>
      <c r="W80" s="108">
        <v>2.9894361272454262E-2</v>
      </c>
      <c r="X80" s="108">
        <v>2.3415150120854378E-2</v>
      </c>
      <c r="Y80" s="108">
        <v>4.576442763209343E-2</v>
      </c>
      <c r="Z80" s="108">
        <v>2.5077173486351967E-2</v>
      </c>
      <c r="AA80" s="108">
        <v>5.700867623090744E-2</v>
      </c>
      <c r="AB80" s="108">
        <v>3.6530807614326477E-2</v>
      </c>
      <c r="AC80" s="108">
        <v>6.118571013212204E-2</v>
      </c>
      <c r="AD80" s="108">
        <v>4.6791069209575653E-2</v>
      </c>
      <c r="AE80" s="108">
        <v>6.1713803559541702E-2</v>
      </c>
      <c r="AF80" s="108">
        <v>5.6385468691587448E-2</v>
      </c>
      <c r="AG80" s="108">
        <v>1.4309055171906948E-2</v>
      </c>
      <c r="AH80" s="108">
        <v>4.4281866401433945E-2</v>
      </c>
      <c r="AI80" s="108">
        <v>5.5889099836349487E-2</v>
      </c>
      <c r="AJ80" s="108">
        <v>1.3696254231035709E-2</v>
      </c>
      <c r="AK80" s="108">
        <v>6.1098609119653702E-2</v>
      </c>
      <c r="AL80" s="108">
        <v>6.5737448632717133E-2</v>
      </c>
      <c r="AM80" s="108">
        <v>8.1743068993091583E-2</v>
      </c>
      <c r="AN80" s="108">
        <v>9.9411770701408386E-2</v>
      </c>
      <c r="AO80" s="108">
        <v>4.6387888491153717E-2</v>
      </c>
      <c r="AP80" s="108">
        <v>2.5774035602807999E-2</v>
      </c>
      <c r="AQ80" s="108">
        <v>3.1054135411977768E-2</v>
      </c>
      <c r="AR80" s="108">
        <v>6.3912317156791687E-2</v>
      </c>
      <c r="AS80" s="108">
        <v>2.9338337481021881E-2</v>
      </c>
      <c r="AT80" s="108">
        <v>4.8862166702747345E-2</v>
      </c>
      <c r="AU80" s="108">
        <v>4.4608604162931442E-2</v>
      </c>
      <c r="AV80" s="108">
        <v>6.3600160181522369E-2</v>
      </c>
      <c r="AW80" s="108">
        <v>3.3224500715732574E-2</v>
      </c>
      <c r="AX80" s="108">
        <v>5.1261868327856064E-2</v>
      </c>
      <c r="AY80" s="108">
        <v>5.1127586513757706E-2</v>
      </c>
      <c r="AZ80" s="108">
        <v>3.1989078968763351E-2</v>
      </c>
      <c r="BA80" s="108">
        <v>4.6202976256608963E-2</v>
      </c>
      <c r="BB80" s="108">
        <v>3.117581270635128E-2</v>
      </c>
      <c r="BC80" s="108">
        <v>5.3697638213634491E-2</v>
      </c>
      <c r="BD80" s="108">
        <v>6.5095521509647369E-2</v>
      </c>
      <c r="BE80" s="108">
        <v>7.5578458607196808E-2</v>
      </c>
      <c r="BF80" s="108">
        <v>4.2574651539325714E-2</v>
      </c>
      <c r="BG80" s="108">
        <v>4.4167134910821915E-2</v>
      </c>
      <c r="BH80" s="108">
        <v>2.3069771006703377E-2</v>
      </c>
      <c r="BI80" s="108">
        <v>4.0193516761064529E-2</v>
      </c>
      <c r="BJ80" s="108">
        <v>6.0661252588033676E-2</v>
      </c>
      <c r="BK80" s="108">
        <v>8.3648979663848877E-2</v>
      </c>
      <c r="BL80" s="108">
        <v>4.3300971388816833E-2</v>
      </c>
    </row>
    <row r="81" spans="1:64" x14ac:dyDescent="0.2">
      <c r="A81" t="s">
        <v>205</v>
      </c>
      <c r="B81" s="108">
        <v>0.88548851013183594</v>
      </c>
      <c r="C81" s="108">
        <v>0.75427109003067017</v>
      </c>
      <c r="D81" s="108">
        <v>0.84948933124542236</v>
      </c>
      <c r="E81" s="108">
        <v>1</v>
      </c>
      <c r="F81" s="108">
        <v>0.98113137483596802</v>
      </c>
      <c r="G81" s="108">
        <v>0.69999998807907104</v>
      </c>
      <c r="H81" s="108">
        <v>0.86143064498901367</v>
      </c>
      <c r="I81" s="108">
        <v>0.7395787239074707</v>
      </c>
      <c r="J81" s="108">
        <v>1</v>
      </c>
      <c r="K81" s="108">
        <v>1</v>
      </c>
      <c r="L81" s="108">
        <v>1</v>
      </c>
      <c r="M81" s="108">
        <v>0.83550208806991577</v>
      </c>
      <c r="N81" s="108">
        <v>1</v>
      </c>
      <c r="O81" s="108">
        <v>1</v>
      </c>
      <c r="P81" s="109">
        <v>0.80820184946060181</v>
      </c>
      <c r="Q81" s="108">
        <v>0.71748119592666626</v>
      </c>
      <c r="R81" s="108">
        <v>0.87000471353530884</v>
      </c>
      <c r="S81" s="109"/>
      <c r="T81" s="108">
        <v>1</v>
      </c>
      <c r="U81" s="108">
        <v>1</v>
      </c>
      <c r="V81" s="108">
        <v>1</v>
      </c>
      <c r="W81" s="108">
        <v>1</v>
      </c>
      <c r="X81" s="108">
        <v>1</v>
      </c>
      <c r="Y81" s="108">
        <v>1</v>
      </c>
      <c r="Z81" s="108">
        <v>1</v>
      </c>
      <c r="AA81" s="108">
        <v>0.8959386944770813</v>
      </c>
      <c r="AB81" s="108">
        <v>0.75689601898193359</v>
      </c>
      <c r="AC81" s="108">
        <v>0.8776850700378418</v>
      </c>
      <c r="AD81" s="108">
        <v>0.82462024688720703</v>
      </c>
      <c r="AE81" s="108">
        <v>0.9786718487739563</v>
      </c>
      <c r="AF81" s="108">
        <v>1</v>
      </c>
      <c r="AG81" s="108">
        <v>0.836833655834198</v>
      </c>
      <c r="AH81" s="108">
        <v>1</v>
      </c>
      <c r="AI81" s="108">
        <v>1</v>
      </c>
      <c r="AJ81" s="108">
        <v>1</v>
      </c>
      <c r="AK81" s="108">
        <v>0.84667634963989258</v>
      </c>
      <c r="AL81" s="108">
        <v>1</v>
      </c>
      <c r="AM81" s="108">
        <v>0.89416366815567017</v>
      </c>
      <c r="AN81" s="108">
        <v>0.98405414819717407</v>
      </c>
      <c r="AO81" s="108">
        <v>0.8571428656578064</v>
      </c>
      <c r="AP81" s="108">
        <v>0.66666668653488159</v>
      </c>
      <c r="AQ81" s="108">
        <v>0.94711261987686157</v>
      </c>
      <c r="AR81" s="108">
        <v>0.83183753490447998</v>
      </c>
      <c r="AS81" s="108">
        <v>1</v>
      </c>
      <c r="AT81" s="108">
        <v>0.80427372455596924</v>
      </c>
      <c r="AU81" s="108">
        <v>0.83684748411178589</v>
      </c>
      <c r="AV81" s="108">
        <v>1</v>
      </c>
      <c r="AW81" s="108">
        <v>0.97737491130828857</v>
      </c>
      <c r="AX81" s="108">
        <v>0.92601281404495239</v>
      </c>
      <c r="AY81" s="108">
        <v>0.86749374866485596</v>
      </c>
      <c r="AZ81" s="108">
        <v>0.81068038940429688</v>
      </c>
      <c r="BA81" s="108">
        <v>1</v>
      </c>
      <c r="BB81" s="108">
        <v>0.65557312965393066</v>
      </c>
      <c r="BC81" s="108">
        <v>0.72418129444122314</v>
      </c>
      <c r="BD81" s="108">
        <v>0.86350005865097046</v>
      </c>
      <c r="BE81" s="108">
        <v>1</v>
      </c>
      <c r="BF81" s="108">
        <v>0.77907687425613403</v>
      </c>
      <c r="BG81" s="108">
        <v>0.9758676290512085</v>
      </c>
      <c r="BH81" s="108">
        <v>1</v>
      </c>
      <c r="BI81" s="108">
        <v>0.78049606084823608</v>
      </c>
      <c r="BJ81" s="108">
        <v>0.98459100723266602</v>
      </c>
      <c r="BK81" s="108">
        <v>1</v>
      </c>
      <c r="BL81" s="108">
        <v>1</v>
      </c>
    </row>
    <row r="82" spans="1:64" x14ac:dyDescent="0.2">
      <c r="A82" t="s">
        <v>209</v>
      </c>
      <c r="B82" s="108">
        <v>0.18616683781147003</v>
      </c>
      <c r="C82" s="108">
        <v>0.16528803110122681</v>
      </c>
      <c r="D82" s="108">
        <v>0.17125372588634491</v>
      </c>
      <c r="E82" s="108">
        <v>0.23108683526515961</v>
      </c>
      <c r="F82" s="108">
        <v>0.28272849321365356</v>
      </c>
      <c r="G82" s="108">
        <v>0.23175486922264099</v>
      </c>
      <c r="H82" s="108">
        <v>0.22016783058643341</v>
      </c>
      <c r="I82" s="108">
        <v>0.2586524486541748</v>
      </c>
      <c r="J82" s="108">
        <v>0.38315904140472412</v>
      </c>
      <c r="K82" s="108">
        <v>0.21716415882110596</v>
      </c>
      <c r="L82" s="108">
        <v>0.25179022550582886</v>
      </c>
      <c r="M82" s="108">
        <v>0.28186249732971191</v>
      </c>
      <c r="N82" s="108">
        <v>0.24841718375682831</v>
      </c>
      <c r="O82" s="108">
        <v>0.18965829908847809</v>
      </c>
      <c r="P82" s="109">
        <v>0.27304106950759888</v>
      </c>
      <c r="Q82" s="108">
        <v>0.25966817140579224</v>
      </c>
      <c r="R82" s="108">
        <v>0.19189916551113129</v>
      </c>
      <c r="S82" s="109"/>
      <c r="T82" s="108">
        <v>0.16550347208976746</v>
      </c>
      <c r="U82" s="108">
        <v>0.19168642163276672</v>
      </c>
      <c r="V82" s="108">
        <v>0.20599113404750824</v>
      </c>
      <c r="W82" s="108">
        <v>0.17302088439464569</v>
      </c>
      <c r="X82" s="108">
        <v>0.19684533774852753</v>
      </c>
      <c r="Y82" s="108">
        <v>0.24948319792747498</v>
      </c>
      <c r="Z82" s="108">
        <v>0.18640688061714172</v>
      </c>
      <c r="AA82" s="108">
        <v>0.37070056796073914</v>
      </c>
      <c r="AB82" s="108">
        <v>0.30927351117134094</v>
      </c>
      <c r="AC82" s="108">
        <v>0.34926247596740723</v>
      </c>
      <c r="AD82" s="108">
        <v>0.47586622834205627</v>
      </c>
      <c r="AE82" s="108">
        <v>0.34353569149971008</v>
      </c>
      <c r="AF82" s="108">
        <v>0.27320405840873718</v>
      </c>
      <c r="AG82" s="108">
        <v>0.11455215513706207</v>
      </c>
      <c r="AH82" s="108">
        <v>0.21892645955085754</v>
      </c>
      <c r="AI82" s="108">
        <v>0.21575622260570526</v>
      </c>
      <c r="AJ82" s="108">
        <v>0.1622760146856308</v>
      </c>
      <c r="AK82" s="108">
        <v>0.20772171020507813</v>
      </c>
      <c r="AL82" s="108">
        <v>0.1435813307762146</v>
      </c>
      <c r="AM82" s="108">
        <v>0.21526001393795013</v>
      </c>
      <c r="AN82" s="108">
        <v>0.22282655537128448</v>
      </c>
      <c r="AO82" s="108">
        <v>0.23093144595623016</v>
      </c>
      <c r="AP82" s="108">
        <v>0.204560786485672</v>
      </c>
      <c r="AQ82" s="108">
        <v>0.16016006469726563</v>
      </c>
      <c r="AR82" s="108">
        <v>0.28271457552909851</v>
      </c>
      <c r="AS82" s="108">
        <v>0.18439066410064697</v>
      </c>
      <c r="AT82" s="108">
        <v>0.17649398744106293</v>
      </c>
      <c r="AU82" s="108">
        <v>0.10941667109727859</v>
      </c>
      <c r="AV82" s="108">
        <v>0.18957957625389099</v>
      </c>
      <c r="AW82" s="108">
        <v>0.15631088614463806</v>
      </c>
      <c r="AX82" s="108">
        <v>0.20295616984367371</v>
      </c>
      <c r="AY82" s="108">
        <v>0.11168695241212845</v>
      </c>
      <c r="AZ82" s="108">
        <v>0.17568279802799225</v>
      </c>
      <c r="BA82" s="108">
        <v>0.12533693015575409</v>
      </c>
      <c r="BB82" s="108">
        <v>0.18072423338890076</v>
      </c>
      <c r="BC82" s="108">
        <v>0.2192024290561676</v>
      </c>
      <c r="BD82" s="108">
        <v>0.24341684579849243</v>
      </c>
      <c r="BE82" s="108">
        <v>0.15540115535259247</v>
      </c>
      <c r="BF82" s="108">
        <v>8.0197550356388092E-2</v>
      </c>
      <c r="BG82" s="108">
        <v>0.15562638640403748</v>
      </c>
      <c r="BH82" s="108">
        <v>0.11829916387796402</v>
      </c>
      <c r="BI82" s="108">
        <v>0.16318412125110626</v>
      </c>
      <c r="BJ82" s="108">
        <v>0.11945305019617081</v>
      </c>
      <c r="BK82" s="108">
        <v>0.26457089185714722</v>
      </c>
      <c r="BL82" s="108">
        <v>0.28551685810089111</v>
      </c>
    </row>
    <row r="83" spans="1:64" x14ac:dyDescent="0.2">
      <c r="A83" t="s">
        <v>211</v>
      </c>
      <c r="B83" s="108">
        <v>0.16430723667144775</v>
      </c>
      <c r="C83" s="108">
        <v>0.14212514460086823</v>
      </c>
      <c r="D83" s="108">
        <v>0.14061024785041809</v>
      </c>
      <c r="E83" s="108">
        <v>0.20833548903465271</v>
      </c>
      <c r="F83" s="108">
        <v>0.27447763085365295</v>
      </c>
      <c r="G83" s="108">
        <v>0.16890726983547211</v>
      </c>
      <c r="H83" s="108">
        <v>0.19231583178043365</v>
      </c>
      <c r="I83" s="108">
        <v>0.23879428207874298</v>
      </c>
      <c r="J83" s="108">
        <v>0.32204526662826538</v>
      </c>
      <c r="K83" s="108">
        <v>0.18091653287410736</v>
      </c>
      <c r="L83" s="108">
        <v>0.21501827239990234</v>
      </c>
      <c r="M83" s="108">
        <v>0.2503400444984436</v>
      </c>
      <c r="N83" s="108">
        <v>0.20880201458930969</v>
      </c>
      <c r="O83" s="108">
        <v>0.17506919801235199</v>
      </c>
      <c r="P83" s="109">
        <v>0.25741606950759888</v>
      </c>
      <c r="Q83" s="108">
        <v>0.19593106210231781</v>
      </c>
      <c r="R83" s="108">
        <v>0.12748052179813385</v>
      </c>
      <c r="S83" s="109"/>
      <c r="T83" s="108">
        <v>0.14445136487483978</v>
      </c>
      <c r="U83" s="108">
        <v>0.18445225059986115</v>
      </c>
      <c r="V83" s="108">
        <v>0.19779813289642334</v>
      </c>
      <c r="W83" s="108">
        <v>0.15037445724010468</v>
      </c>
      <c r="X83" s="108">
        <v>0.18698236346244812</v>
      </c>
      <c r="Y83" s="108">
        <v>0.20371876657009125</v>
      </c>
      <c r="Z83" s="108">
        <v>0.14281122386455536</v>
      </c>
      <c r="AA83" s="108">
        <v>0.34006223082542419</v>
      </c>
      <c r="AB83" s="108">
        <v>0.26782986521720886</v>
      </c>
      <c r="AC83" s="108">
        <v>0.29424640536308289</v>
      </c>
      <c r="AD83" s="108">
        <v>0.40482360124588013</v>
      </c>
      <c r="AE83" s="108">
        <v>0.29793918132781982</v>
      </c>
      <c r="AF83" s="108">
        <v>0.27320405840873718</v>
      </c>
      <c r="AG83" s="108">
        <v>9.4839639961719513E-2</v>
      </c>
      <c r="AH83" s="108">
        <v>0.19678552448749542</v>
      </c>
      <c r="AI83" s="108">
        <v>0.17597602307796478</v>
      </c>
      <c r="AJ83" s="108">
        <v>0.1417316347360611</v>
      </c>
      <c r="AK83" s="108">
        <v>0.17647171020507813</v>
      </c>
      <c r="AL83" s="108">
        <v>0.12471888214349747</v>
      </c>
      <c r="AM83" s="108">
        <v>0.20415601134300232</v>
      </c>
      <c r="AN83" s="108">
        <v>0.22282655537128448</v>
      </c>
      <c r="AO83" s="108">
        <v>0.19101682305335999</v>
      </c>
      <c r="AP83" s="108">
        <v>0.197466179728508</v>
      </c>
      <c r="AQ83" s="108">
        <v>0.12582118809223175</v>
      </c>
      <c r="AR83" s="108">
        <v>0.2389693409204483</v>
      </c>
      <c r="AS83" s="108">
        <v>0.16640974581241608</v>
      </c>
      <c r="AT83" s="108">
        <v>0.16479392349720001</v>
      </c>
      <c r="AU83" s="108">
        <v>8.6642079055309296E-2</v>
      </c>
      <c r="AV83" s="108">
        <v>0.18123191595077515</v>
      </c>
      <c r="AW83" s="108">
        <v>0.12053176015615463</v>
      </c>
      <c r="AX83" s="108">
        <v>0.18364223837852478</v>
      </c>
      <c r="AY83" s="108">
        <v>8.4342047572135925E-2</v>
      </c>
      <c r="AZ83" s="108">
        <v>0.13328967988491058</v>
      </c>
      <c r="BA83" s="108">
        <v>0.1181686744093895</v>
      </c>
      <c r="BB83" s="108">
        <v>0.14373280107975006</v>
      </c>
      <c r="BC83" s="108">
        <v>0.16741274297237396</v>
      </c>
      <c r="BD83" s="108">
        <v>0.20689558982849121</v>
      </c>
      <c r="BE83" s="108">
        <v>0.1537034660577774</v>
      </c>
      <c r="BF83" s="108">
        <v>6.8315945565700531E-2</v>
      </c>
      <c r="BG83" s="108">
        <v>0.12568084895610809</v>
      </c>
      <c r="BH83" s="108">
        <v>0.10301442444324493</v>
      </c>
      <c r="BI83" s="108">
        <v>0.15514542162418365</v>
      </c>
      <c r="BJ83" s="108">
        <v>0.11128618568181992</v>
      </c>
      <c r="BK83" s="108">
        <v>0.2367786318063736</v>
      </c>
      <c r="BL83" s="108">
        <v>0.25610813498497009</v>
      </c>
    </row>
    <row r="84" spans="1:64" x14ac:dyDescent="0.2">
      <c r="A84" t="s">
        <v>215</v>
      </c>
      <c r="B84" s="108">
        <v>0.92766642570495605</v>
      </c>
      <c r="C84" s="108">
        <v>0.86751949787139893</v>
      </c>
      <c r="D84" s="108">
        <v>0.79548138380050659</v>
      </c>
      <c r="E84" s="108">
        <v>0.85510605573654175</v>
      </c>
      <c r="F84" s="108">
        <v>0.92024219036102295</v>
      </c>
      <c r="G84" s="108">
        <v>0.83192384243011475</v>
      </c>
      <c r="H84" s="108">
        <v>0.81731581687927246</v>
      </c>
      <c r="I84" s="108">
        <v>0.88036394119262695</v>
      </c>
      <c r="J84" s="108">
        <v>0.74130606651306152</v>
      </c>
      <c r="K84" s="108">
        <v>0.90996766090393066</v>
      </c>
      <c r="L84" s="108">
        <v>0.89529752731323242</v>
      </c>
      <c r="M84" s="108">
        <v>0.94456338882446289</v>
      </c>
      <c r="N84" s="108">
        <v>0.90009552240371704</v>
      </c>
      <c r="O84" s="108">
        <v>0.96602022647857666</v>
      </c>
      <c r="P84" s="109">
        <v>0.94491606950759888</v>
      </c>
      <c r="Q84" s="108">
        <v>0.94345682859420776</v>
      </c>
      <c r="R84" s="108">
        <v>0.94020110368728638</v>
      </c>
      <c r="S84" s="109"/>
      <c r="T84" s="108">
        <v>0.94677442312240601</v>
      </c>
      <c r="U84" s="108">
        <v>0.95551556348800659</v>
      </c>
      <c r="V84" s="108">
        <v>0.89214694499969482</v>
      </c>
      <c r="W84" s="108">
        <v>0.93840599060058594</v>
      </c>
      <c r="X84" s="108">
        <v>0.89801985025405884</v>
      </c>
      <c r="Y84" s="108">
        <v>0.92076444625854492</v>
      </c>
      <c r="Z84" s="108">
        <v>0.90734308958053589</v>
      </c>
      <c r="AA84" s="108">
        <v>0.95785939693450928</v>
      </c>
      <c r="AB84" s="108">
        <v>0.93319481611251831</v>
      </c>
      <c r="AC84" s="108">
        <v>0.94301247596740723</v>
      </c>
      <c r="AD84" s="108">
        <v>0.88302230834960938</v>
      </c>
      <c r="AE84" s="108">
        <v>0.84886389970779419</v>
      </c>
      <c r="AF84" s="108">
        <v>0.88471347093582153</v>
      </c>
      <c r="AG84" s="108">
        <v>0.87104976177215576</v>
      </c>
      <c r="AH84" s="108">
        <v>0.81328457593917847</v>
      </c>
      <c r="AI84" s="108">
        <v>0.8046259880065918</v>
      </c>
      <c r="AJ84" s="108">
        <v>0.85162997245788574</v>
      </c>
      <c r="AK84" s="108">
        <v>0.75919342041015625</v>
      </c>
      <c r="AL84" s="108">
        <v>0.875</v>
      </c>
      <c r="AM84" s="108">
        <v>0.87486553192138672</v>
      </c>
      <c r="AN84" s="108">
        <v>0.84782654047012329</v>
      </c>
      <c r="AO84" s="108">
        <v>0.8405071496963501</v>
      </c>
      <c r="AP84" s="108">
        <v>0.81537157297134399</v>
      </c>
      <c r="AQ84" s="108">
        <v>0.85458356142044067</v>
      </c>
      <c r="AR84" s="108">
        <v>0.83827024698257446</v>
      </c>
      <c r="AS84" s="108">
        <v>0.77113133668899536</v>
      </c>
      <c r="AT84" s="108">
        <v>0.84423887729644775</v>
      </c>
      <c r="AU84" s="108">
        <v>0.82671582698822021</v>
      </c>
      <c r="AV84" s="108">
        <v>0.93121397495269775</v>
      </c>
      <c r="AW84" s="108">
        <v>0.84842485189437866</v>
      </c>
      <c r="AX84" s="108">
        <v>0.85852855443954468</v>
      </c>
      <c r="AY84" s="108">
        <v>0.84853500127792358</v>
      </c>
      <c r="AZ84" s="108">
        <v>0.81257063150405884</v>
      </c>
      <c r="BA84" s="108">
        <v>0.80695533752441406</v>
      </c>
      <c r="BB84" s="108">
        <v>0.8005225658416748</v>
      </c>
      <c r="BC84" s="108">
        <v>0.80113506317138672</v>
      </c>
      <c r="BD84" s="108">
        <v>0.86918604373931885</v>
      </c>
      <c r="BE84" s="108">
        <v>0.83211767673492432</v>
      </c>
      <c r="BF84" s="108">
        <v>0.831184983253479</v>
      </c>
      <c r="BG84" s="108">
        <v>0.87220227718353271</v>
      </c>
      <c r="BH84" s="108">
        <v>0.77254354953765869</v>
      </c>
      <c r="BI84" s="108">
        <v>0.90594786405563354</v>
      </c>
      <c r="BJ84" s="108">
        <v>0.86234378814697266</v>
      </c>
      <c r="BK84" s="108">
        <v>0.87005829811096191</v>
      </c>
      <c r="BL84" s="108">
        <v>0.80803120136260986</v>
      </c>
    </row>
    <row r="85" spans="1:64" x14ac:dyDescent="0.2">
      <c r="A85" t="s">
        <v>217</v>
      </c>
      <c r="B85" s="108">
        <v>0.85774111747741699</v>
      </c>
      <c r="C85" s="108">
        <v>0.72801756858825684</v>
      </c>
      <c r="D85" s="108">
        <v>0.71802991628646851</v>
      </c>
      <c r="E85" s="108">
        <v>0.75932419300079346</v>
      </c>
      <c r="F85" s="108">
        <v>0.81518149375915527</v>
      </c>
      <c r="G85" s="108">
        <v>0.83688294887542725</v>
      </c>
      <c r="H85" s="108">
        <v>0.69731909036636353</v>
      </c>
      <c r="I85" s="108">
        <v>0.79150635004043579</v>
      </c>
      <c r="J85" s="108">
        <v>0.676033616065979</v>
      </c>
      <c r="K85" s="108">
        <v>0.75991374254226685</v>
      </c>
      <c r="L85" s="108">
        <v>0.71047025918960571</v>
      </c>
      <c r="M85" s="108">
        <v>0.84591692686080933</v>
      </c>
      <c r="N85" s="108">
        <v>0.86505204439163208</v>
      </c>
      <c r="O85" s="108">
        <v>0.89289039373397827</v>
      </c>
      <c r="P85" s="109">
        <v>0.75900173187255859</v>
      </c>
      <c r="Q85" s="108">
        <v>0.83059924840927124</v>
      </c>
      <c r="R85" s="108">
        <v>0.93693810701370239</v>
      </c>
      <c r="S85" s="109"/>
      <c r="T85" s="108">
        <v>0.86839276552200317</v>
      </c>
      <c r="U85" s="108">
        <v>0.88317388296127319</v>
      </c>
      <c r="V85" s="108">
        <v>0.74713385105133057</v>
      </c>
      <c r="W85" s="108">
        <v>0.82427120208740234</v>
      </c>
      <c r="X85" s="108">
        <v>0.83334589004516602</v>
      </c>
      <c r="Y85" s="108">
        <v>0.70253121852874756</v>
      </c>
      <c r="Z85" s="108">
        <v>0.71367031335830688</v>
      </c>
      <c r="AA85" s="108">
        <v>0.84546935558319092</v>
      </c>
      <c r="AB85" s="108">
        <v>0.79534327983856201</v>
      </c>
      <c r="AC85" s="108">
        <v>0.78873389959335327</v>
      </c>
      <c r="AD85" s="108">
        <v>0.5759432315826416</v>
      </c>
      <c r="AE85" s="108">
        <v>0.69772779941558838</v>
      </c>
      <c r="AF85" s="108">
        <v>0.66025114059448242</v>
      </c>
      <c r="AG85" s="108">
        <v>0.83585965633392334</v>
      </c>
      <c r="AH85" s="108">
        <v>0.8999861478805542</v>
      </c>
      <c r="AI85" s="108">
        <v>0.84969651699066162</v>
      </c>
      <c r="AJ85" s="108">
        <v>0.68042677640914917</v>
      </c>
      <c r="AK85" s="108">
        <v>0.68903225660324097</v>
      </c>
      <c r="AL85" s="108">
        <v>0.8251686692237854</v>
      </c>
      <c r="AM85" s="108">
        <v>0.74366676807403564</v>
      </c>
      <c r="AN85" s="108">
        <v>0.74388623237609863</v>
      </c>
      <c r="AO85" s="108">
        <v>0.75686162710189819</v>
      </c>
      <c r="AP85" s="108">
        <v>0.70743238925933838</v>
      </c>
      <c r="AQ85" s="108">
        <v>0.77295547723770142</v>
      </c>
      <c r="AR85" s="108">
        <v>0.82182067632675171</v>
      </c>
      <c r="AS85" s="108">
        <v>0.67953431606292725</v>
      </c>
      <c r="AT85" s="108">
        <v>0.64480829238891602</v>
      </c>
      <c r="AU85" s="108">
        <v>0.62714141607284546</v>
      </c>
      <c r="AV85" s="108">
        <v>0.80392414331436157</v>
      </c>
      <c r="AW85" s="108">
        <v>0.75336241722106934</v>
      </c>
      <c r="AX85" s="108">
        <v>0.74075669050216675</v>
      </c>
      <c r="AY85" s="108">
        <v>0.82929897308349609</v>
      </c>
      <c r="AZ85" s="108">
        <v>0.59226810932159424</v>
      </c>
      <c r="BA85" s="108">
        <v>0.68403059244155884</v>
      </c>
      <c r="BB85" s="108">
        <v>0.66023135185241699</v>
      </c>
      <c r="BC85" s="108">
        <v>0.59297984838485718</v>
      </c>
      <c r="BD85" s="108">
        <v>0.79355275630950928</v>
      </c>
      <c r="BE85" s="108">
        <v>0.58321809768676758</v>
      </c>
      <c r="BF85" s="108">
        <v>0.8351476788520813</v>
      </c>
      <c r="BG85" s="108">
        <v>0.82667744159698486</v>
      </c>
      <c r="BH85" s="108">
        <v>0.60990649461746216</v>
      </c>
      <c r="BI85" s="108">
        <v>0.57556360960006714</v>
      </c>
      <c r="BJ85" s="108">
        <v>0.78092086315155029</v>
      </c>
      <c r="BK85" s="108">
        <v>0.72965288162231445</v>
      </c>
      <c r="BL85" s="108">
        <v>0.80685627460479736</v>
      </c>
    </row>
    <row r="86" spans="1:64" x14ac:dyDescent="0.2">
      <c r="A86" t="s">
        <v>219</v>
      </c>
      <c r="B86" s="108">
        <v>7.4031248688697815E-2</v>
      </c>
      <c r="C86" s="108">
        <v>0.11791298538446426</v>
      </c>
      <c r="D86" s="108">
        <v>0.10784509032964706</v>
      </c>
      <c r="E86" s="108">
        <v>8.6228877305984497E-2</v>
      </c>
      <c r="F86" s="108">
        <v>0.10066009312868118</v>
      </c>
      <c r="G86" s="108">
        <v>8.2282297313213348E-2</v>
      </c>
      <c r="H86" s="108">
        <v>0.11598354578018188</v>
      </c>
      <c r="I86" s="108">
        <v>8.3893075585365295E-2</v>
      </c>
      <c r="J86" s="108">
        <v>7.8818105161190033E-2</v>
      </c>
      <c r="K86" s="108">
        <v>0.15730343759059906</v>
      </c>
      <c r="L86" s="108">
        <v>0.14379727840423584</v>
      </c>
      <c r="M86" s="108">
        <v>0.10190229862928391</v>
      </c>
      <c r="N86" s="108">
        <v>9.4855330884456635E-2</v>
      </c>
      <c r="O86" s="108">
        <v>5.503246933221817E-2</v>
      </c>
      <c r="P86" s="109">
        <v>9.2957168817520142E-2</v>
      </c>
      <c r="Q86" s="108">
        <v>8.903028815984726E-2</v>
      </c>
      <c r="R86" s="108">
        <v>3.8597937673330307E-2</v>
      </c>
      <c r="S86" s="109"/>
      <c r="T86" s="108">
        <v>5.527757853269577E-2</v>
      </c>
      <c r="U86" s="108">
        <v>5.0998985767364502E-2</v>
      </c>
      <c r="V86" s="108">
        <v>0.13758108019828796</v>
      </c>
      <c r="W86" s="108">
        <v>4.9806077033281326E-2</v>
      </c>
      <c r="X86" s="108">
        <v>7.9167291522026062E-2</v>
      </c>
      <c r="Y86" s="108">
        <v>0.162396639585495</v>
      </c>
      <c r="Z86" s="108">
        <v>0.12789347767829895</v>
      </c>
      <c r="AA86" s="108">
        <v>0.10345438122749329</v>
      </c>
      <c r="AB86" s="108">
        <v>9.2439889907836914E-2</v>
      </c>
      <c r="AC86" s="108">
        <v>7.7467851340770721E-2</v>
      </c>
      <c r="AD86" s="108">
        <v>0.22207300364971161</v>
      </c>
      <c r="AE86" s="108">
        <v>0.12372152507305145</v>
      </c>
      <c r="AF86" s="108">
        <v>0.13525478541851044</v>
      </c>
      <c r="AG86" s="108">
        <v>6.8485915660858154E-2</v>
      </c>
      <c r="AH86" s="108">
        <v>4.3040432035923004E-2</v>
      </c>
      <c r="AI86" s="108">
        <v>2.3671280592679977E-2</v>
      </c>
      <c r="AJ86" s="108">
        <v>0.10770071297883987</v>
      </c>
      <c r="AK86" s="108">
        <v>0.11642137914896011</v>
      </c>
      <c r="AL86" s="108">
        <v>8.7556220591068268E-2</v>
      </c>
      <c r="AM86" s="108">
        <v>0.14618337154388428</v>
      </c>
      <c r="AN86" s="108">
        <v>9.9184684455394745E-2</v>
      </c>
      <c r="AO86" s="108">
        <v>0.10279688984155655</v>
      </c>
      <c r="AP86" s="108">
        <v>0.16182449460029602</v>
      </c>
      <c r="AQ86" s="108">
        <v>6.8602301180362701E-2</v>
      </c>
      <c r="AR86" s="108">
        <v>7.8567497432231903E-2</v>
      </c>
      <c r="AS86" s="108">
        <v>0.13976176083087921</v>
      </c>
      <c r="AT86" s="108">
        <v>0.18211223185062408</v>
      </c>
      <c r="AU86" s="108">
        <v>0.1868995875120163</v>
      </c>
      <c r="AV86" s="108">
        <v>9.4470866024494171E-2</v>
      </c>
      <c r="AW86" s="108">
        <v>0.13807721436023712</v>
      </c>
      <c r="AX86" s="108">
        <v>9.8457954823970795E-2</v>
      </c>
      <c r="AY86" s="108">
        <v>7.2096340358257294E-2</v>
      </c>
      <c r="AZ86" s="108">
        <v>0.1934894323348999</v>
      </c>
      <c r="BA86" s="108">
        <v>0.18665769696235657</v>
      </c>
      <c r="BB86" s="108">
        <v>0.14689812064170837</v>
      </c>
      <c r="BC86" s="108">
        <v>0.15543653070926666</v>
      </c>
      <c r="BD86" s="108">
        <v>8.5722789168357849E-2</v>
      </c>
      <c r="BE86" s="108">
        <v>0.14886192977428436</v>
      </c>
      <c r="BF86" s="108">
        <v>5.6932128965854645E-2</v>
      </c>
      <c r="BG86" s="108">
        <v>5.9891063719987869E-2</v>
      </c>
      <c r="BH86" s="108">
        <v>0.17366416752338409</v>
      </c>
      <c r="BI86" s="108">
        <v>0.20900183916091919</v>
      </c>
      <c r="BJ86" s="108">
        <v>0.11128618568181992</v>
      </c>
      <c r="BK86" s="108">
        <v>0.17541790008544922</v>
      </c>
      <c r="BL86" s="108">
        <v>7.7582336962223053E-2</v>
      </c>
    </row>
    <row r="87" spans="1:64" x14ac:dyDescent="0.2">
      <c r="A87" s="104" t="s">
        <v>221</v>
      </c>
      <c r="B87" s="110">
        <v>6.8007445335388184</v>
      </c>
      <c r="C87" s="110">
        <v>6.4751753807067871</v>
      </c>
      <c r="D87" s="110">
        <v>6.0843143463134766</v>
      </c>
      <c r="E87" s="110">
        <v>6.4340090751647949</v>
      </c>
      <c r="F87" s="110">
        <v>6.8649230003356934</v>
      </c>
      <c r="G87" s="110">
        <v>5.7831025123596191</v>
      </c>
      <c r="H87" s="110">
        <v>5.7121334075927734</v>
      </c>
      <c r="I87" s="110">
        <v>6.156029224395752</v>
      </c>
      <c r="J87" s="110">
        <v>6.6229033470153809</v>
      </c>
      <c r="K87" s="110">
        <v>6.6522212028503418</v>
      </c>
      <c r="L87" s="110">
        <v>6.4411444664001465</v>
      </c>
      <c r="M87" s="110">
        <v>6.5588369369506836</v>
      </c>
      <c r="N87" s="110">
        <v>6.7475733757019043</v>
      </c>
      <c r="O87" s="110">
        <v>7.4273858070373535</v>
      </c>
      <c r="P87" s="109"/>
      <c r="Q87" s="110">
        <v>7.0491375923156738</v>
      </c>
      <c r="R87" s="110">
        <v>6.7936229705810547</v>
      </c>
      <c r="S87" s="109"/>
      <c r="T87" s="110">
        <v>6.3680305480957031</v>
      </c>
      <c r="U87" s="110">
        <v>6.8896541595458984</v>
      </c>
      <c r="V87" s="110">
        <v>6.8763909339904785</v>
      </c>
      <c r="W87" s="110">
        <v>6.8132972717285156</v>
      </c>
      <c r="X87" s="110">
        <v>7.0016884803771973</v>
      </c>
      <c r="Y87" s="110">
        <v>6.7637929916381836</v>
      </c>
      <c r="Z87" s="110">
        <v>6.7385783195495605</v>
      </c>
      <c r="AA87" s="110">
        <v>7.2824540138244629</v>
      </c>
      <c r="AB87" s="110">
        <v>6.5997557640075684</v>
      </c>
      <c r="AC87" s="110">
        <v>6.7050337791442871</v>
      </c>
      <c r="AD87" s="110">
        <v>7.2067766189575195</v>
      </c>
      <c r="AE87" s="110">
        <v>6.5332241058349609</v>
      </c>
      <c r="AF87" s="110">
        <v>7.0357861518859863</v>
      </c>
      <c r="AG87" s="110">
        <v>6.595301628112793</v>
      </c>
      <c r="AH87" s="110">
        <v>6.4916191101074219</v>
      </c>
      <c r="AI87" s="110">
        <v>6.7841043472290039</v>
      </c>
      <c r="AJ87" s="110">
        <v>7.0651154518127441</v>
      </c>
      <c r="AK87" s="110">
        <v>6.2521524429321289</v>
      </c>
      <c r="AL87" s="110">
        <v>6.9413790702819824</v>
      </c>
      <c r="AM87" s="110">
        <v>7.5201940536499023</v>
      </c>
      <c r="AN87" s="110">
        <v>6.9436602592468262</v>
      </c>
      <c r="AO87" s="110">
        <v>6.199918270111084</v>
      </c>
      <c r="AP87" s="110">
        <v>6.2284045219421387</v>
      </c>
      <c r="AQ87" s="110">
        <v>6.389836311340332</v>
      </c>
      <c r="AR87" s="110">
        <v>6.0787711143493652</v>
      </c>
      <c r="AS87" s="110">
        <v>6.5236043930053711</v>
      </c>
      <c r="AT87" s="110">
        <v>5.9705982208251953</v>
      </c>
      <c r="AU87" s="110">
        <v>6.4039978981018066</v>
      </c>
      <c r="AV87" s="110">
        <v>7.9399838447570801</v>
      </c>
      <c r="AW87" s="110">
        <v>6.5387988090515137</v>
      </c>
      <c r="AX87" s="110">
        <v>6.9529590606689453</v>
      </c>
      <c r="AY87" s="110">
        <v>6.3215675354003906</v>
      </c>
      <c r="AZ87" s="110">
        <v>6.2436437606811523</v>
      </c>
      <c r="BA87" s="110">
        <v>7.402949333190918</v>
      </c>
      <c r="BB87" s="110">
        <v>6.6261515617370605</v>
      </c>
      <c r="BC87" s="110">
        <v>6.5998687744140625</v>
      </c>
      <c r="BD87" s="110">
        <v>6.757603645324707</v>
      </c>
      <c r="BE87" s="110">
        <v>6.6346406936645508</v>
      </c>
      <c r="BF87" s="110">
        <v>6.4259767532348633</v>
      </c>
      <c r="BG87" s="110">
        <v>6.4137101173400879</v>
      </c>
      <c r="BH87" s="110">
        <v>6.537229061126709</v>
      </c>
      <c r="BI87" s="110">
        <v>7.1992201805114746</v>
      </c>
      <c r="BJ87" s="110">
        <v>7.3998031616210938</v>
      </c>
      <c r="BK87" s="110">
        <v>7.5075349807739258</v>
      </c>
      <c r="BL87" s="110">
        <v>6.9535279273986816</v>
      </c>
    </row>
    <row r="88" spans="1:64" x14ac:dyDescent="0.2">
      <c r="A88" t="s">
        <v>525</v>
      </c>
      <c r="B88" s="108">
        <v>2.0448638126254082E-2</v>
      </c>
      <c r="C88" s="108">
        <v>1.3524984940886497E-2</v>
      </c>
      <c r="D88" s="108">
        <v>5.8711469173431396E-3</v>
      </c>
      <c r="E88" s="108">
        <v>2.6100790128111839E-2</v>
      </c>
      <c r="F88" s="108">
        <v>2.1123966202139854E-2</v>
      </c>
      <c r="G88" s="108">
        <v>1.6369855031371117E-2</v>
      </c>
      <c r="H88" s="108">
        <v>7.9021990299224854E-2</v>
      </c>
      <c r="I88" s="108">
        <v>8.3321100100874901E-3</v>
      </c>
      <c r="J88" s="108">
        <v>0.12730309367179871</v>
      </c>
      <c r="K88" s="108">
        <v>1.338121946901083E-2</v>
      </c>
      <c r="L88" s="108">
        <v>0.13207666575908661</v>
      </c>
      <c r="M88" s="108">
        <v>6.7978310398757458E-3</v>
      </c>
      <c r="N88" s="108">
        <v>0.11908282339572906</v>
      </c>
      <c r="O88" s="108">
        <v>0.12018109858036041</v>
      </c>
      <c r="P88" s="109"/>
      <c r="Q88" s="108">
        <v>0.1465238630771637</v>
      </c>
      <c r="R88" s="108">
        <v>9.8190568387508392E-3</v>
      </c>
      <c r="S88" s="109"/>
      <c r="T88" s="108">
        <v>1.8203439190983772E-2</v>
      </c>
      <c r="U88" s="108">
        <v>6.1112619936466217E-2</v>
      </c>
      <c r="V88" s="108">
        <v>3.3752713352441788E-2</v>
      </c>
      <c r="W88" s="108">
        <v>5.7198353111743927E-2</v>
      </c>
      <c r="X88" s="108">
        <v>1.0288672521710396E-2</v>
      </c>
      <c r="Y88" s="108">
        <v>2.867690846323967E-2</v>
      </c>
      <c r="Z88" s="108">
        <v>1.6698814928531647E-2</v>
      </c>
      <c r="AA88" s="108">
        <v>2.5850881356745958E-3</v>
      </c>
      <c r="AB88" s="108">
        <v>5.930755753070116E-3</v>
      </c>
      <c r="AC88" s="108">
        <v>3.2169193029403687E-2</v>
      </c>
      <c r="AD88" s="108">
        <v>8.9187780395150185E-3</v>
      </c>
      <c r="AE88" s="108">
        <v>0.19842952489852905</v>
      </c>
      <c r="AF88" s="108">
        <v>1.6742942854762077E-2</v>
      </c>
      <c r="AG88" s="108">
        <v>2.2083118557929993E-2</v>
      </c>
      <c r="AH88" s="108">
        <v>8.9640216901898384E-3</v>
      </c>
      <c r="AI88" s="108">
        <v>1.1680918745696545E-2</v>
      </c>
      <c r="AJ88" s="108">
        <v>8.3717510104179382E-2</v>
      </c>
      <c r="AK88" s="108">
        <v>5.7907458394765854E-2</v>
      </c>
      <c r="AL88" s="108">
        <v>4.0345054119825363E-2</v>
      </c>
      <c r="AM88" s="108">
        <v>0.12823775410652161</v>
      </c>
      <c r="AN88" s="108">
        <v>0.31068766117095947</v>
      </c>
      <c r="AO88" s="108">
        <v>1.1531304568052292E-2</v>
      </c>
      <c r="AP88" s="108">
        <v>3.7925444543361664E-2</v>
      </c>
      <c r="AQ88" s="108">
        <v>7.8787989914417267E-2</v>
      </c>
      <c r="AR88" s="108">
        <v>1.7040800303220749E-2</v>
      </c>
      <c r="AS88" s="108">
        <v>5.0551943480968475E-2</v>
      </c>
      <c r="AT88" s="108">
        <v>8.7638035416603088E-2</v>
      </c>
      <c r="AU88" s="108">
        <v>7.736070454120636E-2</v>
      </c>
      <c r="AV88" s="108">
        <v>0.14751055836677551</v>
      </c>
      <c r="AW88" s="108">
        <v>9.7808120772242546E-3</v>
      </c>
      <c r="AX88" s="108">
        <v>3.4793145954608917E-2</v>
      </c>
      <c r="AY88" s="108">
        <v>3.760667284950614E-3</v>
      </c>
      <c r="AZ88" s="108">
        <v>3.9610443636775017E-3</v>
      </c>
      <c r="BA88" s="108">
        <v>7.6917447149753571E-2</v>
      </c>
      <c r="BB88" s="108">
        <v>8.5449613630771637E-2</v>
      </c>
      <c r="BC88" s="108">
        <v>9.3278244137763977E-2</v>
      </c>
      <c r="BD88" s="108">
        <v>2.8511295095086098E-2</v>
      </c>
      <c r="BE88" s="108">
        <v>7.378852367401123E-2</v>
      </c>
      <c r="BF88" s="108">
        <v>1.5454151667654514E-2</v>
      </c>
      <c r="BG88" s="108">
        <v>1.3061289675533772E-2</v>
      </c>
      <c r="BH88" s="108">
        <v>1.1566353961825371E-2</v>
      </c>
      <c r="BI88" s="108">
        <v>4.3013736605644226E-2</v>
      </c>
      <c r="BJ88" s="108"/>
      <c r="BK88" s="108"/>
      <c r="BL88" s="108"/>
    </row>
    <row r="89" spans="1:64" x14ac:dyDescent="0.2">
      <c r="A89" t="s">
        <v>526</v>
      </c>
      <c r="B89" s="108">
        <v>1102</v>
      </c>
      <c r="C89" s="108">
        <v>193</v>
      </c>
      <c r="D89" s="108">
        <v>192</v>
      </c>
      <c r="E89" s="108">
        <v>195</v>
      </c>
      <c r="F89" s="108">
        <v>194</v>
      </c>
      <c r="G89" s="108">
        <v>197</v>
      </c>
      <c r="H89" s="108">
        <v>192</v>
      </c>
      <c r="I89" s="108">
        <v>294</v>
      </c>
      <c r="J89" s="108">
        <v>192</v>
      </c>
      <c r="K89" s="108">
        <v>193</v>
      </c>
      <c r="L89" s="108">
        <v>195</v>
      </c>
      <c r="M89" s="108">
        <v>300</v>
      </c>
      <c r="N89" s="108">
        <v>192</v>
      </c>
      <c r="O89" s="108">
        <v>203</v>
      </c>
      <c r="P89" s="109"/>
      <c r="Q89" s="108">
        <v>192</v>
      </c>
      <c r="R89" s="108">
        <v>199</v>
      </c>
      <c r="S89" s="109"/>
      <c r="T89" s="108">
        <v>198</v>
      </c>
      <c r="U89" s="108">
        <v>200</v>
      </c>
      <c r="V89" s="108">
        <v>192</v>
      </c>
      <c r="W89" s="108">
        <v>194</v>
      </c>
      <c r="X89" s="108">
        <v>197</v>
      </c>
      <c r="Y89" s="108">
        <v>192</v>
      </c>
      <c r="Z89" s="108">
        <v>192</v>
      </c>
      <c r="AA89" s="108">
        <v>395</v>
      </c>
      <c r="AB89" s="108">
        <v>391</v>
      </c>
      <c r="AC89" s="108">
        <v>192</v>
      </c>
      <c r="AD89" s="108">
        <v>196</v>
      </c>
      <c r="AE89" s="108">
        <v>192</v>
      </c>
      <c r="AF89" s="108">
        <v>197</v>
      </c>
      <c r="AG89" s="108">
        <v>300</v>
      </c>
      <c r="AH89" s="108">
        <v>206</v>
      </c>
      <c r="AI89" s="108">
        <v>201</v>
      </c>
      <c r="AJ89" s="108">
        <v>193</v>
      </c>
      <c r="AK89" s="108">
        <v>192</v>
      </c>
      <c r="AL89" s="108">
        <v>192</v>
      </c>
      <c r="AM89" s="108">
        <v>200</v>
      </c>
      <c r="AN89" s="108">
        <v>192</v>
      </c>
      <c r="AO89" s="108">
        <v>200</v>
      </c>
      <c r="AP89" s="108">
        <v>192</v>
      </c>
      <c r="AQ89" s="108">
        <v>204</v>
      </c>
      <c r="AR89" s="108">
        <v>295</v>
      </c>
      <c r="AS89" s="108">
        <v>197</v>
      </c>
      <c r="AT89" s="108">
        <v>194</v>
      </c>
      <c r="AU89" s="108">
        <v>194</v>
      </c>
      <c r="AV89" s="108">
        <v>319</v>
      </c>
      <c r="AW89" s="108">
        <v>593</v>
      </c>
      <c r="AX89" s="108">
        <v>428</v>
      </c>
      <c r="AY89" s="108">
        <v>1024</v>
      </c>
      <c r="AZ89" s="108">
        <v>289</v>
      </c>
      <c r="BA89" s="108">
        <v>194</v>
      </c>
      <c r="BB89" s="108">
        <v>195</v>
      </c>
      <c r="BC89" s="108">
        <v>192</v>
      </c>
      <c r="BD89" s="108">
        <v>202</v>
      </c>
      <c r="BE89" s="108">
        <v>192</v>
      </c>
      <c r="BF89" s="108">
        <v>390</v>
      </c>
      <c r="BG89" s="108">
        <v>198</v>
      </c>
      <c r="BH89" s="108">
        <v>313</v>
      </c>
      <c r="BI89" s="108">
        <v>196</v>
      </c>
      <c r="BJ89" s="108">
        <v>194</v>
      </c>
      <c r="BK89" s="108">
        <v>197</v>
      </c>
      <c r="BL89" s="108">
        <v>193</v>
      </c>
    </row>
    <row r="90" spans="1:64" x14ac:dyDescent="0.2">
      <c r="A90" t="s">
        <v>223</v>
      </c>
      <c r="B90" s="108">
        <v>1.642737865447998</v>
      </c>
      <c r="C90" s="108">
        <v>1.4828202724456787</v>
      </c>
      <c r="D90" s="108">
        <v>1.4215035438537598</v>
      </c>
      <c r="E90" s="108">
        <v>1.5775601863861084</v>
      </c>
      <c r="F90" s="108">
        <v>1.7046201229095459</v>
      </c>
      <c r="G90" s="108">
        <v>1.3484166860580444</v>
      </c>
      <c r="H90" s="108">
        <v>1.3699029684066772</v>
      </c>
      <c r="I90" s="108">
        <v>1.5257805585861206</v>
      </c>
      <c r="J90" s="108">
        <v>1.6304507255554199</v>
      </c>
      <c r="K90" s="108">
        <v>1.622908353805542</v>
      </c>
      <c r="L90" s="108">
        <v>1.6920859813690186</v>
      </c>
      <c r="M90" s="108">
        <v>1.5895653963088989</v>
      </c>
      <c r="N90" s="108">
        <v>1.6225063800811768</v>
      </c>
      <c r="O90" s="108">
        <v>2.0447356700897217</v>
      </c>
      <c r="P90" s="109"/>
      <c r="Q90" s="108">
        <v>1.7991437911987305</v>
      </c>
      <c r="R90" s="108">
        <v>1.6784499883651733</v>
      </c>
      <c r="S90" s="109"/>
      <c r="T90" s="108">
        <v>1.5527125597000122</v>
      </c>
      <c r="U90" s="108">
        <v>1.6469416618347168</v>
      </c>
      <c r="V90" s="108">
        <v>1.7508747577667236</v>
      </c>
      <c r="W90" s="108">
        <v>1.8261433839797974</v>
      </c>
      <c r="X90" s="108">
        <v>1.813045859336853</v>
      </c>
      <c r="Y90" s="108">
        <v>1.6060432195663452</v>
      </c>
      <c r="Z90" s="108">
        <v>1.5954861640930176</v>
      </c>
      <c r="AA90" s="108">
        <v>1.9225183725357056</v>
      </c>
      <c r="AB90" s="108">
        <v>1.697471022605896</v>
      </c>
      <c r="AC90" s="108">
        <v>1.7092307806015015</v>
      </c>
      <c r="AD90" s="108">
        <v>1.9273926019668579</v>
      </c>
      <c r="AE90" s="108">
        <v>1.6366479396820068</v>
      </c>
      <c r="AF90" s="108">
        <v>1.787097692489624</v>
      </c>
      <c r="AG90" s="108">
        <v>1.5355780124664307</v>
      </c>
      <c r="AH90" s="108">
        <v>1.5146230459213257</v>
      </c>
      <c r="AI90" s="108">
        <v>1.6280142068862915</v>
      </c>
      <c r="AJ90" s="108">
        <v>1.8412050008773804</v>
      </c>
      <c r="AK90" s="108">
        <v>1.4227900505065918</v>
      </c>
      <c r="AL90" s="108">
        <v>1.6202503442764282</v>
      </c>
      <c r="AM90" s="108">
        <v>1.8528465032577515</v>
      </c>
      <c r="AN90" s="108">
        <v>1.6385883092880249</v>
      </c>
      <c r="AO90" s="108">
        <v>1.4167574644088745</v>
      </c>
      <c r="AP90" s="108">
        <v>1.4346705675125122</v>
      </c>
      <c r="AQ90" s="108">
        <v>1.5390113592147827</v>
      </c>
      <c r="AR90" s="108">
        <v>1.390234112739563</v>
      </c>
      <c r="AS90" s="108">
        <v>1.5008704662322998</v>
      </c>
      <c r="AT90" s="108">
        <v>1.4096461534500122</v>
      </c>
      <c r="AU90" s="108">
        <v>1.4790061712265015</v>
      </c>
      <c r="AV90" s="108">
        <v>1.9696948528289795</v>
      </c>
      <c r="AW90" s="108">
        <v>1.4520734548568726</v>
      </c>
      <c r="AX90" s="108">
        <v>1.7335540056228638</v>
      </c>
      <c r="AY90" s="108">
        <v>1.4115493297576904</v>
      </c>
      <c r="AZ90" s="108">
        <v>1.4514957666397095</v>
      </c>
      <c r="BA90" s="108">
        <v>1.9282125234603882</v>
      </c>
      <c r="BB90" s="108">
        <v>1.5740425586700439</v>
      </c>
      <c r="BC90" s="108">
        <v>1.6272275447845459</v>
      </c>
      <c r="BD90" s="108">
        <v>1.6713771820068359</v>
      </c>
      <c r="BE90" s="108">
        <v>1.573134183883667</v>
      </c>
      <c r="BF90" s="108">
        <v>1.5598976612091064</v>
      </c>
      <c r="BG90" s="108">
        <v>1.5426497459411621</v>
      </c>
      <c r="BH90" s="108">
        <v>1.517295241355896</v>
      </c>
      <c r="BI90" s="108">
        <v>1.7849680185317993</v>
      </c>
      <c r="BJ90" s="108">
        <v>1.8944957256317139</v>
      </c>
      <c r="BK90" s="108">
        <v>1.9359023571014404</v>
      </c>
      <c r="BL90" s="108">
        <v>1.7694128751754761</v>
      </c>
    </row>
    <row r="91" spans="1:64" x14ac:dyDescent="0.2">
      <c r="A91" t="s">
        <v>234</v>
      </c>
      <c r="B91" s="108">
        <v>1.9721122980117798</v>
      </c>
      <c r="C91" s="108">
        <v>2.0222949981689453</v>
      </c>
      <c r="D91" s="108">
        <v>1.8232070207595825</v>
      </c>
      <c r="E91" s="108">
        <v>1.9934008121490479</v>
      </c>
      <c r="F91" s="108">
        <v>2.0433163642883301</v>
      </c>
      <c r="G91" s="108">
        <v>1.7569867372512817</v>
      </c>
      <c r="H91" s="108">
        <v>1.7763068675994873</v>
      </c>
      <c r="I91" s="108">
        <v>1.8683273792266846</v>
      </c>
      <c r="J91" s="108">
        <v>1.996732234954834</v>
      </c>
      <c r="K91" s="108">
        <v>1.963447093963623</v>
      </c>
      <c r="L91" s="108">
        <v>1.9701967239379883</v>
      </c>
      <c r="M91" s="108">
        <v>1.9665869474411011</v>
      </c>
      <c r="N91" s="108">
        <v>2.0346786975860596</v>
      </c>
      <c r="O91" s="108">
        <v>2.31551194190979</v>
      </c>
      <c r="P91" s="109"/>
      <c r="Q91" s="108">
        <v>2.1166493892669678</v>
      </c>
      <c r="R91" s="108">
        <v>2.0763800144195557</v>
      </c>
      <c r="S91" s="109"/>
      <c r="T91" s="108">
        <v>1.8728355169296265</v>
      </c>
      <c r="U91" s="108">
        <v>2.0462219715118408</v>
      </c>
      <c r="V91" s="108">
        <v>2.0259799957275391</v>
      </c>
      <c r="W91" s="108">
        <v>2.04557204246521</v>
      </c>
      <c r="X91" s="108">
        <v>2.0394802093505859</v>
      </c>
      <c r="Y91" s="108">
        <v>1.9962091445922852</v>
      </c>
      <c r="Z91" s="108">
        <v>2.0303819179534912</v>
      </c>
      <c r="AA91" s="108">
        <v>2.1550467014312744</v>
      </c>
      <c r="AB91" s="108">
        <v>2.003495454788208</v>
      </c>
      <c r="AC91" s="108">
        <v>1.9267669916152954</v>
      </c>
      <c r="AD91" s="108">
        <v>2.1552221775054932</v>
      </c>
      <c r="AE91" s="108">
        <v>1.9568896293640137</v>
      </c>
      <c r="AF91" s="108">
        <v>2.0537819862365723</v>
      </c>
      <c r="AG91" s="108">
        <v>2.0118646621704102</v>
      </c>
      <c r="AH91" s="108">
        <v>1.9930335283279419</v>
      </c>
      <c r="AI91" s="108">
        <v>2.0526759624481201</v>
      </c>
      <c r="AJ91" s="108">
        <v>2.1074955463409424</v>
      </c>
      <c r="AK91" s="108">
        <v>1.9607033729553223</v>
      </c>
      <c r="AL91" s="108">
        <v>2.0025346279144287</v>
      </c>
      <c r="AM91" s="108">
        <v>2.1286790370941162</v>
      </c>
      <c r="AN91" s="108">
        <v>2.0309109687805176</v>
      </c>
      <c r="AO91" s="108">
        <v>1.9071817398071289</v>
      </c>
      <c r="AP91" s="108">
        <v>1.9235643148422241</v>
      </c>
      <c r="AQ91" s="108">
        <v>1.9594173431396484</v>
      </c>
      <c r="AR91" s="108">
        <v>1.9249395132064819</v>
      </c>
      <c r="AS91" s="108">
        <v>1.9999865293502808</v>
      </c>
      <c r="AT91" s="108">
        <v>2.0197279453277588</v>
      </c>
      <c r="AU91" s="108">
        <v>1.9236311912536621</v>
      </c>
      <c r="AV91" s="108">
        <v>2.2011935710906982</v>
      </c>
      <c r="AW91" s="108">
        <v>2.0370433330535889</v>
      </c>
      <c r="AX91" s="108">
        <v>2.0504484176635742</v>
      </c>
      <c r="AY91" s="108">
        <v>1.8679890632629395</v>
      </c>
      <c r="AZ91" s="108">
        <v>1.8865388631820679</v>
      </c>
      <c r="BA91" s="108">
        <v>2.1640176773071289</v>
      </c>
      <c r="BB91" s="108">
        <v>1.9721276760101318</v>
      </c>
      <c r="BC91" s="108">
        <v>1.9679017066955566</v>
      </c>
      <c r="BD91" s="108">
        <v>1.986672043800354</v>
      </c>
      <c r="BE91" s="108">
        <v>1.9413198232650757</v>
      </c>
      <c r="BF91" s="108">
        <v>1.9865127801895142</v>
      </c>
      <c r="BG91" s="108">
        <v>1.9453268051147461</v>
      </c>
      <c r="BH91" s="108">
        <v>1.8905489444732666</v>
      </c>
      <c r="BI91" s="108">
        <v>2.0562691688537598</v>
      </c>
      <c r="BJ91" s="108">
        <v>2.1751828193664551</v>
      </c>
      <c r="BK91" s="108">
        <v>2.1434030532836914</v>
      </c>
      <c r="BL91" s="108">
        <v>2.0216505527496338</v>
      </c>
    </row>
    <row r="92" spans="1:64" x14ac:dyDescent="0.2">
      <c r="A92" t="s">
        <v>239</v>
      </c>
      <c r="B92" s="108">
        <v>1.124035120010376</v>
      </c>
      <c r="C92" s="108">
        <v>0.94757199287414551</v>
      </c>
      <c r="D92" s="108">
        <v>0.95054292678833008</v>
      </c>
      <c r="E92" s="108">
        <v>1.0611379146575928</v>
      </c>
      <c r="F92" s="108">
        <v>1.1079201698303223</v>
      </c>
      <c r="G92" s="108">
        <v>0.80015838146209717</v>
      </c>
      <c r="H92" s="108">
        <v>0.8418470025062561</v>
      </c>
      <c r="I92" s="108">
        <v>0.90571486949920654</v>
      </c>
      <c r="J92" s="108">
        <v>1.0467501878738403</v>
      </c>
      <c r="K92" s="108">
        <v>1.0737450122833252</v>
      </c>
      <c r="L92" s="108">
        <v>1.0211066007614136</v>
      </c>
      <c r="M92" s="108">
        <v>1.0468209981918335</v>
      </c>
      <c r="N92" s="108">
        <v>1.1394810676574707</v>
      </c>
      <c r="O92" s="108">
        <v>1.6837660074234009</v>
      </c>
      <c r="P92" s="109"/>
      <c r="Q92" s="108">
        <v>1.1697230339050293</v>
      </c>
      <c r="R92" s="108">
        <v>1.1262087821960449</v>
      </c>
      <c r="S92" s="109"/>
      <c r="T92" s="108">
        <v>1.0343693494796753</v>
      </c>
      <c r="U92" s="108">
        <v>1.1924903392791748</v>
      </c>
      <c r="V92" s="108">
        <v>1.1237295866012573</v>
      </c>
      <c r="W92" s="108">
        <v>1.0487304925918579</v>
      </c>
      <c r="X92" s="108">
        <v>1.1855490207672119</v>
      </c>
      <c r="Y92" s="108">
        <v>1.1793100833892822</v>
      </c>
      <c r="Z92" s="108">
        <v>1.1718894243240356</v>
      </c>
      <c r="AA92" s="108">
        <v>1.20189368724823</v>
      </c>
      <c r="AB92" s="108">
        <v>1.0510454177856445</v>
      </c>
      <c r="AC92" s="108">
        <v>1.0591851472854614</v>
      </c>
      <c r="AD92" s="108">
        <v>1.1850544214248657</v>
      </c>
      <c r="AE92" s="108">
        <v>1.0578427314758301</v>
      </c>
      <c r="AF92" s="108">
        <v>1.2247871160507202</v>
      </c>
      <c r="AG92" s="108">
        <v>1.1371293067932129</v>
      </c>
      <c r="AH92" s="108">
        <v>1.1290332078933716</v>
      </c>
      <c r="AI92" s="108">
        <v>1.2190483808517456</v>
      </c>
      <c r="AJ92" s="108">
        <v>1.2051435708999634</v>
      </c>
      <c r="AK92" s="108">
        <v>1.0098581314086914</v>
      </c>
      <c r="AL92" s="108">
        <v>1.2857811450958252</v>
      </c>
      <c r="AM92" s="108">
        <v>1.5062322616577148</v>
      </c>
      <c r="AN92" s="108">
        <v>1.2968431711196899</v>
      </c>
      <c r="AO92" s="108">
        <v>0.94530820846557617</v>
      </c>
      <c r="AP92" s="108">
        <v>1.0099636316299438</v>
      </c>
      <c r="AQ92" s="108">
        <v>1.1590430736541748</v>
      </c>
      <c r="AR92" s="108">
        <v>0.93241202831268311</v>
      </c>
      <c r="AS92" s="108">
        <v>1.1051383018493652</v>
      </c>
      <c r="AT92" s="108">
        <v>1.0811949968338013</v>
      </c>
      <c r="AU92" s="108">
        <v>1.146155834197998</v>
      </c>
      <c r="AV92" s="108">
        <v>1.6763715744018555</v>
      </c>
      <c r="AW92" s="108">
        <v>1.1230117082595825</v>
      </c>
      <c r="AX92" s="108">
        <v>1.2871462106704712</v>
      </c>
      <c r="AY92" s="108">
        <v>1.1115449666976929</v>
      </c>
      <c r="AZ92" s="108">
        <v>1.0574514865875244</v>
      </c>
      <c r="BA92" s="108">
        <v>1.3796473741531372</v>
      </c>
      <c r="BB92" s="108">
        <v>1.2688376903533936</v>
      </c>
      <c r="BC92" s="108">
        <v>1.0680510997772217</v>
      </c>
      <c r="BD92" s="108">
        <v>1.1601847410202026</v>
      </c>
      <c r="BE92" s="108">
        <v>1.2434505224227905</v>
      </c>
      <c r="BF92" s="108">
        <v>1.1523358821868896</v>
      </c>
      <c r="BG92" s="108">
        <v>1.0434216260910034</v>
      </c>
      <c r="BH92" s="108">
        <v>1.2144079208374023</v>
      </c>
      <c r="BI92" s="108">
        <v>1.399598240852356</v>
      </c>
      <c r="BJ92" s="108">
        <v>1.4083089828491211</v>
      </c>
      <c r="BK92" s="108">
        <v>1.4170445203781128</v>
      </c>
      <c r="BL92" s="108">
        <v>1.2487256526947021</v>
      </c>
    </row>
    <row r="93" spans="1:64" x14ac:dyDescent="0.2">
      <c r="A93" t="s">
        <v>246</v>
      </c>
      <c r="B93" s="108">
        <v>2.0618593692779541</v>
      </c>
      <c r="C93" s="108">
        <v>2.0224881172180176</v>
      </c>
      <c r="D93" s="108">
        <v>1.8890608549118042</v>
      </c>
      <c r="E93" s="108">
        <v>1.8019102811813354</v>
      </c>
      <c r="F93" s="108">
        <v>2.0090665817260742</v>
      </c>
      <c r="G93" s="108">
        <v>1.8775409460067749</v>
      </c>
      <c r="H93" s="108">
        <v>1.724076509475708</v>
      </c>
      <c r="I93" s="108">
        <v>1.8562064170837402</v>
      </c>
      <c r="J93" s="108">
        <v>1.9489704370498657</v>
      </c>
      <c r="K93" s="108">
        <v>1.9921208620071411</v>
      </c>
      <c r="L93" s="108">
        <v>1.7577552795410156</v>
      </c>
      <c r="M93" s="108">
        <v>1.9558637142181396</v>
      </c>
      <c r="N93" s="108">
        <v>1.9509071111679077</v>
      </c>
      <c r="O93" s="108">
        <v>1.3833721876144409</v>
      </c>
      <c r="P93" s="109"/>
      <c r="Q93" s="108">
        <v>1.9636212587356567</v>
      </c>
      <c r="R93" s="108">
        <v>1.9125839471817017</v>
      </c>
      <c r="S93" s="109"/>
      <c r="T93" s="108">
        <v>1.9081133604049683</v>
      </c>
      <c r="U93" s="108">
        <v>2.0039999485015869</v>
      </c>
      <c r="V93" s="108">
        <v>1.9758063554763794</v>
      </c>
      <c r="W93" s="108">
        <v>1.8928512334823608</v>
      </c>
      <c r="X93" s="108">
        <v>1.963613748550415</v>
      </c>
      <c r="Y93" s="108">
        <v>1.9822306632995605</v>
      </c>
      <c r="Z93" s="108">
        <v>1.9408210515975952</v>
      </c>
      <c r="AA93" s="108">
        <v>2.002995491027832</v>
      </c>
      <c r="AB93" s="108">
        <v>1.8477439880371094</v>
      </c>
      <c r="AC93" s="108">
        <v>2.0098509788513184</v>
      </c>
      <c r="AD93" s="108">
        <v>1.9391077756881714</v>
      </c>
      <c r="AE93" s="108">
        <v>1.8818438053131104</v>
      </c>
      <c r="AF93" s="108">
        <v>1.9701193571090698</v>
      </c>
      <c r="AG93" s="108">
        <v>1.9107297658920288</v>
      </c>
      <c r="AH93" s="108">
        <v>1.8549295663833618</v>
      </c>
      <c r="AI93" s="108">
        <v>1.8843656778335571</v>
      </c>
      <c r="AJ93" s="108">
        <v>1.9112714529037476</v>
      </c>
      <c r="AK93" s="108">
        <v>1.8588007688522339</v>
      </c>
      <c r="AL93" s="108">
        <v>2.0328128337860107</v>
      </c>
      <c r="AM93" s="108">
        <v>2.0324363708496094</v>
      </c>
      <c r="AN93" s="108">
        <v>1.9773175716400146</v>
      </c>
      <c r="AO93" s="108">
        <v>1.9306709766387939</v>
      </c>
      <c r="AP93" s="108">
        <v>1.8602060079574585</v>
      </c>
      <c r="AQ93" s="108">
        <v>1.7323645353317261</v>
      </c>
      <c r="AR93" s="108">
        <v>1.8311852216720581</v>
      </c>
      <c r="AS93" s="108">
        <v>1.9176090955734253</v>
      </c>
      <c r="AT93" s="108">
        <v>1.460029125213623</v>
      </c>
      <c r="AU93" s="108">
        <v>1.855204701423645</v>
      </c>
      <c r="AV93" s="108">
        <v>2.0927236080169678</v>
      </c>
      <c r="AW93" s="108">
        <v>1.9266704320907593</v>
      </c>
      <c r="AX93" s="108">
        <v>1.8818103075027466</v>
      </c>
      <c r="AY93" s="108">
        <v>1.9304841756820679</v>
      </c>
      <c r="AZ93" s="108">
        <v>1.8481576442718506</v>
      </c>
      <c r="BA93" s="108">
        <v>1.9310717582702637</v>
      </c>
      <c r="BB93" s="108">
        <v>1.8111437559127808</v>
      </c>
      <c r="BC93" s="108">
        <v>1.9366885423660278</v>
      </c>
      <c r="BD93" s="108">
        <v>1.9393696784973145</v>
      </c>
      <c r="BE93" s="108">
        <v>1.876736044883728</v>
      </c>
      <c r="BF93" s="108">
        <v>1.727230429649353</v>
      </c>
      <c r="BG93" s="108">
        <v>1.8823119401931763</v>
      </c>
      <c r="BH93" s="108">
        <v>1.9149771928787231</v>
      </c>
      <c r="BI93" s="108">
        <v>1.95838463306427</v>
      </c>
      <c r="BJ93" s="108">
        <v>1.9218157529830933</v>
      </c>
      <c r="BK93" s="108">
        <v>2.0111849308013916</v>
      </c>
      <c r="BL93" s="108">
        <v>1.9137386083602905</v>
      </c>
    </row>
    <row r="94" spans="1:64" x14ac:dyDescent="0.2">
      <c r="A94" t="s">
        <v>225</v>
      </c>
      <c r="B94" s="108">
        <v>0.68982493877410889</v>
      </c>
      <c r="C94" s="108">
        <v>0.52374875545501709</v>
      </c>
      <c r="D94" s="108">
        <v>0.54821181297302246</v>
      </c>
      <c r="E94" s="108">
        <v>0.63594251871109009</v>
      </c>
      <c r="F94" s="108">
        <v>0.65951615571975708</v>
      </c>
      <c r="G94" s="108">
        <v>0.5519978404045105</v>
      </c>
      <c r="H94" s="108">
        <v>0.55249345302581787</v>
      </c>
      <c r="I94" s="108">
        <v>0.57049751281738281</v>
      </c>
      <c r="J94" s="108">
        <v>0.65224957466125488</v>
      </c>
      <c r="K94" s="108">
        <v>0.74253749847412109</v>
      </c>
      <c r="L94" s="108">
        <v>0.70234179496765137</v>
      </c>
      <c r="M94" s="108">
        <v>0.70568346977233887</v>
      </c>
      <c r="N94" s="108">
        <v>0.68418401479721069</v>
      </c>
      <c r="O94" s="108">
        <v>0.79445922374725342</v>
      </c>
      <c r="P94" s="109"/>
      <c r="Q94" s="108">
        <v>0.725943922996521</v>
      </c>
      <c r="R94" s="108">
        <v>0.69013452529907227</v>
      </c>
      <c r="S94" s="109"/>
      <c r="T94" s="108">
        <v>0.61543822288513184</v>
      </c>
      <c r="U94" s="108">
        <v>0.65895277261734009</v>
      </c>
      <c r="V94" s="108">
        <v>0.68445605039596558</v>
      </c>
      <c r="W94" s="108">
        <v>0.72372961044311523</v>
      </c>
      <c r="X94" s="108">
        <v>0.72733771800994873</v>
      </c>
      <c r="Y94" s="108">
        <v>0.59648793935775757</v>
      </c>
      <c r="Z94" s="108">
        <v>0.65335649251937866</v>
      </c>
      <c r="AA94" s="108">
        <v>0.77200239896774292</v>
      </c>
      <c r="AB94" s="108">
        <v>0.68938291072845459</v>
      </c>
      <c r="AC94" s="108">
        <v>0.69498389959335327</v>
      </c>
      <c r="AD94" s="108">
        <v>0.81528604030609131</v>
      </c>
      <c r="AE94" s="108">
        <v>0.66931802034378052</v>
      </c>
      <c r="AF94" s="108">
        <v>0.70971465110778809</v>
      </c>
      <c r="AG94" s="108">
        <v>0.63630491495132446</v>
      </c>
      <c r="AH94" s="108">
        <v>0.64746862649917603</v>
      </c>
      <c r="AI94" s="108">
        <v>0.64879429340362549</v>
      </c>
      <c r="AJ94" s="108">
        <v>0.70989835262298584</v>
      </c>
      <c r="AK94" s="108">
        <v>0.57506054639816284</v>
      </c>
      <c r="AL94" s="108">
        <v>0.625</v>
      </c>
      <c r="AM94" s="108">
        <v>0.7425076961517334</v>
      </c>
      <c r="AN94" s="108">
        <v>0.63926684856414795</v>
      </c>
      <c r="AO94" s="108">
        <v>0.5640673041343689</v>
      </c>
      <c r="AP94" s="108">
        <v>0.63631761074066162</v>
      </c>
      <c r="AQ94" s="108">
        <v>0.63231521844863892</v>
      </c>
      <c r="AR94" s="108">
        <v>0.55779564380645752</v>
      </c>
      <c r="AS94" s="108">
        <v>0.56915861368179321</v>
      </c>
      <c r="AT94" s="108">
        <v>0.55433857440948486</v>
      </c>
      <c r="AU94" s="108">
        <v>0.62550681829452515</v>
      </c>
      <c r="AV94" s="108">
        <v>0.81542801856994629</v>
      </c>
      <c r="AW94" s="108">
        <v>0.60584515333175659</v>
      </c>
      <c r="AX94" s="108">
        <v>0.71757996082305908</v>
      </c>
      <c r="AY94" s="108">
        <v>0.56608617305755615</v>
      </c>
      <c r="AZ94" s="108">
        <v>0.57544088363647461</v>
      </c>
      <c r="BA94" s="108">
        <v>0.7801281213760376</v>
      </c>
      <c r="BB94" s="108">
        <v>0.63989549875259399</v>
      </c>
      <c r="BC94" s="108">
        <v>0.72708237171173096</v>
      </c>
      <c r="BD94" s="108">
        <v>0.68657976388931274</v>
      </c>
      <c r="BE94" s="108">
        <v>0.61107271909713745</v>
      </c>
      <c r="BF94" s="108">
        <v>0.63019657135009766</v>
      </c>
      <c r="BG94" s="108">
        <v>0.6395951509475708</v>
      </c>
      <c r="BH94" s="108">
        <v>0.58964771032333374</v>
      </c>
      <c r="BI94" s="108">
        <v>0.74839234352111816</v>
      </c>
      <c r="BJ94" s="108">
        <v>0.72980451583862305</v>
      </c>
      <c r="BK94" s="108">
        <v>0.78036093711853027</v>
      </c>
      <c r="BL94" s="108">
        <v>0.73504513502120972</v>
      </c>
    </row>
    <row r="95" spans="1:64" x14ac:dyDescent="0.2">
      <c r="A95" t="s">
        <v>227</v>
      </c>
      <c r="B95" s="108">
        <v>0.64058476686477661</v>
      </c>
      <c r="C95" s="108">
        <v>0.5190269947052002</v>
      </c>
      <c r="D95" s="108">
        <v>0.48361742496490479</v>
      </c>
      <c r="E95" s="108">
        <v>0.55689632892608643</v>
      </c>
      <c r="F95" s="108">
        <v>0.61551129817962646</v>
      </c>
      <c r="G95" s="108">
        <v>0.46578842401504517</v>
      </c>
      <c r="H95" s="108">
        <v>0.41026318073272705</v>
      </c>
      <c r="I95" s="108">
        <v>0.5536036491394043</v>
      </c>
      <c r="J95" s="108">
        <v>0.56265819072723389</v>
      </c>
      <c r="K95" s="108">
        <v>0.54408389329910278</v>
      </c>
      <c r="L95" s="108">
        <v>0.56415790319442749</v>
      </c>
      <c r="M95" s="108">
        <v>0.49372810125350952</v>
      </c>
      <c r="N95" s="108">
        <v>0.56533849239349365</v>
      </c>
      <c r="O95" s="108">
        <v>0.77506852149963379</v>
      </c>
      <c r="P95" s="109"/>
      <c r="Q95" s="108">
        <v>0.66793489456176758</v>
      </c>
      <c r="R95" s="108">
        <v>0.58494549989700317</v>
      </c>
      <c r="S95" s="109"/>
      <c r="T95" s="108">
        <v>0.53722113370895386</v>
      </c>
      <c r="U95" s="108">
        <v>0.5620301365852356</v>
      </c>
      <c r="V95" s="108">
        <v>0.61376309394836426</v>
      </c>
      <c r="W95" s="108">
        <v>0.66941028833389282</v>
      </c>
      <c r="X95" s="108">
        <v>0.67990511655807495</v>
      </c>
      <c r="Y95" s="108">
        <v>0.55302160978317261</v>
      </c>
      <c r="Z95" s="108">
        <v>0.57304531335830688</v>
      </c>
      <c r="AA95" s="108">
        <v>0.69622015953063965</v>
      </c>
      <c r="AB95" s="108">
        <v>0.57588529586791992</v>
      </c>
      <c r="AC95" s="108">
        <v>0.55213218927383423</v>
      </c>
      <c r="AD95" s="108">
        <v>0.69953352212905884</v>
      </c>
      <c r="AE95" s="108">
        <v>0.55660521984100342</v>
      </c>
      <c r="AF95" s="108">
        <v>0.66708368062973022</v>
      </c>
      <c r="AG95" s="108">
        <v>0.54502838850021362</v>
      </c>
      <c r="AH95" s="108">
        <v>0.51400232315063477</v>
      </c>
      <c r="AI95" s="108">
        <v>0.53599900007247925</v>
      </c>
      <c r="AJ95" s="108">
        <v>0.69288289546966553</v>
      </c>
      <c r="AK95" s="108">
        <v>0.46415328979492188</v>
      </c>
      <c r="AL95" s="108">
        <v>0.59994375705718994</v>
      </c>
      <c r="AM95" s="108">
        <v>0.68181353807449341</v>
      </c>
      <c r="AN95" s="108">
        <v>0.59080666303634644</v>
      </c>
      <c r="AO95" s="108">
        <v>0.45228719711303711</v>
      </c>
      <c r="AP95" s="108">
        <v>0.45886814594268799</v>
      </c>
      <c r="AQ95" s="108">
        <v>0.51623505353927612</v>
      </c>
      <c r="AR95" s="108">
        <v>0.4565272331237793</v>
      </c>
      <c r="AS95" s="108">
        <v>0.51128119230270386</v>
      </c>
      <c r="AT95" s="108">
        <v>0.46283790469169617</v>
      </c>
      <c r="AU95" s="108">
        <v>0.49074044823646545</v>
      </c>
      <c r="AV95" s="108">
        <v>0.76023519039154053</v>
      </c>
      <c r="AW95" s="108">
        <v>0.50823444128036499</v>
      </c>
      <c r="AX95" s="108">
        <v>0.61839622259140015</v>
      </c>
      <c r="AY95" s="108">
        <v>0.51282972097396851</v>
      </c>
      <c r="AZ95" s="108">
        <v>0.54397010803222656</v>
      </c>
      <c r="BA95" s="108">
        <v>0.71135592460632324</v>
      </c>
      <c r="BB95" s="108">
        <v>0.55111604928970337</v>
      </c>
      <c r="BC95" s="108">
        <v>0.55505818128585815</v>
      </c>
      <c r="BD95" s="108">
        <v>0.63050246238708496</v>
      </c>
      <c r="BE95" s="108">
        <v>0.58551305532455444</v>
      </c>
      <c r="BF95" s="108">
        <v>0.54900670051574707</v>
      </c>
      <c r="BG95" s="108">
        <v>0.54491829872131348</v>
      </c>
      <c r="BH95" s="108">
        <v>0.53982841968536377</v>
      </c>
      <c r="BI95" s="108">
        <v>0.65836066007614136</v>
      </c>
      <c r="BJ95" s="108">
        <v>0.71160131692886353</v>
      </c>
      <c r="BK95" s="108">
        <v>0.75112462043762207</v>
      </c>
      <c r="BL95" s="108">
        <v>0.64726823568344116</v>
      </c>
    </row>
    <row r="96" spans="1:64" x14ac:dyDescent="0.2">
      <c r="A96" t="s">
        <v>236</v>
      </c>
      <c r="B96" s="108">
        <v>0.66575545072555542</v>
      </c>
      <c r="C96" s="108">
        <v>0.70170682668685913</v>
      </c>
      <c r="D96" s="108">
        <v>0.56175494194030762</v>
      </c>
      <c r="E96" s="108">
        <v>0.67185622453689575</v>
      </c>
      <c r="F96" s="108">
        <v>0.64631438255310059</v>
      </c>
      <c r="G96" s="108">
        <v>0.45690220594406128</v>
      </c>
      <c r="H96" s="108">
        <v>0.52865463495254517</v>
      </c>
      <c r="I96" s="108">
        <v>0.55510824918746948</v>
      </c>
      <c r="J96" s="108">
        <v>0.63054484128952026</v>
      </c>
      <c r="K96" s="108">
        <v>0.60191929340362549</v>
      </c>
      <c r="L96" s="108">
        <v>0.59144604206085205</v>
      </c>
      <c r="M96" s="108">
        <v>0.54705417156219482</v>
      </c>
      <c r="N96" s="108">
        <v>0.63951969146728516</v>
      </c>
      <c r="O96" s="108">
        <v>0.87700790166854858</v>
      </c>
      <c r="P96" s="109"/>
      <c r="Q96" s="108">
        <v>0.74505156278610229</v>
      </c>
      <c r="R96" s="108">
        <v>0.70018976926803589</v>
      </c>
      <c r="S96" s="109"/>
      <c r="T96" s="108">
        <v>0.58035135269165039</v>
      </c>
      <c r="U96" s="108">
        <v>0.65243822336196899</v>
      </c>
      <c r="V96" s="108">
        <v>0.62938809394836426</v>
      </c>
      <c r="W96" s="108">
        <v>0.64856916666030884</v>
      </c>
      <c r="X96" s="108">
        <v>0.72425085306167603</v>
      </c>
      <c r="Y96" s="108">
        <v>0.63174039125442505</v>
      </c>
      <c r="Z96" s="108">
        <v>0.66383731365203857</v>
      </c>
      <c r="AA96" s="108">
        <v>0.75091356039047241</v>
      </c>
      <c r="AB96" s="108">
        <v>0.62755334377288818</v>
      </c>
      <c r="AC96" s="108">
        <v>0.56512856483459473</v>
      </c>
      <c r="AD96" s="108">
        <v>0.7602880597114563</v>
      </c>
      <c r="AE96" s="108">
        <v>0.66598021984100342</v>
      </c>
      <c r="AF96" s="108">
        <v>0.68705189228057861</v>
      </c>
      <c r="AG96" s="108">
        <v>0.70597577095031738</v>
      </c>
      <c r="AH96" s="108">
        <v>0.63539779186248779</v>
      </c>
      <c r="AI96" s="108">
        <v>0.69108432531356812</v>
      </c>
      <c r="AJ96" s="108">
        <v>0.74787759780883789</v>
      </c>
      <c r="AK96" s="108">
        <v>0.60263127088546753</v>
      </c>
      <c r="AL96" s="108">
        <v>0.7060813307762146</v>
      </c>
      <c r="AM96" s="108">
        <v>0.7387615442276001</v>
      </c>
      <c r="AN96" s="108">
        <v>0.63383215665817261</v>
      </c>
      <c r="AO96" s="108">
        <v>0.62533766031265259</v>
      </c>
      <c r="AP96" s="108">
        <v>0.61351370811462402</v>
      </c>
      <c r="AQ96" s="108">
        <v>0.63227748870849609</v>
      </c>
      <c r="AR96" s="108">
        <v>0.60643994808197021</v>
      </c>
      <c r="AS96" s="108">
        <v>0.67480194568634033</v>
      </c>
      <c r="AT96" s="108">
        <v>0.70476514101028442</v>
      </c>
      <c r="AU96" s="108">
        <v>0.65531283617019653</v>
      </c>
      <c r="AV96" s="108">
        <v>0.82893466949462891</v>
      </c>
      <c r="AW96" s="108">
        <v>0.70572578907012939</v>
      </c>
      <c r="AX96" s="108">
        <v>0.7088087797164917</v>
      </c>
      <c r="AY96" s="108">
        <v>0.6115606427192688</v>
      </c>
      <c r="AZ96" s="108">
        <v>0.58688449859619141</v>
      </c>
      <c r="BA96" s="108">
        <v>0.79048985242843628</v>
      </c>
      <c r="BB96" s="108">
        <v>0.70303845405578613</v>
      </c>
      <c r="BC96" s="108">
        <v>0.63372230529785156</v>
      </c>
      <c r="BD96" s="108">
        <v>0.67711323499679565</v>
      </c>
      <c r="BE96" s="108">
        <v>0.65140843391418457</v>
      </c>
      <c r="BF96" s="108">
        <v>0.62821847200393677</v>
      </c>
      <c r="BG96" s="108">
        <v>0.62401586771011353</v>
      </c>
      <c r="BH96" s="108">
        <v>0.59225738048553467</v>
      </c>
      <c r="BI96" s="108">
        <v>0.67765223979949951</v>
      </c>
      <c r="BJ96" s="108">
        <v>0.78485739231109619</v>
      </c>
      <c r="BK96" s="108">
        <v>0.78613710403442383</v>
      </c>
      <c r="BL96" s="108">
        <v>0.69246983528137207</v>
      </c>
    </row>
    <row r="97" spans="1:64" x14ac:dyDescent="0.2">
      <c r="A97" t="s">
        <v>238</v>
      </c>
      <c r="B97" s="108">
        <v>0.68486207723617554</v>
      </c>
      <c r="C97" s="108">
        <v>0.72486972808837891</v>
      </c>
      <c r="D97" s="108">
        <v>0.62279206514358521</v>
      </c>
      <c r="E97" s="108">
        <v>0.72574472427368164</v>
      </c>
      <c r="F97" s="108">
        <v>0.78272789716720581</v>
      </c>
      <c r="G97" s="108">
        <v>0.6152610182762146</v>
      </c>
      <c r="H97" s="108">
        <v>0.60517436265945435</v>
      </c>
      <c r="I97" s="108">
        <v>0.66511476039886475</v>
      </c>
      <c r="J97" s="108">
        <v>0.73576122522354126</v>
      </c>
      <c r="K97" s="108">
        <v>0.73544883728027344</v>
      </c>
      <c r="L97" s="108">
        <v>0.75517845153808594</v>
      </c>
      <c r="M97" s="108">
        <v>0.74998688697814941</v>
      </c>
      <c r="N97" s="108">
        <v>0.76293683052062988</v>
      </c>
      <c r="O97" s="108">
        <v>0.88347148895263672</v>
      </c>
      <c r="P97" s="109"/>
      <c r="Q97" s="108">
        <v>0.76787048578262329</v>
      </c>
      <c r="R97" s="108">
        <v>0.7773856520652771</v>
      </c>
      <c r="S97" s="109"/>
      <c r="T97" s="108">
        <v>0.6265595555305481</v>
      </c>
      <c r="U97" s="108">
        <v>0.76494669914245605</v>
      </c>
      <c r="V97" s="108">
        <v>0.75421029329299927</v>
      </c>
      <c r="W97" s="108">
        <v>0.78266924619674683</v>
      </c>
      <c r="X97" s="108">
        <v>0.71532899141311646</v>
      </c>
      <c r="Y97" s="108">
        <v>0.74230295419692993</v>
      </c>
      <c r="Z97" s="108">
        <v>0.74852102994918823</v>
      </c>
      <c r="AA97" s="108">
        <v>0.81023752689361572</v>
      </c>
      <c r="AB97" s="108">
        <v>0.73775476217269897</v>
      </c>
      <c r="AC97" s="108">
        <v>0.69432675838470459</v>
      </c>
      <c r="AD97" s="108">
        <v>0.7882150411605835</v>
      </c>
      <c r="AE97" s="108">
        <v>0.72592324018478394</v>
      </c>
      <c r="AF97" s="108">
        <v>0.75090217590332031</v>
      </c>
      <c r="AG97" s="108">
        <v>0.67961305379867554</v>
      </c>
      <c r="AH97" s="108">
        <v>0.69561338424682617</v>
      </c>
      <c r="AI97" s="108">
        <v>0.73866468667984009</v>
      </c>
      <c r="AJ97" s="108">
        <v>0.7630237340927124</v>
      </c>
      <c r="AK97" s="108">
        <v>0.68688517808914185</v>
      </c>
      <c r="AL97" s="108">
        <v>0.6368253231048584</v>
      </c>
      <c r="AM97" s="108">
        <v>0.78099381923675537</v>
      </c>
      <c r="AN97" s="108">
        <v>0.74932092428207397</v>
      </c>
      <c r="AO97" s="108">
        <v>0.61737382411956787</v>
      </c>
      <c r="AP97" s="108">
        <v>0.68606418371200562</v>
      </c>
      <c r="AQ97" s="108">
        <v>0.6943480372428894</v>
      </c>
      <c r="AR97" s="108">
        <v>0.66749566793441772</v>
      </c>
      <c r="AS97" s="108">
        <v>0.69303077459335327</v>
      </c>
      <c r="AT97" s="108">
        <v>0.65487205982208252</v>
      </c>
      <c r="AU97" s="108">
        <v>0.61258536577224731</v>
      </c>
      <c r="AV97" s="108">
        <v>0.78307348489761353</v>
      </c>
      <c r="AW97" s="108">
        <v>0.69307321310043335</v>
      </c>
      <c r="AX97" s="108">
        <v>0.69565194845199585</v>
      </c>
      <c r="AY97" s="108">
        <v>0.56661707162857056</v>
      </c>
      <c r="AZ97" s="108">
        <v>0.61059391498565674</v>
      </c>
      <c r="BA97" s="108">
        <v>0.76259815692901611</v>
      </c>
      <c r="BB97" s="108">
        <v>0.6235162615776062</v>
      </c>
      <c r="BC97" s="108">
        <v>0.67900878190994263</v>
      </c>
      <c r="BD97" s="108">
        <v>0.66014796495437622</v>
      </c>
      <c r="BE97" s="108">
        <v>0.65625</v>
      </c>
      <c r="BF97" s="108">
        <v>0.70247846841812134</v>
      </c>
      <c r="BG97" s="108">
        <v>0.63853675127029419</v>
      </c>
      <c r="BH97" s="108">
        <v>0.61592912673950195</v>
      </c>
      <c r="BI97" s="108">
        <v>0.73874551057815552</v>
      </c>
      <c r="BJ97" s="108">
        <v>0.79022008180618286</v>
      </c>
      <c r="BK97" s="108">
        <v>0.73984438180923462</v>
      </c>
      <c r="BL97" s="108">
        <v>0.69219338893890381</v>
      </c>
    </row>
    <row r="98" spans="1:64" x14ac:dyDescent="0.2">
      <c r="A98" t="s">
        <v>229</v>
      </c>
      <c r="B98" s="108">
        <v>0.52657407522201538</v>
      </c>
      <c r="C98" s="108">
        <v>0.60098457336425781</v>
      </c>
      <c r="D98" s="108">
        <v>0.53017556667327881</v>
      </c>
      <c r="E98" s="108">
        <v>0.57724148035049438</v>
      </c>
      <c r="F98" s="108">
        <v>0.66446602344512939</v>
      </c>
      <c r="G98" s="108">
        <v>0.44676929712295532</v>
      </c>
      <c r="H98" s="108">
        <v>0.53044736385345459</v>
      </c>
      <c r="I98" s="108">
        <v>0.57693958282470703</v>
      </c>
      <c r="J98" s="108">
        <v>0.62569308280944824</v>
      </c>
      <c r="K98" s="108">
        <v>0.54392307996749878</v>
      </c>
      <c r="L98" s="108">
        <v>0.65628159046173096</v>
      </c>
      <c r="M98" s="108">
        <v>0.58667564392089844</v>
      </c>
      <c r="N98" s="108">
        <v>0.580485999584198</v>
      </c>
      <c r="O98" s="108">
        <v>0.82345312833786011</v>
      </c>
      <c r="P98" s="109"/>
      <c r="Q98" s="108">
        <v>0.67164623737335205</v>
      </c>
      <c r="R98" s="108">
        <v>0.62951987981796265</v>
      </c>
      <c r="S98" s="109"/>
      <c r="T98" s="108">
        <v>0.58429074287414551</v>
      </c>
      <c r="U98" s="108">
        <v>0.64160603284835815</v>
      </c>
      <c r="V98" s="108">
        <v>0.70294719934463501</v>
      </c>
      <c r="W98" s="108">
        <v>0.70838469266891479</v>
      </c>
      <c r="X98" s="108">
        <v>0.67681825160980225</v>
      </c>
      <c r="Y98" s="108">
        <v>0.65854811668395996</v>
      </c>
      <c r="Z98" s="108">
        <v>0.56757968664169312</v>
      </c>
      <c r="AA98" s="108">
        <v>0.76180195808410645</v>
      </c>
      <c r="AB98" s="108">
        <v>0.66469317674636841</v>
      </c>
      <c r="AC98" s="108">
        <v>0.69852495193481445</v>
      </c>
      <c r="AD98" s="108">
        <v>0.72170388698577881</v>
      </c>
      <c r="AE98" s="108">
        <v>0.62294065952301025</v>
      </c>
      <c r="AF98" s="108">
        <v>0.67266517877578735</v>
      </c>
      <c r="AG98" s="108">
        <v>0.53277075290679932</v>
      </c>
      <c r="AH98" s="108">
        <v>0.52469313144683838</v>
      </c>
      <c r="AI98" s="108">
        <v>0.65255904197692871</v>
      </c>
      <c r="AJ98" s="108">
        <v>0.71882551908493042</v>
      </c>
      <c r="AK98" s="108">
        <v>0.52450627088546753</v>
      </c>
      <c r="AL98" s="108">
        <v>0.60205674171447754</v>
      </c>
      <c r="AM98" s="108">
        <v>0.71280741691589355</v>
      </c>
      <c r="AN98" s="108">
        <v>0.62137758731842041</v>
      </c>
      <c r="AO98" s="108">
        <v>0.5393221378326416</v>
      </c>
      <c r="AP98" s="108">
        <v>0.484375</v>
      </c>
      <c r="AQ98" s="108">
        <v>0.57013148069381714</v>
      </c>
      <c r="AR98" s="108">
        <v>0.50598937273025513</v>
      </c>
      <c r="AS98" s="108">
        <v>0.58738750219345093</v>
      </c>
      <c r="AT98" s="108">
        <v>0.52901840209960938</v>
      </c>
      <c r="AU98" s="108">
        <v>0.52242761850357056</v>
      </c>
      <c r="AV98" s="108">
        <v>0.71726334095001221</v>
      </c>
      <c r="AW98" s="108">
        <v>0.48868504166603088</v>
      </c>
      <c r="AX98" s="108">
        <v>0.64209574460983276</v>
      </c>
      <c r="AY98" s="108">
        <v>0.46981650590896606</v>
      </c>
      <c r="AZ98" s="108">
        <v>0.48258340358734131</v>
      </c>
      <c r="BA98" s="108">
        <v>0.74613267183303833</v>
      </c>
      <c r="BB98" s="108">
        <v>0.57437855005264282</v>
      </c>
      <c r="BC98" s="108">
        <v>0.55416285991668701</v>
      </c>
      <c r="BD98" s="108">
        <v>0.57808727025985718</v>
      </c>
      <c r="BE98" s="108">
        <v>0.56759309768676758</v>
      </c>
      <c r="BF98" s="108">
        <v>0.56732690334320068</v>
      </c>
      <c r="BG98" s="108">
        <v>0.53901958465576172</v>
      </c>
      <c r="BH98" s="108">
        <v>0.56025087833404541</v>
      </c>
      <c r="BI98" s="108">
        <v>0.63987100124359131</v>
      </c>
      <c r="BJ98" s="108">
        <v>0.75125521421432495</v>
      </c>
      <c r="BK98" s="108">
        <v>0.71638429164886475</v>
      </c>
      <c r="BL98" s="108">
        <v>0.64357054233551025</v>
      </c>
    </row>
    <row r="99" spans="1:64" x14ac:dyDescent="0.2">
      <c r="A99" t="s">
        <v>241</v>
      </c>
      <c r="B99" s="108">
        <v>0.41932865977287292</v>
      </c>
      <c r="C99" s="108">
        <v>0.39691686630249023</v>
      </c>
      <c r="D99" s="108">
        <v>0.42020878195762634</v>
      </c>
      <c r="E99" s="108">
        <v>0.44791612029075623</v>
      </c>
      <c r="F99" s="108">
        <v>0.44499418139457703</v>
      </c>
      <c r="G99" s="108">
        <v>0.27496692538261414</v>
      </c>
      <c r="H99" s="108">
        <v>0.33813154697418213</v>
      </c>
      <c r="I99" s="108">
        <v>0.37678009271621704</v>
      </c>
      <c r="J99" s="108">
        <v>0.49322715401649475</v>
      </c>
      <c r="K99" s="108">
        <v>0.48827385902404785</v>
      </c>
      <c r="L99" s="108">
        <v>0.43700522184371948</v>
      </c>
      <c r="M99" s="108">
        <v>0.42894503474235535</v>
      </c>
      <c r="N99" s="108">
        <v>0.51467001438140869</v>
      </c>
      <c r="O99" s="108">
        <v>0.68421000242233276</v>
      </c>
      <c r="P99" s="109"/>
      <c r="Q99" s="108">
        <v>0.47470682859420776</v>
      </c>
      <c r="R99" s="108">
        <v>0.41397252678871155</v>
      </c>
      <c r="S99" s="109"/>
      <c r="T99" s="108">
        <v>0.40356189012527466</v>
      </c>
      <c r="U99" s="108">
        <v>0.51466727256774902</v>
      </c>
      <c r="V99" s="108">
        <v>0.43141216039657593</v>
      </c>
      <c r="W99" s="108">
        <v>0.39404255151748657</v>
      </c>
      <c r="X99" s="108">
        <v>0.46487727761268616</v>
      </c>
      <c r="Y99" s="108">
        <v>0.41743269562721252</v>
      </c>
      <c r="Z99" s="108">
        <v>0.44618043303489685</v>
      </c>
      <c r="AA99" s="108">
        <v>0.47017529606819153</v>
      </c>
      <c r="AB99" s="108">
        <v>0.43662750720977783</v>
      </c>
      <c r="AC99" s="108">
        <v>0.41793212294578552</v>
      </c>
      <c r="AD99" s="108">
        <v>0.63718467950820923</v>
      </c>
      <c r="AE99" s="108">
        <v>0.48771283030509949</v>
      </c>
      <c r="AF99" s="108">
        <v>0.53471589088439941</v>
      </c>
      <c r="AG99" s="108">
        <v>0.45121505856513977</v>
      </c>
      <c r="AH99" s="108">
        <v>0.47792837023735046</v>
      </c>
      <c r="AI99" s="108">
        <v>0.5062909722328186</v>
      </c>
      <c r="AJ99" s="108">
        <v>0.59431904554367065</v>
      </c>
      <c r="AK99" s="108">
        <v>0.4157460629940033</v>
      </c>
      <c r="AL99" s="108">
        <v>0.5050693154335022</v>
      </c>
      <c r="AM99" s="108">
        <v>0.65844643115997314</v>
      </c>
      <c r="AN99" s="108">
        <v>0.56431227922439575</v>
      </c>
      <c r="AO99" s="108">
        <v>0.38084861636161804</v>
      </c>
      <c r="AP99" s="108">
        <v>0.39079365134239197</v>
      </c>
      <c r="AQ99" s="108">
        <v>0.49984908103942871</v>
      </c>
      <c r="AR99" s="108">
        <v>0.39149203896522522</v>
      </c>
      <c r="AS99" s="108">
        <v>0.47243034839630127</v>
      </c>
      <c r="AT99" s="108">
        <v>0.44313597679138184</v>
      </c>
      <c r="AU99" s="108">
        <v>0.48346245288848877</v>
      </c>
      <c r="AV99" s="108">
        <v>0.68747043609619141</v>
      </c>
      <c r="AW99" s="108">
        <v>0.46913337707519531</v>
      </c>
      <c r="AX99" s="108">
        <v>0.58029115200042725</v>
      </c>
      <c r="AY99" s="108">
        <v>0.46822986006736755</v>
      </c>
      <c r="AZ99" s="108">
        <v>0.48812127113342285</v>
      </c>
      <c r="BA99" s="108">
        <v>0.72143447399139404</v>
      </c>
      <c r="BB99" s="108">
        <v>0.60238903760910034</v>
      </c>
      <c r="BC99" s="108">
        <v>0.54951769113540649</v>
      </c>
      <c r="BD99" s="108">
        <v>0.54477971792221069</v>
      </c>
      <c r="BE99" s="108">
        <v>0.57642728090286255</v>
      </c>
      <c r="BF99" s="108">
        <v>0.55148261785507202</v>
      </c>
      <c r="BG99" s="108">
        <v>0.54658323526382446</v>
      </c>
      <c r="BH99" s="108">
        <v>0.59228473901748657</v>
      </c>
      <c r="BI99" s="108">
        <v>0.68649500608444214</v>
      </c>
      <c r="BJ99" s="108">
        <v>0.68080335855484009</v>
      </c>
      <c r="BK99" s="108">
        <v>0.73028039932250977</v>
      </c>
      <c r="BL99" s="108">
        <v>0.62687909603118896</v>
      </c>
    </row>
    <row r="100" spans="1:64" x14ac:dyDescent="0.2">
      <c r="A100" t="s">
        <v>248</v>
      </c>
      <c r="B100" s="108">
        <v>0.94553214311599731</v>
      </c>
      <c r="C100" s="108">
        <v>0.93648350238800049</v>
      </c>
      <c r="D100" s="108">
        <v>0.9130624532699585</v>
      </c>
      <c r="E100" s="108">
        <v>0.92693346738815308</v>
      </c>
      <c r="F100" s="108">
        <v>0.96204620599746704</v>
      </c>
      <c r="G100" s="108">
        <v>0.93715238571166992</v>
      </c>
      <c r="H100" s="108">
        <v>0.90124672651290894</v>
      </c>
      <c r="I100" s="108">
        <v>0.93754678964614868</v>
      </c>
      <c r="J100" s="108">
        <v>0.96267026662826538</v>
      </c>
      <c r="K100" s="108">
        <v>0.94722795486450195</v>
      </c>
      <c r="L100" s="108">
        <v>0.94697111845016479</v>
      </c>
      <c r="M100" s="108">
        <v>0.99174147844314575</v>
      </c>
      <c r="N100" s="108">
        <v>0.97711515426635742</v>
      </c>
      <c r="O100" s="108">
        <v>0.99353641271591187</v>
      </c>
      <c r="P100" s="109"/>
      <c r="Q100" s="108">
        <v>0.975943922996521</v>
      </c>
      <c r="R100" s="108">
        <v>0.95759809017181396</v>
      </c>
      <c r="S100" s="109"/>
      <c r="T100" s="108">
        <v>0.95686978101730347</v>
      </c>
      <c r="U100" s="108">
        <v>0.97757786512374878</v>
      </c>
      <c r="V100" s="108">
        <v>0.984375</v>
      </c>
      <c r="W100" s="108">
        <v>0.96285772323608398</v>
      </c>
      <c r="X100" s="108">
        <v>0.94639360904693604</v>
      </c>
      <c r="Y100" s="108">
        <v>0.95423555374145508</v>
      </c>
      <c r="Z100" s="108">
        <v>0.96148407459259033</v>
      </c>
      <c r="AA100" s="108">
        <v>0.97891116142272949</v>
      </c>
      <c r="AB100" s="108">
        <v>0.97268587350845337</v>
      </c>
      <c r="AC100" s="108">
        <v>0.97623389959335327</v>
      </c>
      <c r="AD100" s="108">
        <v>0.99179309606552124</v>
      </c>
      <c r="AE100" s="108">
        <v>0.88394933938980103</v>
      </c>
      <c r="AF100" s="108">
        <v>0.96708852052688599</v>
      </c>
      <c r="AG100" s="108">
        <v>0.96356397867202759</v>
      </c>
      <c r="AH100" s="108">
        <v>0.99303352832794189</v>
      </c>
      <c r="AI100" s="108">
        <v>0.97381889820098877</v>
      </c>
      <c r="AJ100" s="108">
        <v>0.96575933694839478</v>
      </c>
      <c r="AK100" s="108">
        <v>0.9914214015007019</v>
      </c>
      <c r="AL100" s="108">
        <v>0.99380624294281006</v>
      </c>
      <c r="AM100" s="108">
        <v>0.98514986038208008</v>
      </c>
      <c r="AN100" s="108">
        <v>0.99139487743377686</v>
      </c>
      <c r="AO100" s="108">
        <v>0.96686416864395142</v>
      </c>
      <c r="AP100" s="108">
        <v>0.93184119462966919</v>
      </c>
      <c r="AQ100" s="108">
        <v>0.95259761810302734</v>
      </c>
      <c r="AR100" s="108">
        <v>0.95931714773178101</v>
      </c>
      <c r="AS100" s="108">
        <v>0.96548265218734741</v>
      </c>
      <c r="AT100" s="108">
        <v>1</v>
      </c>
      <c r="AU100" s="108">
        <v>0.96360999345779419</v>
      </c>
      <c r="AV100" s="108">
        <v>0.98958331346511841</v>
      </c>
      <c r="AW100" s="108">
        <v>0.98392552137374878</v>
      </c>
      <c r="AX100" s="108">
        <v>0.99613720178604126</v>
      </c>
      <c r="AY100" s="108">
        <v>0.97914093732833862</v>
      </c>
      <c r="AZ100" s="108">
        <v>0.9845733642578125</v>
      </c>
      <c r="BA100" s="108">
        <v>0.9989355206489563</v>
      </c>
      <c r="BB100" s="108">
        <v>0.96961551904678345</v>
      </c>
      <c r="BC100" s="108">
        <v>0.97780442237854004</v>
      </c>
      <c r="BD100" s="108">
        <v>0.97830146551132202</v>
      </c>
      <c r="BE100" s="108">
        <v>0.94743460416793823</v>
      </c>
      <c r="BF100" s="108">
        <v>0.98465347290039063</v>
      </c>
      <c r="BG100" s="108">
        <v>0.997883141040802</v>
      </c>
      <c r="BH100" s="108">
        <v>0.97921204566955566</v>
      </c>
      <c r="BI100" s="108">
        <v>0.99196130037307739</v>
      </c>
      <c r="BJ100" s="108">
        <v>0.9918331503868103</v>
      </c>
      <c r="BK100" s="108">
        <v>0.99855595827102661</v>
      </c>
      <c r="BL100" s="108">
        <v>0.97753739356994629</v>
      </c>
    </row>
    <row r="101" spans="1:64" x14ac:dyDescent="0.2">
      <c r="A101" t="s">
        <v>250</v>
      </c>
      <c r="B101" s="108">
        <v>0.62835174798965454</v>
      </c>
      <c r="C101" s="108">
        <v>0.50938230752944946</v>
      </c>
      <c r="D101" s="108">
        <v>0.38931542634963989</v>
      </c>
      <c r="E101" s="108">
        <v>0.37364649772644043</v>
      </c>
      <c r="F101" s="108">
        <v>0.55170482397079468</v>
      </c>
      <c r="G101" s="108">
        <v>0.36696654558181763</v>
      </c>
      <c r="H101" s="108">
        <v>0.38963490724563599</v>
      </c>
      <c r="I101" s="108">
        <v>0.3963857889175415</v>
      </c>
      <c r="J101" s="108">
        <v>0.46421468257904053</v>
      </c>
      <c r="K101" s="108">
        <v>0.52419984340667725</v>
      </c>
      <c r="L101" s="108">
        <v>0.39791038632392883</v>
      </c>
      <c r="M101" s="108">
        <v>0.50546413660049438</v>
      </c>
      <c r="N101" s="108">
        <v>0.493367999792099</v>
      </c>
      <c r="O101" s="108">
        <v>0.75253820419311523</v>
      </c>
      <c r="P101" s="109"/>
      <c r="Q101" s="108">
        <v>0.50572806596755981</v>
      </c>
      <c r="R101" s="108">
        <v>0.42674976587295532</v>
      </c>
      <c r="S101" s="109"/>
      <c r="T101" s="108">
        <v>0.53003913164138794</v>
      </c>
      <c r="U101" s="108">
        <v>0.54104721546173096</v>
      </c>
      <c r="V101" s="108">
        <v>0.49923902750015259</v>
      </c>
      <c r="W101" s="108">
        <v>0.46830034255981445</v>
      </c>
      <c r="X101" s="108">
        <v>0.48795360326766968</v>
      </c>
      <c r="Y101" s="108">
        <v>0.48718991875648499</v>
      </c>
      <c r="Z101" s="108">
        <v>0.47530868649482727</v>
      </c>
      <c r="AA101" s="108">
        <v>0.56082558631896973</v>
      </c>
      <c r="AB101" s="108">
        <v>0.52913016080856323</v>
      </c>
      <c r="AC101" s="108">
        <v>0.48568928241729736</v>
      </c>
      <c r="AD101" s="108">
        <v>0.48321709036827087</v>
      </c>
      <c r="AE101" s="108">
        <v>0.38728716969490051</v>
      </c>
      <c r="AF101" s="108">
        <v>0.5600731372833252</v>
      </c>
      <c r="AG101" s="108">
        <v>0.46231430768966675</v>
      </c>
      <c r="AH101" s="108">
        <v>0.37343087792396545</v>
      </c>
      <c r="AI101" s="108">
        <v>0.36002296209335327</v>
      </c>
      <c r="AJ101" s="108">
        <v>0.4197966456413269</v>
      </c>
      <c r="AK101" s="108">
        <v>0.36795362830162048</v>
      </c>
      <c r="AL101" s="108">
        <v>0.5654563307762146</v>
      </c>
      <c r="AM101" s="108">
        <v>0.56390249729156494</v>
      </c>
      <c r="AN101" s="108">
        <v>0.5448378324508667</v>
      </c>
      <c r="AO101" s="108">
        <v>0.39677625894546509</v>
      </c>
      <c r="AP101" s="108">
        <v>0.33378380537033081</v>
      </c>
      <c r="AQ101" s="108">
        <v>0.33983993530273438</v>
      </c>
      <c r="AR101" s="108">
        <v>0.39252603054046631</v>
      </c>
      <c r="AS101" s="108">
        <v>0.40459224581718445</v>
      </c>
      <c r="AT101" s="108">
        <v>0.30426764488220215</v>
      </c>
      <c r="AU101" s="108">
        <v>0.36652117967605591</v>
      </c>
      <c r="AV101" s="108">
        <v>0.66618728637695313</v>
      </c>
      <c r="AW101" s="108">
        <v>0.45796290040016174</v>
      </c>
      <c r="AX101" s="108">
        <v>0.40353184938430786</v>
      </c>
      <c r="AY101" s="108">
        <v>0.45041882991790771</v>
      </c>
      <c r="AZ101" s="108">
        <v>0.31538873910903931</v>
      </c>
      <c r="BA101" s="108">
        <v>0.45273253321647644</v>
      </c>
      <c r="BB101" s="108">
        <v>0.30170953273773193</v>
      </c>
      <c r="BC101" s="108">
        <v>0.44039785861968994</v>
      </c>
      <c r="BD101" s="108">
        <v>0.48852783441543579</v>
      </c>
      <c r="BE101" s="108">
        <v>0.36277037858963013</v>
      </c>
      <c r="BF101" s="108">
        <v>0.50841665267944336</v>
      </c>
      <c r="BG101" s="108">
        <v>0.40804651379585266</v>
      </c>
      <c r="BH101" s="108">
        <v>0.43038254976272583</v>
      </c>
      <c r="BI101" s="108">
        <v>0.50482344627380371</v>
      </c>
      <c r="BJ101" s="108">
        <v>0.4682672917842865</v>
      </c>
      <c r="BK101" s="108">
        <v>0.54502636194229126</v>
      </c>
      <c r="BL101" s="108">
        <v>0.4360852837562561</v>
      </c>
    </row>
    <row r="102" spans="1:64" x14ac:dyDescent="0.2">
      <c r="A102" t="s">
        <v>231</v>
      </c>
      <c r="B102" s="108">
        <v>0.34019634127616882</v>
      </c>
      <c r="C102" s="108">
        <v>0.31725892424583435</v>
      </c>
      <c r="D102" s="108">
        <v>0.31542125344276428</v>
      </c>
      <c r="E102" s="108">
        <v>0.38556975126266479</v>
      </c>
      <c r="F102" s="108">
        <v>0.37403756380081177</v>
      </c>
      <c r="G102" s="108">
        <v>0.39094477891921997</v>
      </c>
      <c r="H102" s="108">
        <v>0.36499345302581787</v>
      </c>
      <c r="I102" s="108">
        <v>0.29107442498207092</v>
      </c>
      <c r="J102" s="108">
        <v>0.32012417912483215</v>
      </c>
      <c r="K102" s="108">
        <v>0.42606613039970398</v>
      </c>
      <c r="L102" s="108">
        <v>0.27946609258651733</v>
      </c>
      <c r="M102" s="108">
        <v>0.39289823174476624</v>
      </c>
      <c r="N102" s="108">
        <v>0.33538484573364258</v>
      </c>
      <c r="O102" s="108">
        <v>0.35346230864524841</v>
      </c>
      <c r="P102" s="109"/>
      <c r="Q102" s="108">
        <v>0.35094395279884338</v>
      </c>
      <c r="R102" s="108">
        <v>0.25822407007217407</v>
      </c>
      <c r="S102" s="109"/>
      <c r="T102" s="108">
        <v>0.25894588232040405</v>
      </c>
      <c r="U102" s="108">
        <v>0.34540298581123352</v>
      </c>
      <c r="V102" s="108">
        <v>0.39805701375007629</v>
      </c>
      <c r="W102" s="108">
        <v>0.32790854573249817</v>
      </c>
      <c r="X102" s="108">
        <v>0.26957538723945618</v>
      </c>
      <c r="Y102" s="108">
        <v>0.32642066478729248</v>
      </c>
      <c r="Z102" s="108">
        <v>0.31944456696510315</v>
      </c>
      <c r="AA102" s="108">
        <v>0.3726533055305481</v>
      </c>
      <c r="AB102" s="108">
        <v>0.28101447224617004</v>
      </c>
      <c r="AC102" s="108">
        <v>0.40887859463691711</v>
      </c>
      <c r="AD102" s="108">
        <v>0.23236106336116791</v>
      </c>
      <c r="AE102" s="108">
        <v>0.18032674491405487</v>
      </c>
      <c r="AF102" s="108">
        <v>0.28686907887458801</v>
      </c>
      <c r="AG102" s="108">
        <v>0.28847584128379822</v>
      </c>
      <c r="AH102" s="108">
        <v>0.18223181366920471</v>
      </c>
      <c r="AI102" s="108">
        <v>0.30840715765953064</v>
      </c>
      <c r="AJ102" s="108">
        <v>0.18924908339977264</v>
      </c>
      <c r="AK102" s="108">
        <v>0.2248789370059967</v>
      </c>
      <c r="AL102" s="108">
        <v>0.27674293518066406</v>
      </c>
      <c r="AM102" s="108">
        <v>0.28705817461013794</v>
      </c>
      <c r="AN102" s="108">
        <v>0.31521844863891602</v>
      </c>
      <c r="AO102" s="108">
        <v>0.24050714075565338</v>
      </c>
      <c r="AP102" s="108">
        <v>0.22153724730014801</v>
      </c>
      <c r="AQ102" s="108">
        <v>0.27291774749755859</v>
      </c>
      <c r="AR102" s="108">
        <v>0.27278193831443787</v>
      </c>
      <c r="AS102" s="108">
        <v>0.24620276689529419</v>
      </c>
      <c r="AT102" s="108">
        <v>0.28353479504585266</v>
      </c>
      <c r="AU102" s="108">
        <v>0.18313729763031006</v>
      </c>
      <c r="AV102" s="108">
        <v>0.3503284752368927</v>
      </c>
      <c r="AW102" s="108">
        <v>0.25838044285774231</v>
      </c>
      <c r="AX102" s="108">
        <v>0.28439450263977051</v>
      </c>
      <c r="AY102" s="108">
        <v>0.24314211308956146</v>
      </c>
      <c r="AZ102" s="108">
        <v>0.26631978154182434</v>
      </c>
      <c r="BA102" s="108">
        <v>0.16969411075115204</v>
      </c>
      <c r="BB102" s="108">
        <v>0.21874569356441498</v>
      </c>
      <c r="BC102" s="108">
        <v>0.19428722560405731</v>
      </c>
      <c r="BD102" s="108">
        <v>0.2721656858921051</v>
      </c>
      <c r="BE102" s="108">
        <v>0.24660462141036987</v>
      </c>
      <c r="BF102" s="108">
        <v>0.15247620642185211</v>
      </c>
      <c r="BG102" s="108">
        <v>0.18768879771232605</v>
      </c>
      <c r="BH102" s="108">
        <v>0.2010820209980011</v>
      </c>
      <c r="BI102" s="108">
        <v>0.18086747825145721</v>
      </c>
      <c r="BJ102" s="108">
        <v>0.19575899839401245</v>
      </c>
      <c r="BK102" s="108">
        <v>0.28911975026130676</v>
      </c>
      <c r="BL102" s="108">
        <v>0.151466965675354</v>
      </c>
    </row>
    <row r="103" spans="1:64" x14ac:dyDescent="0.2">
      <c r="A103" t="s">
        <v>233</v>
      </c>
      <c r="B103" s="108">
        <v>0.16240237653255463</v>
      </c>
      <c r="C103" s="108">
        <v>0.23425203561782837</v>
      </c>
      <c r="D103" s="108">
        <v>0.21899761259555817</v>
      </c>
      <c r="E103" s="108">
        <v>0.2023918479681015</v>
      </c>
      <c r="F103" s="108">
        <v>0.1727173924446106</v>
      </c>
      <c r="G103" s="108">
        <v>0.25945934653282166</v>
      </c>
      <c r="H103" s="108">
        <v>0.25339800119400024</v>
      </c>
      <c r="I103" s="108">
        <v>0.19166167080402374</v>
      </c>
      <c r="J103" s="108">
        <v>0.234375</v>
      </c>
      <c r="K103" s="108">
        <v>0.2938709557056427</v>
      </c>
      <c r="L103" s="108">
        <v>0.14999055862426758</v>
      </c>
      <c r="M103" s="108">
        <v>0.14334040880203247</v>
      </c>
      <c r="N103" s="108">
        <v>0.25442132353782654</v>
      </c>
      <c r="O103" s="108">
        <v>0.17192955315113068</v>
      </c>
      <c r="P103" s="109"/>
      <c r="Q103" s="108">
        <v>0.17929768562316895</v>
      </c>
      <c r="R103" s="108">
        <v>0.16526271402835846</v>
      </c>
      <c r="S103" s="109"/>
      <c r="T103" s="108">
        <v>0.20879831910133362</v>
      </c>
      <c r="U103" s="108">
        <v>0.20651456713676453</v>
      </c>
      <c r="V103" s="108">
        <v>0.20675210654735565</v>
      </c>
      <c r="W103" s="108">
        <v>0.17756088078022003</v>
      </c>
      <c r="X103" s="108">
        <v>0.22240625321865082</v>
      </c>
      <c r="Y103" s="108">
        <v>0.20816107094287872</v>
      </c>
      <c r="Z103" s="108">
        <v>0.17116774618625641</v>
      </c>
      <c r="AA103" s="108">
        <v>0.22108884155750275</v>
      </c>
      <c r="AB103" s="108">
        <v>0.2533644437789917</v>
      </c>
      <c r="AC103" s="108">
        <v>0.23174642026424408</v>
      </c>
      <c r="AD103" s="108">
        <v>0.24509942531585693</v>
      </c>
      <c r="AE103" s="108">
        <v>0.21541216969490051</v>
      </c>
      <c r="AF103" s="108">
        <v>0.19010730087757111</v>
      </c>
      <c r="AG103" s="108">
        <v>0.18457785248756409</v>
      </c>
      <c r="AH103" s="108">
        <v>0.21582287549972534</v>
      </c>
      <c r="AI103" s="108">
        <v>0.19310203194618225</v>
      </c>
      <c r="AJ103" s="108">
        <v>0.16559521853923798</v>
      </c>
      <c r="AK103" s="108">
        <v>0.18106842041015625</v>
      </c>
      <c r="AL103" s="108">
        <v>0.21227510273456573</v>
      </c>
      <c r="AM103" s="108">
        <v>0.2649846076965332</v>
      </c>
      <c r="AN103" s="108">
        <v>0.21580666303634644</v>
      </c>
      <c r="AO103" s="108">
        <v>0.24432338774204254</v>
      </c>
      <c r="AP103" s="108">
        <v>0.13783775269985199</v>
      </c>
      <c r="AQ103" s="108">
        <v>0.23036700487136841</v>
      </c>
      <c r="AR103" s="108">
        <v>0.20184047520160675</v>
      </c>
      <c r="AS103" s="108">
        <v>0.22966635227203369</v>
      </c>
      <c r="AT103" s="108">
        <v>0.34334978461265564</v>
      </c>
      <c r="AU103" s="108">
        <v>0.19511817395687103</v>
      </c>
      <c r="AV103" s="108">
        <v>0.18611851334571838</v>
      </c>
      <c r="AW103" s="108">
        <v>0.22654558718204498</v>
      </c>
      <c r="AX103" s="108">
        <v>0.19189064204692841</v>
      </c>
      <c r="AY103" s="108">
        <v>0.14089569449424744</v>
      </c>
      <c r="AZ103" s="108">
        <v>0.25208312273025513</v>
      </c>
      <c r="BA103" s="108">
        <v>0.2453513890504837</v>
      </c>
      <c r="BB103" s="108">
        <v>0.19840981066226959</v>
      </c>
      <c r="BC103" s="108">
        <v>0.28124520182609558</v>
      </c>
      <c r="BD103" s="108">
        <v>0.2397548109292984</v>
      </c>
      <c r="BE103" s="108">
        <v>0.30426308512687683</v>
      </c>
      <c r="BF103" s="108">
        <v>0.30990415811538696</v>
      </c>
      <c r="BG103" s="108">
        <v>0.27162668108940125</v>
      </c>
      <c r="BH103" s="108">
        <v>0.23634423315525055</v>
      </c>
      <c r="BI103" s="108">
        <v>0.26607686281204224</v>
      </c>
      <c r="BJ103" s="108">
        <v>0.36701741814613342</v>
      </c>
      <c r="BK103" s="108">
        <v>0.30129963159561157</v>
      </c>
      <c r="BL103" s="108">
        <v>0.30220827460289001</v>
      </c>
    </row>
    <row r="104" spans="1:64" x14ac:dyDescent="0.2">
      <c r="A104" t="s">
        <v>243</v>
      </c>
      <c r="B104" s="108">
        <v>1.7879573106765747</v>
      </c>
      <c r="C104" s="108">
        <v>1.1157357692718506</v>
      </c>
      <c r="D104" s="108">
        <v>1.0124801397323608</v>
      </c>
      <c r="E104" s="108">
        <v>1.3654764890670776</v>
      </c>
      <c r="F104" s="108">
        <v>1.5880075693130493</v>
      </c>
      <c r="G104" s="108">
        <v>1.0703139305114746</v>
      </c>
      <c r="H104" s="108">
        <v>0.9397733211517334</v>
      </c>
      <c r="I104" s="108">
        <v>1.0303878784179688</v>
      </c>
      <c r="J104" s="108">
        <v>1.074975848197937</v>
      </c>
      <c r="K104" s="108">
        <v>1.2197196483612061</v>
      </c>
      <c r="L104" s="108">
        <v>1.2421143054962158</v>
      </c>
      <c r="M104" s="108">
        <v>1.396701455116272</v>
      </c>
      <c r="N104" s="108">
        <v>1.3798987865447998</v>
      </c>
      <c r="O104" s="108">
        <v>2.9512434005737305</v>
      </c>
      <c r="P104" s="109"/>
      <c r="Q104" s="108">
        <v>1.7141237258911133</v>
      </c>
      <c r="R104" s="108">
        <v>1.8243987560272217</v>
      </c>
      <c r="S104" s="109"/>
      <c r="T104" s="108">
        <v>1.4682763814926147</v>
      </c>
      <c r="U104" s="108">
        <v>1.6155096292495728</v>
      </c>
      <c r="V104" s="108">
        <v>1.7261819839477539</v>
      </c>
      <c r="W104" s="108">
        <v>1.5797004699707031</v>
      </c>
      <c r="X104" s="108">
        <v>1.8336093425750732</v>
      </c>
      <c r="Y104" s="108">
        <v>2.0431034564971924</v>
      </c>
      <c r="Z104" s="108">
        <v>1.8663840293884277</v>
      </c>
      <c r="AA104" s="108">
        <v>1.8797619342803955</v>
      </c>
      <c r="AB104" s="108">
        <v>1.3770642280578613</v>
      </c>
      <c r="AC104" s="108">
        <v>1.5067179203033447</v>
      </c>
      <c r="AD104" s="108">
        <v>0.96987408399581909</v>
      </c>
      <c r="AE104" s="108">
        <v>1.1518479585647583</v>
      </c>
      <c r="AF104" s="108">
        <v>1.658807635307312</v>
      </c>
      <c r="AG104" s="108">
        <v>1.6867215633392334</v>
      </c>
      <c r="AH104" s="108">
        <v>1.5171722173690796</v>
      </c>
      <c r="AI104" s="108">
        <v>1.7754265069961548</v>
      </c>
      <c r="AJ104" s="108">
        <v>1.2734874486923218</v>
      </c>
      <c r="AK104" s="108">
        <v>1.2984167337417603</v>
      </c>
      <c r="AL104" s="108">
        <v>2.078125</v>
      </c>
      <c r="AM104" s="108">
        <v>2.2910223007202148</v>
      </c>
      <c r="AN104" s="108">
        <v>1.8310748338699341</v>
      </c>
      <c r="AO104" s="108">
        <v>1.1860156059265137</v>
      </c>
      <c r="AP104" s="108">
        <v>1.4236481189727783</v>
      </c>
      <c r="AQ104" s="108">
        <v>1.5409461259841919</v>
      </c>
      <c r="AR104" s="108">
        <v>1.0754822492599487</v>
      </c>
      <c r="AS104" s="108">
        <v>1.4384627342224121</v>
      </c>
      <c r="AT104" s="108">
        <v>1.4785199165344238</v>
      </c>
      <c r="AU104" s="108">
        <v>1.5656024217605591</v>
      </c>
      <c r="AV104" s="108">
        <v>2.9020771980285645</v>
      </c>
      <c r="AW104" s="108">
        <v>1.5343849658966064</v>
      </c>
      <c r="AX104" s="108">
        <v>1.708082914352417</v>
      </c>
      <c r="AY104" s="108">
        <v>1.4879393577575684</v>
      </c>
      <c r="AZ104" s="108">
        <v>1.1480671167373657</v>
      </c>
      <c r="BA104" s="108">
        <v>1.4134829044342041</v>
      </c>
      <c r="BB104" s="108">
        <v>1.5162222385406494</v>
      </c>
      <c r="BC104" s="108">
        <v>0.88819426298141479</v>
      </c>
      <c r="BD104" s="108">
        <v>1.3213672637939453</v>
      </c>
      <c r="BE104" s="108">
        <v>1.5331991910934448</v>
      </c>
      <c r="BF104" s="108">
        <v>1.2529687881469727</v>
      </c>
      <c r="BG104" s="108">
        <v>0.79340201616287231</v>
      </c>
      <c r="BH104" s="108">
        <v>1.3248336315155029</v>
      </c>
      <c r="BI104" s="108">
        <v>1.6768503189086914</v>
      </c>
      <c r="BJ104" s="108">
        <v>1.7440230846405029</v>
      </c>
      <c r="BK104" s="108">
        <v>1.5354623794555664</v>
      </c>
      <c r="BL104" s="108">
        <v>1.3043853044509888</v>
      </c>
    </row>
    <row r="105" spans="1:64" x14ac:dyDescent="0.2">
      <c r="A105" t="s">
        <v>252</v>
      </c>
      <c r="B105" s="108">
        <v>29282.158203125</v>
      </c>
      <c r="C105" s="108">
        <v>21065.083984375</v>
      </c>
      <c r="D105" s="108">
        <v>29353.646484375</v>
      </c>
      <c r="E105" s="108">
        <v>35712.82421875</v>
      </c>
      <c r="F105" s="108">
        <v>30436.65625</v>
      </c>
      <c r="G105" s="108">
        <v>28735.919921875</v>
      </c>
      <c r="H105" s="108">
        <v>24894.958984375</v>
      </c>
      <c r="I105" s="108">
        <v>28136.39453125</v>
      </c>
      <c r="J105" s="108">
        <v>30289.076171875</v>
      </c>
      <c r="K105" s="108">
        <v>30430.15625</v>
      </c>
      <c r="L105" s="108">
        <v>27664.6640625</v>
      </c>
      <c r="M105" s="108">
        <v>34603.1015625</v>
      </c>
      <c r="N105" s="108">
        <v>33213.6171875</v>
      </c>
      <c r="O105" s="108">
        <v>35520.78515625</v>
      </c>
      <c r="P105" s="109"/>
      <c r="Q105" s="108">
        <v>33948.05078125</v>
      </c>
      <c r="R105" s="108">
        <v>31236.595703125</v>
      </c>
      <c r="S105" s="109"/>
      <c r="T105" s="108">
        <v>26604.96875</v>
      </c>
      <c r="U105" s="108">
        <v>30387.23046875</v>
      </c>
      <c r="V105" s="108">
        <v>29305.447265625</v>
      </c>
      <c r="W105" s="108">
        <v>43008.98828125</v>
      </c>
      <c r="X105" s="108">
        <v>29823.171875</v>
      </c>
      <c r="Y105" s="108">
        <v>26187.62109375</v>
      </c>
      <c r="Z105" s="108">
        <v>32138.37890625</v>
      </c>
      <c r="AA105" s="108">
        <v>33421.65234375</v>
      </c>
      <c r="AB105" s="108">
        <v>32375.818359375</v>
      </c>
      <c r="AC105" s="108">
        <v>20271.990234375</v>
      </c>
      <c r="AD105" s="108">
        <v>35334.28125</v>
      </c>
      <c r="AE105" s="108">
        <v>31538.96484375</v>
      </c>
      <c r="AF105" s="108">
        <v>40747.80078125</v>
      </c>
      <c r="AG105" s="108">
        <v>38031.55859375</v>
      </c>
      <c r="AH105" s="108">
        <v>35056.58203125</v>
      </c>
      <c r="AI105" s="108">
        <v>26826.724609375</v>
      </c>
      <c r="AJ105" s="108">
        <v>29896.8203125</v>
      </c>
      <c r="AK105" s="108">
        <v>32075.642578125</v>
      </c>
      <c r="AL105" s="108">
        <v>27751.234375</v>
      </c>
      <c r="AM105" s="108">
        <v>27778.4140625</v>
      </c>
      <c r="AN105" s="108">
        <v>36270.4609375</v>
      </c>
      <c r="AO105" s="108">
        <v>23330.4296875</v>
      </c>
      <c r="AP105" s="108">
        <v>27710.556640625</v>
      </c>
      <c r="AQ105" s="108">
        <v>27289.54296875</v>
      </c>
      <c r="AR105" s="108">
        <v>28958.49609375</v>
      </c>
      <c r="AS105" s="108">
        <v>26072.025390625</v>
      </c>
      <c r="AT105" s="108">
        <v>34942.01953125</v>
      </c>
      <c r="AU105" s="108">
        <v>34526.8671875</v>
      </c>
      <c r="AV105" s="108">
        <v>30701.337890625</v>
      </c>
      <c r="AW105" s="108">
        <v>33323.046875</v>
      </c>
      <c r="AX105" s="108">
        <v>33962.80859375</v>
      </c>
      <c r="AY105" s="108">
        <v>24891.3984375</v>
      </c>
      <c r="AZ105" s="108">
        <v>26905.55859375</v>
      </c>
      <c r="BA105" s="108">
        <v>30421.263671875</v>
      </c>
      <c r="BB105" s="108">
        <v>33805.1875</v>
      </c>
      <c r="BC105" s="108">
        <v>29137.150390625</v>
      </c>
      <c r="BD105" s="108">
        <v>36037.75390625</v>
      </c>
      <c r="BE105" s="108">
        <v>29452.30078125</v>
      </c>
      <c r="BF105" s="108">
        <v>30765.48046875</v>
      </c>
      <c r="BG105" s="108">
        <v>34132.51953125</v>
      </c>
      <c r="BH105" s="108">
        <v>31833.90625</v>
      </c>
      <c r="BI105" s="108">
        <v>33598.37109375</v>
      </c>
      <c r="BJ105" s="108">
        <v>36333.55859375</v>
      </c>
      <c r="BK105" s="108">
        <v>29821.693359375</v>
      </c>
      <c r="BL105" s="108">
        <v>33726.265625</v>
      </c>
    </row>
    <row r="106" spans="1:64" x14ac:dyDescent="0.2">
      <c r="A106" t="s">
        <v>527</v>
      </c>
      <c r="B106" s="108">
        <v>2.1664895117282867E-2</v>
      </c>
      <c r="C106" s="108">
        <v>0</v>
      </c>
      <c r="D106" s="108">
        <v>0</v>
      </c>
      <c r="E106" s="108">
        <v>9.8304137587547302E-2</v>
      </c>
      <c r="F106" s="108">
        <v>0</v>
      </c>
      <c r="G106" s="108">
        <v>0</v>
      </c>
      <c r="H106" s="108">
        <v>0.3001897931098938</v>
      </c>
      <c r="I106" s="108">
        <v>8.7206512689590454E-2</v>
      </c>
      <c r="J106" s="108">
        <v>0</v>
      </c>
      <c r="K106" s="108">
        <v>0</v>
      </c>
      <c r="L106" s="108">
        <v>0.27007436752319336</v>
      </c>
      <c r="M106" s="108">
        <v>0</v>
      </c>
      <c r="N106" s="108">
        <v>0</v>
      </c>
      <c r="O106" s="108">
        <v>1</v>
      </c>
      <c r="P106" s="109"/>
      <c r="Q106" s="108">
        <v>0</v>
      </c>
      <c r="R106" s="108">
        <v>0</v>
      </c>
      <c r="S106" s="109"/>
      <c r="T106" s="108">
        <v>0</v>
      </c>
      <c r="U106" s="108">
        <v>0</v>
      </c>
      <c r="V106" s="108">
        <v>0</v>
      </c>
      <c r="W106" s="108">
        <v>0</v>
      </c>
      <c r="X106" s="108">
        <v>0</v>
      </c>
      <c r="Y106" s="108">
        <v>0</v>
      </c>
      <c r="Z106" s="108">
        <v>0</v>
      </c>
      <c r="AA106" s="108">
        <v>0.21675676107406616</v>
      </c>
      <c r="AB106" s="108">
        <v>0</v>
      </c>
      <c r="AC106" s="108">
        <v>0</v>
      </c>
      <c r="AD106" s="108">
        <v>0</v>
      </c>
      <c r="AE106" s="108">
        <v>0</v>
      </c>
      <c r="AF106" s="108">
        <v>0</v>
      </c>
      <c r="AG106" s="108">
        <v>0</v>
      </c>
      <c r="AH106" s="108">
        <v>0</v>
      </c>
      <c r="AI106" s="108">
        <v>0</v>
      </c>
      <c r="AJ106" s="108">
        <v>0</v>
      </c>
      <c r="AK106" s="108">
        <v>0</v>
      </c>
      <c r="AL106" s="108">
        <v>0</v>
      </c>
      <c r="AM106" s="108">
        <v>0</v>
      </c>
      <c r="AN106" s="108">
        <v>0</v>
      </c>
      <c r="AO106" s="108">
        <v>0</v>
      </c>
      <c r="AP106" s="108">
        <v>0.17244124412536621</v>
      </c>
      <c r="AQ106" s="108">
        <v>0.13390825688838959</v>
      </c>
      <c r="AR106" s="108">
        <v>0</v>
      </c>
      <c r="AS106" s="108">
        <v>0</v>
      </c>
      <c r="AT106" s="108">
        <v>0</v>
      </c>
      <c r="AU106" s="108">
        <v>0</v>
      </c>
      <c r="AV106" s="108">
        <v>0</v>
      </c>
      <c r="AW106" s="108">
        <v>7.561115175485611E-2</v>
      </c>
      <c r="AX106" s="108">
        <v>0</v>
      </c>
      <c r="AY106" s="108">
        <v>0</v>
      </c>
      <c r="AZ106" s="108">
        <v>0</v>
      </c>
      <c r="BA106" s="108">
        <v>0</v>
      </c>
      <c r="BB106" s="108">
        <v>0</v>
      </c>
      <c r="BC106" s="108">
        <v>0</v>
      </c>
      <c r="BD106" s="108">
        <v>0.38711050152778625</v>
      </c>
      <c r="BE106" s="108">
        <v>0</v>
      </c>
      <c r="BF106" s="108">
        <v>0</v>
      </c>
      <c r="BG106" s="108">
        <v>0</v>
      </c>
      <c r="BH106" s="108">
        <v>0</v>
      </c>
      <c r="BI106" s="108">
        <v>0</v>
      </c>
      <c r="BJ106" s="108">
        <v>0</v>
      </c>
      <c r="BK106" s="108"/>
      <c r="BL106" s="108"/>
    </row>
    <row r="107" spans="1:64" x14ac:dyDescent="0.2">
      <c r="A107" t="s">
        <v>528</v>
      </c>
      <c r="B107" s="108">
        <v>0.50272434949874878</v>
      </c>
      <c r="C107" s="108">
        <v>0.37305721640586853</v>
      </c>
      <c r="D107" s="108">
        <v>0.58054697513580322</v>
      </c>
      <c r="E107" s="108">
        <v>0.36936527490615845</v>
      </c>
      <c r="F107" s="108">
        <v>0.42935463786125183</v>
      </c>
      <c r="G107" s="108">
        <v>0.67136090993881226</v>
      </c>
      <c r="H107" s="108">
        <v>0.15501955151557922</v>
      </c>
      <c r="I107" s="108">
        <v>0.20899952948093414</v>
      </c>
      <c r="J107" s="108">
        <v>0.72820240259170532</v>
      </c>
      <c r="K107" s="108">
        <v>0.36197265982627869</v>
      </c>
      <c r="L107" s="108">
        <v>0.4582374095916748</v>
      </c>
      <c r="M107" s="108">
        <v>0.4977487325668335</v>
      </c>
      <c r="N107" s="108">
        <v>0.53935897350311279</v>
      </c>
      <c r="O107" s="108">
        <v>0.45659822225570679</v>
      </c>
      <c r="P107" s="109"/>
      <c r="Q107" s="108">
        <v>0.68222337961196899</v>
      </c>
      <c r="R107" s="108">
        <v>0.50262326002120972</v>
      </c>
      <c r="S107" s="109"/>
      <c r="T107" s="108">
        <v>0.5097317099571228</v>
      </c>
      <c r="U107" s="108">
        <v>0.35138723254203796</v>
      </c>
      <c r="V107" s="108">
        <v>0.25328055024147034</v>
      </c>
      <c r="W107" s="108">
        <v>0.27594444155693054</v>
      </c>
      <c r="X107" s="108">
        <v>0.28855052590370178</v>
      </c>
      <c r="Y107" s="108">
        <v>0.25438413023948669</v>
      </c>
      <c r="Z107" s="108">
        <v>0.40046724677085876</v>
      </c>
      <c r="AA107" s="108">
        <v>0.30980682373046875</v>
      </c>
      <c r="AB107" s="108">
        <v>0.42317688465118408</v>
      </c>
      <c r="AC107" s="108">
        <v>0.38453838229179382</v>
      </c>
      <c r="AD107" s="108">
        <v>0.66436392068862915</v>
      </c>
      <c r="AE107" s="108">
        <v>0.69011896848678589</v>
      </c>
      <c r="AF107" s="108">
        <v>0.46186333894729614</v>
      </c>
      <c r="AG107" s="108">
        <v>0.64221596717834473</v>
      </c>
      <c r="AH107" s="108">
        <v>0.55869990587234497</v>
      </c>
      <c r="AI107" s="108">
        <v>0.3663230836391449</v>
      </c>
      <c r="AJ107" s="108">
        <v>0.55028229951858521</v>
      </c>
      <c r="AK107" s="108">
        <v>0.28485766053199768</v>
      </c>
      <c r="AL107" s="108">
        <v>0.33250764012336731</v>
      </c>
      <c r="AM107" s="108">
        <v>0.26272016763687134</v>
      </c>
      <c r="AN107" s="108">
        <v>0.27836358547210693</v>
      </c>
      <c r="AO107" s="108">
        <v>0.47409719228744507</v>
      </c>
      <c r="AP107" s="108">
        <v>0.43787017464637756</v>
      </c>
      <c r="AQ107" s="108">
        <v>0.84091228246688843</v>
      </c>
      <c r="AR107" s="108">
        <v>0.32931378483772278</v>
      </c>
      <c r="AS107" s="108">
        <v>0.50159043073654175</v>
      </c>
      <c r="AT107" s="108">
        <v>0.61109548807144165</v>
      </c>
      <c r="AU107" s="108">
        <v>0.39814296364784241</v>
      </c>
      <c r="AV107" s="108">
        <v>0.42261281609535217</v>
      </c>
      <c r="AW107" s="108">
        <v>0.46181750297546387</v>
      </c>
      <c r="AX107" s="108">
        <v>0.57494384050369263</v>
      </c>
      <c r="AY107" s="108">
        <v>0.50237780809402466</v>
      </c>
      <c r="AZ107" s="108">
        <v>0.38283523917198181</v>
      </c>
      <c r="BA107" s="108">
        <v>0.47088390588760376</v>
      </c>
      <c r="BB107" s="108">
        <v>0.64650392532348633</v>
      </c>
      <c r="BC107" s="108">
        <v>0.33837714791297913</v>
      </c>
      <c r="BD107" s="108">
        <v>0.23473115265369415</v>
      </c>
      <c r="BE107" s="108">
        <v>0.31958940625190735</v>
      </c>
      <c r="BF107" s="108">
        <v>0.45806166529655457</v>
      </c>
      <c r="BG107" s="108">
        <v>0.6064574122428894</v>
      </c>
      <c r="BH107" s="108">
        <v>0.62410265207290649</v>
      </c>
      <c r="BI107" s="108">
        <v>0.37116345763206482</v>
      </c>
      <c r="BJ107" s="108">
        <v>0.32956001162528992</v>
      </c>
      <c r="BK107" s="108">
        <v>0.30389821529388428</v>
      </c>
      <c r="BL107" s="108">
        <v>0.66572070121765137</v>
      </c>
    </row>
    <row r="108" spans="1:64" x14ac:dyDescent="0.2">
      <c r="A108" t="s">
        <v>529</v>
      </c>
      <c r="B108" s="108">
        <v>0.5302245020866394</v>
      </c>
      <c r="C108" s="108">
        <v>0.39818075299263</v>
      </c>
      <c r="D108" s="108">
        <v>0.44487133622169495</v>
      </c>
      <c r="E108" s="108">
        <v>0.66319423913955688</v>
      </c>
      <c r="F108" s="108">
        <v>0.46621042490005493</v>
      </c>
      <c r="G108" s="108">
        <v>0.78320503234863281</v>
      </c>
      <c r="H108" s="108">
        <v>0.57999056577682495</v>
      </c>
      <c r="I108" s="108">
        <v>0.63973355293273926</v>
      </c>
      <c r="J108" s="108">
        <v>0.85260307788848877</v>
      </c>
      <c r="K108" s="108">
        <v>0.57860845327377319</v>
      </c>
      <c r="L108" s="108">
        <v>0.60145735740661621</v>
      </c>
      <c r="M108" s="108">
        <v>0.80436617136001587</v>
      </c>
      <c r="N108" s="108">
        <v>0.90256065130233765</v>
      </c>
      <c r="O108" s="108">
        <v>0.79301506280899048</v>
      </c>
      <c r="P108" s="109"/>
      <c r="Q108" s="108">
        <v>0.55167990922927856</v>
      </c>
      <c r="R108" s="108">
        <v>0.49220070242881775</v>
      </c>
      <c r="S108" s="109"/>
      <c r="T108" s="108">
        <v>0.58603155612945557</v>
      </c>
      <c r="U108" s="108">
        <v>0.56229245662689209</v>
      </c>
      <c r="V108" s="108">
        <v>0.47882235050201416</v>
      </c>
      <c r="W108" s="108">
        <v>0.47780406475067139</v>
      </c>
      <c r="X108" s="108">
        <v>0.46185436844825745</v>
      </c>
      <c r="Y108" s="108">
        <v>0.39780676364898682</v>
      </c>
      <c r="Z108" s="108">
        <v>0.51148474216461182</v>
      </c>
      <c r="AA108" s="108">
        <v>0.48502692580223083</v>
      </c>
      <c r="AB108" s="108">
        <v>0.52559036016464233</v>
      </c>
      <c r="AC108" s="108">
        <v>0.48460748791694641</v>
      </c>
      <c r="AD108" s="108">
        <v>0.78279018402099609</v>
      </c>
      <c r="AE108" s="108">
        <v>0.40205740928649902</v>
      </c>
      <c r="AF108" s="108">
        <v>0.29803341627120972</v>
      </c>
      <c r="AG108" s="108">
        <v>0.43327748775482178</v>
      </c>
      <c r="AH108" s="108">
        <v>0.39315375685691833</v>
      </c>
      <c r="AI108" s="108">
        <v>0.45655238628387451</v>
      </c>
      <c r="AJ108" s="108">
        <v>0.37473073601722717</v>
      </c>
      <c r="AK108" s="108">
        <v>0.2314714789390564</v>
      </c>
      <c r="AL108" s="108">
        <v>0.35347160696983337</v>
      </c>
      <c r="AM108" s="108">
        <v>0.36005264520645142</v>
      </c>
      <c r="AN108" s="108">
        <v>0.41165843605995178</v>
      </c>
      <c r="AO108" s="108">
        <v>0.40702161192893982</v>
      </c>
      <c r="AP108" s="108">
        <v>0.49609819054603577</v>
      </c>
      <c r="AQ108" s="108">
        <v>0.41170260310173035</v>
      </c>
      <c r="AR108" s="108">
        <v>0.33885020017623901</v>
      </c>
      <c r="AS108" s="108">
        <v>0.61562395095825195</v>
      </c>
      <c r="AT108" s="108">
        <v>0.40017986297607422</v>
      </c>
      <c r="AU108" s="108">
        <v>0.54339122772216797</v>
      </c>
      <c r="AV108" s="108">
        <v>0.30498969554901123</v>
      </c>
      <c r="AW108" s="108">
        <v>0.48741647601127625</v>
      </c>
      <c r="AX108" s="108">
        <v>0.36876434087753296</v>
      </c>
      <c r="AY108" s="108">
        <v>0.25658160448074341</v>
      </c>
      <c r="AZ108" s="108">
        <v>0.57427459955215454</v>
      </c>
      <c r="BA108" s="108">
        <v>0.41110730171203613</v>
      </c>
      <c r="BB108" s="108">
        <v>0.2321641594171524</v>
      </c>
      <c r="BC108" s="108">
        <v>0.33046439290046692</v>
      </c>
      <c r="BD108" s="108">
        <v>0.34796106815338135</v>
      </c>
      <c r="BE108" s="108">
        <v>0.43254399299621582</v>
      </c>
      <c r="BF108" s="108">
        <v>0.42157390713691711</v>
      </c>
      <c r="BG108" s="108">
        <v>0.36847448348999023</v>
      </c>
      <c r="BH108" s="108">
        <v>0.52188175916671753</v>
      </c>
      <c r="BI108" s="108">
        <v>0.45854669809341431</v>
      </c>
      <c r="BJ108" s="108">
        <v>0.38418292999267578</v>
      </c>
      <c r="BK108" s="108">
        <v>0.36165201663970947</v>
      </c>
      <c r="BL108" s="108">
        <v>0.34678950905799866</v>
      </c>
    </row>
    <row r="109" spans="1:64" x14ac:dyDescent="0.2">
      <c r="A109" s="104" t="s">
        <v>261</v>
      </c>
      <c r="B109" s="110">
        <v>7.3100886344909668</v>
      </c>
      <c r="C109" s="110">
        <v>7.1843667030334473</v>
      </c>
      <c r="D109" s="110">
        <v>7.0613975524902344</v>
      </c>
      <c r="E109" s="110">
        <v>7.3774452209472656</v>
      </c>
      <c r="F109" s="110">
        <v>7.1355791091918945</v>
      </c>
      <c r="G109" s="110">
        <v>7.2720203399658203</v>
      </c>
      <c r="H109" s="110">
        <v>7.0126233100891113</v>
      </c>
      <c r="I109" s="110">
        <v>7.1850852966308594</v>
      </c>
      <c r="J109" s="110">
        <v>7.3813962936401367</v>
      </c>
      <c r="K109" s="110">
        <v>7.2090578079223633</v>
      </c>
      <c r="L109" s="110">
        <v>6.6468024253845215</v>
      </c>
      <c r="M109" s="110">
        <v>7.2042131423950195</v>
      </c>
      <c r="N109" s="110">
        <v>7.2627081871032715</v>
      </c>
      <c r="O109" s="110">
        <v>7.6550760269165039</v>
      </c>
      <c r="P109" s="109"/>
      <c r="Q109" s="110">
        <v>7.2750053405761719</v>
      </c>
      <c r="R109" s="110">
        <v>7.1579360961914063</v>
      </c>
      <c r="S109" s="109">
        <v>7.5820889472961426</v>
      </c>
      <c r="T109" s="110">
        <v>7.2598567008972168</v>
      </c>
      <c r="U109" s="110">
        <v>7.1115450859069824</v>
      </c>
      <c r="V109" s="110">
        <v>7.6275625228881836</v>
      </c>
      <c r="W109" s="110">
        <v>7.0830698013305664</v>
      </c>
      <c r="X109" s="110">
        <v>7.2404990196228027</v>
      </c>
      <c r="Y109" s="110">
        <v>7.3646101951599121</v>
      </c>
      <c r="Z109" s="110">
        <v>7.4360909461975098</v>
      </c>
      <c r="AA109" s="110">
        <v>7.4392595291137695</v>
      </c>
      <c r="AB109" s="110">
        <v>7.0631861686706543</v>
      </c>
      <c r="AC109" s="110">
        <v>7.3882136344909668</v>
      </c>
      <c r="AD109" s="110">
        <v>7.1305179595947266</v>
      </c>
      <c r="AE109" s="110">
        <v>6.9933686256408691</v>
      </c>
      <c r="AF109" s="110">
        <v>7.2938337326049805</v>
      </c>
      <c r="AG109" s="110">
        <v>7.3062219619750977</v>
      </c>
      <c r="AH109" s="110">
        <v>7.1178221702575684</v>
      </c>
      <c r="AI109" s="110">
        <v>7.178260326385498</v>
      </c>
      <c r="AJ109" s="110">
        <v>7.0358519554138184</v>
      </c>
      <c r="AK109" s="110">
        <v>7.0172815322875977</v>
      </c>
      <c r="AL109" s="110">
        <v>7.3427681922912598</v>
      </c>
      <c r="AM109" s="110">
        <v>7.5295376777648926</v>
      </c>
      <c r="AN109" s="110">
        <v>7.4387602806091309</v>
      </c>
      <c r="AO109" s="110">
        <v>6.894007682800293</v>
      </c>
      <c r="AP109" s="110">
        <v>6.6384882926940918</v>
      </c>
      <c r="AQ109" s="110">
        <v>7.2450494766235352</v>
      </c>
      <c r="AR109" s="110">
        <v>7.254117488861084</v>
      </c>
      <c r="AS109" s="110">
        <v>7.2094426155090332</v>
      </c>
      <c r="AT109" s="110">
        <v>7.0778846740722656</v>
      </c>
      <c r="AU109" s="110">
        <v>6.5760350227355957</v>
      </c>
      <c r="AV109" s="110">
        <v>7.4758787155151367</v>
      </c>
      <c r="AW109" s="110">
        <v>7.1641297340393066</v>
      </c>
      <c r="AX109" s="110">
        <v>7.0796189308166504</v>
      </c>
      <c r="AY109" s="110">
        <v>7.1545886993408203</v>
      </c>
      <c r="AZ109" s="110">
        <v>7.2193088531494141</v>
      </c>
      <c r="BA109" s="110">
        <v>7.1929783821105957</v>
      </c>
      <c r="BB109" s="110">
        <v>7.3836445808410645</v>
      </c>
      <c r="BC109" s="110">
        <v>7.2851505279541016</v>
      </c>
      <c r="BD109" s="110">
        <v>7.2795648574829102</v>
      </c>
      <c r="BE109" s="110">
        <v>7.580986499786377</v>
      </c>
      <c r="BF109" s="110">
        <v>7.0618629455566406</v>
      </c>
      <c r="BG109" s="110">
        <v>7.186039924621582</v>
      </c>
      <c r="BH109" s="110">
        <v>7.0766887664794922</v>
      </c>
      <c r="BI109" s="110">
        <v>7.2648205757141113</v>
      </c>
      <c r="BJ109" s="110">
        <v>7.4120903015136719</v>
      </c>
      <c r="BK109" s="110">
        <v>7.4739141464233398</v>
      </c>
      <c r="BL109" s="110">
        <v>7.3368282318115234</v>
      </c>
    </row>
    <row r="110" spans="1:64" x14ac:dyDescent="0.2">
      <c r="A110" t="s">
        <v>530</v>
      </c>
      <c r="B110" s="108">
        <v>2.771732397377491E-4</v>
      </c>
      <c r="C110" s="108">
        <v>6.4345123246312141E-4</v>
      </c>
      <c r="D110" s="108">
        <v>5.2871569059789181E-3</v>
      </c>
      <c r="E110" s="108">
        <v>1.7831303412094712E-3</v>
      </c>
      <c r="F110" s="108">
        <v>4.808173980563879E-3</v>
      </c>
      <c r="G110" s="108">
        <v>1.6326686600223184E-3</v>
      </c>
      <c r="H110" s="108">
        <v>4.0707282721996307E-2</v>
      </c>
      <c r="I110" s="108">
        <v>5.2372822538018227E-3</v>
      </c>
      <c r="J110" s="108">
        <v>4.0480047464370728E-2</v>
      </c>
      <c r="K110" s="108">
        <v>3.2540388405323029E-2</v>
      </c>
      <c r="L110" s="108">
        <v>1.051639299839735E-2</v>
      </c>
      <c r="M110" s="108">
        <v>1.5547375660389662E-3</v>
      </c>
      <c r="N110" s="108">
        <v>2.175557054579258E-2</v>
      </c>
      <c r="O110" s="108">
        <v>7.4204913107678294E-4</v>
      </c>
      <c r="P110" s="109"/>
      <c r="Q110" s="108">
        <v>5.5683194659650326E-3</v>
      </c>
      <c r="R110" s="108">
        <v>5.6922035291790962E-3</v>
      </c>
      <c r="S110" s="109">
        <v>9.1865926515311003E-4</v>
      </c>
      <c r="T110" s="108">
        <v>1.3509906129911542E-3</v>
      </c>
      <c r="U110" s="108">
        <v>1.3630326138809323E-3</v>
      </c>
      <c r="V110" s="108">
        <v>2.0822251681238413E-3</v>
      </c>
      <c r="W110" s="108">
        <v>1.9598153885453939E-3</v>
      </c>
      <c r="X110" s="108">
        <v>3.516046330332756E-3</v>
      </c>
      <c r="Y110" s="108">
        <v>1.7366409301757813E-3</v>
      </c>
      <c r="Z110" s="108">
        <v>1.4966917224228382E-3</v>
      </c>
      <c r="AA110" s="108">
        <v>3.3349078148603439E-3</v>
      </c>
      <c r="AB110" s="108">
        <v>2.9123271815478802E-3</v>
      </c>
      <c r="AC110" s="108">
        <v>1.6569505678489804E-3</v>
      </c>
      <c r="AD110" s="108">
        <v>8.1072114408016205E-3</v>
      </c>
      <c r="AE110" s="108">
        <v>1.0266549652442336E-3</v>
      </c>
      <c r="AF110" s="108">
        <v>2.459497656673193E-3</v>
      </c>
      <c r="AG110" s="108">
        <v>6.1040953733026981E-3</v>
      </c>
      <c r="AH110" s="108">
        <v>3.6428142338991165E-3</v>
      </c>
      <c r="AI110" s="108">
        <v>9.1406125575304031E-3</v>
      </c>
      <c r="AJ110" s="108">
        <v>2.3720934987068176E-3</v>
      </c>
      <c r="AK110" s="108">
        <v>1.0185550199821591E-3</v>
      </c>
      <c r="AL110" s="108">
        <v>1.668016891926527E-3</v>
      </c>
      <c r="AM110" s="108">
        <v>1.6188031062483788E-2</v>
      </c>
      <c r="AN110" s="108">
        <v>1.7392607405781746E-2</v>
      </c>
      <c r="AO110" s="108">
        <v>1.4957177918404341E-3</v>
      </c>
      <c r="AP110" s="108">
        <v>9.2285411665216088E-4</v>
      </c>
      <c r="AQ110" s="108">
        <v>5.4776887409389019E-3</v>
      </c>
      <c r="AR110" s="108">
        <v>2.2899846080690622E-3</v>
      </c>
      <c r="AS110" s="108">
        <v>3.8705826736986637E-3</v>
      </c>
      <c r="AT110" s="108">
        <v>4.838261753320694E-3</v>
      </c>
      <c r="AU110" s="108">
        <v>1.4557911781594157E-3</v>
      </c>
      <c r="AV110" s="108">
        <v>1.2809450272470713E-3</v>
      </c>
      <c r="AW110" s="108">
        <v>1.2370471376925707E-3</v>
      </c>
      <c r="AX110" s="108">
        <v>2.7929565403610468E-3</v>
      </c>
      <c r="AY110" s="108">
        <v>2.7913108351640403E-4</v>
      </c>
      <c r="AZ110" s="108">
        <v>3.9328102138824761E-4</v>
      </c>
      <c r="BA110" s="108">
        <v>8.9993863366544247E-4</v>
      </c>
      <c r="BB110" s="108">
        <v>9.5477299764752388E-3</v>
      </c>
      <c r="BC110" s="108">
        <v>1.2734212214127183E-3</v>
      </c>
      <c r="BD110" s="108">
        <v>3.3003517892211676E-3</v>
      </c>
      <c r="BE110" s="108">
        <v>2.1692558657377958E-3</v>
      </c>
      <c r="BF110" s="108">
        <v>1.6486304812133312E-3</v>
      </c>
      <c r="BG110" s="108">
        <v>2.7993302792310715E-3</v>
      </c>
      <c r="BH110" s="108">
        <v>6.2669841572642326E-3</v>
      </c>
      <c r="BI110" s="108">
        <v>2.0589733030647039E-3</v>
      </c>
      <c r="BJ110" s="108"/>
      <c r="BK110" s="108"/>
      <c r="BL110" s="108"/>
    </row>
    <row r="111" spans="1:64" x14ac:dyDescent="0.2">
      <c r="A111" t="s">
        <v>531</v>
      </c>
      <c r="B111" s="108">
        <v>1102</v>
      </c>
      <c r="C111" s="108">
        <v>193</v>
      </c>
      <c r="D111" s="108">
        <v>192</v>
      </c>
      <c r="E111" s="108">
        <v>195</v>
      </c>
      <c r="F111" s="108">
        <v>194</v>
      </c>
      <c r="G111" s="108">
        <v>197</v>
      </c>
      <c r="H111" s="108">
        <v>192</v>
      </c>
      <c r="I111" s="108">
        <v>294</v>
      </c>
      <c r="J111" s="108">
        <v>192</v>
      </c>
      <c r="K111" s="108">
        <v>193</v>
      </c>
      <c r="L111" s="108">
        <v>195</v>
      </c>
      <c r="M111" s="108">
        <v>300</v>
      </c>
      <c r="N111" s="108">
        <v>192</v>
      </c>
      <c r="O111" s="108">
        <v>203</v>
      </c>
      <c r="P111" s="109"/>
      <c r="Q111" s="108">
        <v>192</v>
      </c>
      <c r="R111" s="108">
        <v>199</v>
      </c>
      <c r="S111" s="109">
        <v>314</v>
      </c>
      <c r="T111" s="108">
        <v>198</v>
      </c>
      <c r="U111" s="108">
        <v>200</v>
      </c>
      <c r="V111" s="108">
        <v>192</v>
      </c>
      <c r="W111" s="108">
        <v>194</v>
      </c>
      <c r="X111" s="108">
        <v>197</v>
      </c>
      <c r="Y111" s="108">
        <v>192</v>
      </c>
      <c r="Z111" s="108">
        <v>192</v>
      </c>
      <c r="AA111" s="108">
        <v>395</v>
      </c>
      <c r="AB111" s="108">
        <v>391</v>
      </c>
      <c r="AC111" s="108">
        <v>192</v>
      </c>
      <c r="AD111" s="108">
        <v>196</v>
      </c>
      <c r="AE111" s="108">
        <v>192</v>
      </c>
      <c r="AF111" s="108">
        <v>197</v>
      </c>
      <c r="AG111" s="108">
        <v>300</v>
      </c>
      <c r="AH111" s="108">
        <v>206</v>
      </c>
      <c r="AI111" s="108">
        <v>201</v>
      </c>
      <c r="AJ111" s="108">
        <v>193</v>
      </c>
      <c r="AK111" s="108">
        <v>192</v>
      </c>
      <c r="AL111" s="108">
        <v>192</v>
      </c>
      <c r="AM111" s="108">
        <v>200</v>
      </c>
      <c r="AN111" s="108">
        <v>192</v>
      </c>
      <c r="AO111" s="108">
        <v>200</v>
      </c>
      <c r="AP111" s="108">
        <v>192</v>
      </c>
      <c r="AQ111" s="108">
        <v>204</v>
      </c>
      <c r="AR111" s="108">
        <v>295</v>
      </c>
      <c r="AS111" s="108">
        <v>197</v>
      </c>
      <c r="AT111" s="108">
        <v>194</v>
      </c>
      <c r="AU111" s="108">
        <v>194</v>
      </c>
      <c r="AV111" s="108">
        <v>319</v>
      </c>
      <c r="AW111" s="108">
        <v>593</v>
      </c>
      <c r="AX111" s="108">
        <v>428</v>
      </c>
      <c r="AY111" s="108">
        <v>1024</v>
      </c>
      <c r="AZ111" s="108">
        <v>289</v>
      </c>
      <c r="BA111" s="108">
        <v>194</v>
      </c>
      <c r="BB111" s="108">
        <v>195</v>
      </c>
      <c r="BC111" s="108">
        <v>192</v>
      </c>
      <c r="BD111" s="108">
        <v>202</v>
      </c>
      <c r="BE111" s="108">
        <v>192</v>
      </c>
      <c r="BF111" s="108">
        <v>390</v>
      </c>
      <c r="BG111" s="108">
        <v>198</v>
      </c>
      <c r="BH111" s="108">
        <v>313</v>
      </c>
      <c r="BI111" s="108">
        <v>196</v>
      </c>
      <c r="BJ111" s="108">
        <v>194</v>
      </c>
      <c r="BK111" s="108">
        <v>197</v>
      </c>
      <c r="BL111" s="108">
        <v>193</v>
      </c>
    </row>
    <row r="112" spans="1:64" x14ac:dyDescent="0.2">
      <c r="A112" t="s">
        <v>263</v>
      </c>
      <c r="B112" s="108">
        <v>2.5001900196075439</v>
      </c>
      <c r="C112" s="108">
        <v>2.4748642444610596</v>
      </c>
      <c r="D112" s="108">
        <v>2.4116997718811035</v>
      </c>
      <c r="E112" s="108">
        <v>2.573563814163208</v>
      </c>
      <c r="F112" s="108">
        <v>2.5161044597625732</v>
      </c>
      <c r="G112" s="108">
        <v>2.4963574409484863</v>
      </c>
      <c r="H112" s="108">
        <v>2.4955332279205322</v>
      </c>
      <c r="I112" s="108">
        <v>2.438805103302002</v>
      </c>
      <c r="J112" s="108">
        <v>2.4512801170349121</v>
      </c>
      <c r="K112" s="108">
        <v>2.5893228054046631</v>
      </c>
      <c r="L112" s="108">
        <v>2.3912980556488037</v>
      </c>
      <c r="M112" s="108">
        <v>2.4963390827178955</v>
      </c>
      <c r="N112" s="108">
        <v>2.5001235008239746</v>
      </c>
      <c r="O112" s="108">
        <v>2.6361923217773438</v>
      </c>
      <c r="P112" s="109"/>
      <c r="Q112" s="108">
        <v>2.4944777488708496</v>
      </c>
      <c r="R112" s="108">
        <v>2.4452745914459229</v>
      </c>
      <c r="S112" s="109">
        <v>2.5532879829406738</v>
      </c>
      <c r="T112" s="108">
        <v>2.388167142868042</v>
      </c>
      <c r="U112" s="108">
        <v>2.5148863792419434</v>
      </c>
      <c r="V112" s="108">
        <v>2.6078004837036133</v>
      </c>
      <c r="W112" s="108">
        <v>2.4095909595489502</v>
      </c>
      <c r="X112" s="108">
        <v>2.4674272537231445</v>
      </c>
      <c r="Y112" s="108">
        <v>2.4781394004821777</v>
      </c>
      <c r="Z112" s="108">
        <v>2.5139491558074951</v>
      </c>
      <c r="AA112" s="108">
        <v>2.567255973815918</v>
      </c>
      <c r="AB112" s="108">
        <v>2.3788332939147949</v>
      </c>
      <c r="AC112" s="108">
        <v>2.5374319553375244</v>
      </c>
      <c r="AD112" s="108">
        <v>2.3708858489990234</v>
      </c>
      <c r="AE112" s="108">
        <v>2.3357524871826172</v>
      </c>
      <c r="AF112" s="108">
        <v>2.5294897556304932</v>
      </c>
      <c r="AG112" s="108">
        <v>2.4272365570068359</v>
      </c>
      <c r="AH112" s="108">
        <v>2.3328802585601807</v>
      </c>
      <c r="AI112" s="108">
        <v>2.4362337589263916</v>
      </c>
      <c r="AJ112" s="108">
        <v>2.3866379261016846</v>
      </c>
      <c r="AK112" s="108">
        <v>2.3699014186859131</v>
      </c>
      <c r="AL112" s="108">
        <v>2.4229435920715332</v>
      </c>
      <c r="AM112" s="108">
        <v>2.5028789043426514</v>
      </c>
      <c r="AN112" s="108">
        <v>2.5449676513671875</v>
      </c>
      <c r="AO112" s="108">
        <v>2.3141446113586426</v>
      </c>
      <c r="AP112" s="108">
        <v>2.2610373497009277</v>
      </c>
      <c r="AQ112" s="108">
        <v>2.4104037284851074</v>
      </c>
      <c r="AR112" s="108">
        <v>2.4284472465515137</v>
      </c>
      <c r="AS112" s="108">
        <v>2.3543980121612549</v>
      </c>
      <c r="AT112" s="108">
        <v>2.4267749786376953</v>
      </c>
      <c r="AU112" s="108">
        <v>2.2091338634490967</v>
      </c>
      <c r="AV112" s="108">
        <v>2.5849614143371582</v>
      </c>
      <c r="AW112" s="108">
        <v>2.3292365074157715</v>
      </c>
      <c r="AX112" s="108">
        <v>2.4058656692504883</v>
      </c>
      <c r="AY112" s="108">
        <v>2.4208881855010986</v>
      </c>
      <c r="AZ112" s="108">
        <v>2.3953356742858887</v>
      </c>
      <c r="BA112" s="108">
        <v>2.2991642951965332</v>
      </c>
      <c r="BB112" s="108">
        <v>2.4416346549987793</v>
      </c>
      <c r="BC112" s="108">
        <v>2.3737308979034424</v>
      </c>
      <c r="BD112" s="108">
        <v>2.477628231048584</v>
      </c>
      <c r="BE112" s="108">
        <v>2.490729808807373</v>
      </c>
      <c r="BF112" s="108">
        <v>2.3158168792724609</v>
      </c>
      <c r="BG112" s="108">
        <v>2.3677494525909424</v>
      </c>
      <c r="BH112" s="108">
        <v>2.3218441009521484</v>
      </c>
      <c r="BI112" s="108">
        <v>2.3934700489044189</v>
      </c>
      <c r="BJ112" s="108">
        <v>2.4041471481323242</v>
      </c>
      <c r="BK112" s="108">
        <v>2.5663864612579346</v>
      </c>
      <c r="BL112" s="108">
        <v>2.4191136360168457</v>
      </c>
    </row>
    <row r="113" spans="1:64" x14ac:dyDescent="0.2">
      <c r="A113" t="s">
        <v>286</v>
      </c>
      <c r="B113" s="108">
        <v>2.3353848457336426</v>
      </c>
      <c r="C113" s="108">
        <v>2.2494912147521973</v>
      </c>
      <c r="D113" s="108">
        <v>2.2790231704711914</v>
      </c>
      <c r="E113" s="108">
        <v>2.3453352451324463</v>
      </c>
      <c r="F113" s="108">
        <v>2.0999727249145508</v>
      </c>
      <c r="G113" s="108">
        <v>2.4018657207489014</v>
      </c>
      <c r="H113" s="108">
        <v>2.2172038555145264</v>
      </c>
      <c r="I113" s="108">
        <v>2.3386673927307129</v>
      </c>
      <c r="J113" s="108">
        <v>2.4523892402648926</v>
      </c>
      <c r="K113" s="108">
        <v>2.1180682182312012</v>
      </c>
      <c r="L113" s="108">
        <v>2.0142731666564941</v>
      </c>
      <c r="M113" s="108">
        <v>2.3557252883911133</v>
      </c>
      <c r="N113" s="108">
        <v>2.3156163692474365</v>
      </c>
      <c r="O113" s="108">
        <v>2.4906156063079834</v>
      </c>
      <c r="P113" s="109"/>
      <c r="Q113" s="108">
        <v>2.313584566116333</v>
      </c>
      <c r="R113" s="108">
        <v>2.2333228588104248</v>
      </c>
      <c r="S113" s="109">
        <v>2.4212143421173096</v>
      </c>
      <c r="T113" s="108">
        <v>2.397284984588623</v>
      </c>
      <c r="U113" s="108">
        <v>2.0579934120178223</v>
      </c>
      <c r="V113" s="108">
        <v>2.4665939807891846</v>
      </c>
      <c r="W113" s="108">
        <v>2.2404618263244629</v>
      </c>
      <c r="X113" s="108">
        <v>2.3223798274993896</v>
      </c>
      <c r="Y113" s="108">
        <v>2.3751635551452637</v>
      </c>
      <c r="Z113" s="108">
        <v>2.5146231651306152</v>
      </c>
      <c r="AA113" s="108">
        <v>2.3642401695251465</v>
      </c>
      <c r="AB113" s="108">
        <v>2.2424135208129883</v>
      </c>
      <c r="AC113" s="108">
        <v>2.3886466026306152</v>
      </c>
      <c r="AD113" s="108">
        <v>2.3702445030212402</v>
      </c>
      <c r="AE113" s="108">
        <v>2.292921781539917</v>
      </c>
      <c r="AF113" s="108">
        <v>2.3646664619445801</v>
      </c>
      <c r="AG113" s="108">
        <v>2.436826229095459</v>
      </c>
      <c r="AH113" s="108">
        <v>2.2860217094421387</v>
      </c>
      <c r="AI113" s="108">
        <v>2.3783543109893799</v>
      </c>
      <c r="AJ113" s="108">
        <v>2.1849822998046875</v>
      </c>
      <c r="AK113" s="108">
        <v>2.2796132564544678</v>
      </c>
      <c r="AL113" s="108">
        <v>2.4584341049194336</v>
      </c>
      <c r="AM113" s="108">
        <v>2.5092215538024902</v>
      </c>
      <c r="AN113" s="108">
        <v>2.3823463916778564</v>
      </c>
      <c r="AO113" s="108">
        <v>2.2058308124542236</v>
      </c>
      <c r="AP113" s="108">
        <v>2.1442172527313232</v>
      </c>
      <c r="AQ113" s="108">
        <v>2.3291902542114258</v>
      </c>
      <c r="AR113" s="108">
        <v>2.4015481472015381</v>
      </c>
      <c r="AS113" s="108">
        <v>2.3808791637420654</v>
      </c>
      <c r="AT113" s="108">
        <v>2.1240167617797852</v>
      </c>
      <c r="AU113" s="108">
        <v>1.9856302738189697</v>
      </c>
      <c r="AV113" s="108">
        <v>2.3912234306335449</v>
      </c>
      <c r="AW113" s="108">
        <v>2.3982622623443604</v>
      </c>
      <c r="AX113" s="108">
        <v>2.2861616611480713</v>
      </c>
      <c r="AY113" s="108">
        <v>2.3369643688201904</v>
      </c>
      <c r="AZ113" s="108">
        <v>2.3745594024658203</v>
      </c>
      <c r="BA113" s="108">
        <v>2.3968930244445801</v>
      </c>
      <c r="BB113" s="108">
        <v>2.4443907737731934</v>
      </c>
      <c r="BC113" s="108">
        <v>2.405240535736084</v>
      </c>
      <c r="BD113" s="108">
        <v>2.3584191799163818</v>
      </c>
      <c r="BE113" s="108">
        <v>2.5448386669158936</v>
      </c>
      <c r="BF113" s="108">
        <v>2.2580647468566895</v>
      </c>
      <c r="BG113" s="108">
        <v>2.2031288146972656</v>
      </c>
      <c r="BH113" s="108">
        <v>2.2722513675689697</v>
      </c>
      <c r="BI113" s="108">
        <v>2.3977100849151611</v>
      </c>
      <c r="BJ113" s="108">
        <v>2.3645215034484863</v>
      </c>
      <c r="BK113" s="108">
        <v>2.3279213905334473</v>
      </c>
      <c r="BL113" s="108">
        <v>2.423907995223999</v>
      </c>
    </row>
    <row r="114" spans="1:64" x14ac:dyDescent="0.2">
      <c r="A114" t="s">
        <v>297</v>
      </c>
      <c r="B114" s="108">
        <v>2.4745140075683594</v>
      </c>
      <c r="C114" s="108">
        <v>2.4600114822387695</v>
      </c>
      <c r="D114" s="108">
        <v>2.3706743717193604</v>
      </c>
      <c r="E114" s="108">
        <v>2.4585464000701904</v>
      </c>
      <c r="F114" s="108">
        <v>2.5195016860961914</v>
      </c>
      <c r="G114" s="108">
        <v>2.3737971782684326</v>
      </c>
      <c r="H114" s="108">
        <v>2.2998862266540527</v>
      </c>
      <c r="I114" s="108">
        <v>2.4076125621795654</v>
      </c>
      <c r="J114" s="108">
        <v>2.477726936340332</v>
      </c>
      <c r="K114" s="108">
        <v>2.501666784286499</v>
      </c>
      <c r="L114" s="108">
        <v>2.2412309646606445</v>
      </c>
      <c r="M114" s="108">
        <v>2.3521485328674316</v>
      </c>
      <c r="N114" s="108">
        <v>2.4469680786132813</v>
      </c>
      <c r="O114" s="108">
        <v>2.5282680988311768</v>
      </c>
      <c r="P114" s="109"/>
      <c r="Q114" s="108">
        <v>2.4669432640075684</v>
      </c>
      <c r="R114" s="108">
        <v>2.4793384075164795</v>
      </c>
      <c r="S114" s="109">
        <v>2.6075866222381592</v>
      </c>
      <c r="T114" s="108">
        <v>2.4744045734405518</v>
      </c>
      <c r="U114" s="108">
        <v>2.5386655330657959</v>
      </c>
      <c r="V114" s="108">
        <v>2.5531680583953857</v>
      </c>
      <c r="W114" s="108">
        <v>2.4330167770385742</v>
      </c>
      <c r="X114" s="108">
        <v>2.4506919384002686</v>
      </c>
      <c r="Y114" s="108">
        <v>2.5113072395324707</v>
      </c>
      <c r="Z114" s="108">
        <v>2.4075188636779785</v>
      </c>
      <c r="AA114" s="108">
        <v>2.507763147354126</v>
      </c>
      <c r="AB114" s="108">
        <v>2.4419393539428711</v>
      </c>
      <c r="AC114" s="108">
        <v>2.4621345996856689</v>
      </c>
      <c r="AD114" s="108">
        <v>2.3893876075744629</v>
      </c>
      <c r="AE114" s="108">
        <v>2.3646941184997559</v>
      </c>
      <c r="AF114" s="108">
        <v>2.3996772766113281</v>
      </c>
      <c r="AG114" s="108">
        <v>2.4421594142913818</v>
      </c>
      <c r="AH114" s="108">
        <v>2.498920202255249</v>
      </c>
      <c r="AI114" s="108">
        <v>2.3636722564697266</v>
      </c>
      <c r="AJ114" s="108">
        <v>2.4642319679260254</v>
      </c>
      <c r="AK114" s="108">
        <v>2.3677666187286377</v>
      </c>
      <c r="AL114" s="108">
        <v>2.4613902568817139</v>
      </c>
      <c r="AM114" s="108">
        <v>2.517437219619751</v>
      </c>
      <c r="AN114" s="108">
        <v>2.5114462375640869</v>
      </c>
      <c r="AO114" s="108">
        <v>2.3740320205688477</v>
      </c>
      <c r="AP114" s="108">
        <v>2.2332336902618408</v>
      </c>
      <c r="AQ114" s="108">
        <v>2.505455493927002</v>
      </c>
      <c r="AR114" s="108">
        <v>2.4241223335266113</v>
      </c>
      <c r="AS114" s="108">
        <v>2.4741654396057129</v>
      </c>
      <c r="AT114" s="108">
        <v>2.5270926952362061</v>
      </c>
      <c r="AU114" s="108">
        <v>2.3812706470489502</v>
      </c>
      <c r="AV114" s="108">
        <v>2.4996938705444336</v>
      </c>
      <c r="AW114" s="108">
        <v>2.4366309642791748</v>
      </c>
      <c r="AX114" s="108">
        <v>2.3875916004180908</v>
      </c>
      <c r="AY114" s="108">
        <v>2.3967361450195313</v>
      </c>
      <c r="AZ114" s="108">
        <v>2.4494137763977051</v>
      </c>
      <c r="BA114" s="108">
        <v>2.4969210624694824</v>
      </c>
      <c r="BB114" s="108">
        <v>2.4976189136505127</v>
      </c>
      <c r="BC114" s="108">
        <v>2.5061793327331543</v>
      </c>
      <c r="BD114" s="108">
        <v>2.4435176849365234</v>
      </c>
      <c r="BE114" s="108">
        <v>2.5454180240631104</v>
      </c>
      <c r="BF114" s="108">
        <v>2.4879813194274902</v>
      </c>
      <c r="BG114" s="108">
        <v>2.615161657333374</v>
      </c>
      <c r="BH114" s="108">
        <v>2.482593297958374</v>
      </c>
      <c r="BI114" s="108">
        <v>2.4736404418945313</v>
      </c>
      <c r="BJ114" s="108">
        <v>2.6434214115142822</v>
      </c>
      <c r="BK114" s="108">
        <v>2.579606294631958</v>
      </c>
      <c r="BL114" s="108">
        <v>2.4938066005706787</v>
      </c>
    </row>
    <row r="115" spans="1:64" x14ac:dyDescent="0.2">
      <c r="A115" t="s">
        <v>532</v>
      </c>
      <c r="B115" s="108">
        <v>0.35830172896385193</v>
      </c>
      <c r="C115" s="108">
        <v>0.37861749529838562</v>
      </c>
      <c r="D115" s="108">
        <v>0.33881902694702148</v>
      </c>
      <c r="E115" s="108">
        <v>0.43544545769691467</v>
      </c>
      <c r="F115" s="108">
        <v>0.41740095615386963</v>
      </c>
      <c r="G115" s="108">
        <v>0.44934454560279846</v>
      </c>
      <c r="H115" s="108">
        <v>0.46677497029304504</v>
      </c>
      <c r="I115" s="108">
        <v>0.36077964305877686</v>
      </c>
      <c r="J115" s="108">
        <v>0.36084103584289551</v>
      </c>
      <c r="K115" s="108">
        <v>0.50322222709655762</v>
      </c>
      <c r="L115" s="108">
        <v>0.29475542902946472</v>
      </c>
      <c r="M115" s="108">
        <v>0.43430113792419434</v>
      </c>
      <c r="N115" s="108">
        <v>0.37278932332992554</v>
      </c>
      <c r="O115" s="108">
        <v>0.36052507162094116</v>
      </c>
      <c r="P115" s="109"/>
      <c r="Q115" s="108">
        <v>0.38095682859420776</v>
      </c>
      <c r="R115" s="108">
        <v>0.29379865527153015</v>
      </c>
      <c r="S115" s="109">
        <v>0.39883884787559509</v>
      </c>
      <c r="T115" s="108">
        <v>0.27605864405632019</v>
      </c>
      <c r="U115" s="108">
        <v>0.35987132787704468</v>
      </c>
      <c r="V115" s="108">
        <v>0.40960589051246643</v>
      </c>
      <c r="W115" s="108">
        <v>0.35690027475357056</v>
      </c>
      <c r="X115" s="108">
        <v>0.29144707322120667</v>
      </c>
      <c r="Y115" s="108">
        <v>0.36603844165802002</v>
      </c>
      <c r="Z115" s="108">
        <v>0.37358549237251282</v>
      </c>
      <c r="AA115" s="108">
        <v>0.38003844022750854</v>
      </c>
      <c r="AB115" s="108">
        <v>0.28812378644943237</v>
      </c>
      <c r="AC115" s="108">
        <v>0.43458274006843567</v>
      </c>
      <c r="AD115" s="108">
        <v>0.28479573130607605</v>
      </c>
      <c r="AE115" s="108">
        <v>0.24736751616001129</v>
      </c>
      <c r="AF115" s="108">
        <v>0.34470805525779724</v>
      </c>
      <c r="AG115" s="108">
        <v>0.31370845437049866</v>
      </c>
      <c r="AH115" s="108">
        <v>0.18347324430942535</v>
      </c>
      <c r="AI115" s="108">
        <v>0.32326114177703857</v>
      </c>
      <c r="AJ115" s="108">
        <v>0.21124006807804108</v>
      </c>
      <c r="AK115" s="108">
        <v>0.25904113054275513</v>
      </c>
      <c r="AL115" s="108">
        <v>0.27846771478652954</v>
      </c>
      <c r="AM115" s="108">
        <v>0.29470252990722656</v>
      </c>
      <c r="AN115" s="108">
        <v>0.34572497010231018</v>
      </c>
      <c r="AO115" s="108">
        <v>0.27196460962295532</v>
      </c>
      <c r="AP115" s="108">
        <v>0.2484963983297348</v>
      </c>
      <c r="AQ115" s="108">
        <v>0.27944949269294739</v>
      </c>
      <c r="AR115" s="108">
        <v>0.32571929693222046</v>
      </c>
      <c r="AS115" s="108">
        <v>0.24934875965118408</v>
      </c>
      <c r="AT115" s="108">
        <v>0.29919910430908203</v>
      </c>
      <c r="AU115" s="108">
        <v>0.20852425694465637</v>
      </c>
      <c r="AV115" s="108">
        <v>0.35209682583808899</v>
      </c>
      <c r="AW115" s="108">
        <v>0.27236932516098022</v>
      </c>
      <c r="AX115" s="108">
        <v>0.30663961172103882</v>
      </c>
      <c r="AY115" s="108">
        <v>0.25212636590003967</v>
      </c>
      <c r="AZ115" s="108">
        <v>0.28317952156066895</v>
      </c>
      <c r="BA115" s="108">
        <v>0.19257932901382446</v>
      </c>
      <c r="BB115" s="108">
        <v>0.24251319468021393</v>
      </c>
      <c r="BC115" s="108">
        <v>0.22014941275119781</v>
      </c>
      <c r="BD115" s="108">
        <v>0.29335376620292664</v>
      </c>
      <c r="BE115" s="108">
        <v>0.26530089974403381</v>
      </c>
      <c r="BF115" s="108">
        <v>0.15648332238197327</v>
      </c>
      <c r="BG115" s="108">
        <v>0.194645956158638</v>
      </c>
      <c r="BH115" s="108">
        <v>0.24112395942211151</v>
      </c>
      <c r="BI115" s="108">
        <v>0.193574458360672</v>
      </c>
      <c r="BJ115" s="108">
        <v>0.20299112796783447</v>
      </c>
      <c r="BK115" s="108">
        <v>0.30558034777641296</v>
      </c>
      <c r="BL115" s="108">
        <v>0.17473277449607849</v>
      </c>
    </row>
    <row r="116" spans="1:64" x14ac:dyDescent="0.2">
      <c r="A116" t="s">
        <v>533</v>
      </c>
      <c r="B116" s="108">
        <v>3.8327674865722656</v>
      </c>
      <c r="C116" s="108">
        <v>3.7174246311187744</v>
      </c>
      <c r="D116" s="108">
        <v>3.6505732536315918</v>
      </c>
      <c r="E116" s="108">
        <v>3.9085612297058105</v>
      </c>
      <c r="F116" s="108">
        <v>3.7932009696960449</v>
      </c>
      <c r="G116" s="108">
        <v>3.6814141273498535</v>
      </c>
      <c r="H116" s="108">
        <v>3.5365567207336426</v>
      </c>
      <c r="I116" s="108">
        <v>3.7793889045715332</v>
      </c>
      <c r="J116" s="108">
        <v>3.7599081993103027</v>
      </c>
      <c r="K116" s="108">
        <v>3.66339111328125</v>
      </c>
      <c r="L116" s="108">
        <v>3.7289581298828125</v>
      </c>
      <c r="M116" s="108">
        <v>3.7483093738555908</v>
      </c>
      <c r="N116" s="108">
        <v>3.8345627784729004</v>
      </c>
      <c r="O116" s="108">
        <v>3.9809262752532959</v>
      </c>
      <c r="P116" s="109"/>
      <c r="Q116" s="108">
        <v>3.8749525547027588</v>
      </c>
      <c r="R116" s="108">
        <v>3.8444437980651855</v>
      </c>
      <c r="S116" s="109">
        <v>3.7374763488769531</v>
      </c>
      <c r="T116" s="108">
        <v>3.7983522415161133</v>
      </c>
      <c r="U116" s="108">
        <v>3.9150931835174561</v>
      </c>
      <c r="V116" s="108">
        <v>3.9191792011260986</v>
      </c>
      <c r="W116" s="108">
        <v>3.6979086399078369</v>
      </c>
      <c r="X116" s="108">
        <v>3.7989108562469482</v>
      </c>
      <c r="Y116" s="108">
        <v>3.7674925327301025</v>
      </c>
      <c r="Z116" s="108">
        <v>3.8782110214233398</v>
      </c>
      <c r="AA116" s="108">
        <v>3.8534178733825684</v>
      </c>
      <c r="AB116" s="108">
        <v>3.8070423603057861</v>
      </c>
      <c r="AC116" s="108">
        <v>3.8460826873779297</v>
      </c>
      <c r="AD116" s="108">
        <v>3.8333332538604736</v>
      </c>
      <c r="AE116" s="108">
        <v>3.7934184074401855</v>
      </c>
      <c r="AF116" s="108">
        <v>3.8657300472259521</v>
      </c>
      <c r="AG116" s="108">
        <v>3.8658475875854492</v>
      </c>
      <c r="AH116" s="108">
        <v>3.8689260482788086</v>
      </c>
      <c r="AI116" s="108">
        <v>3.851508617401123</v>
      </c>
      <c r="AJ116" s="108">
        <v>3.9295597076416016</v>
      </c>
      <c r="AK116" s="108">
        <v>3.7585382461547852</v>
      </c>
      <c r="AL116" s="108">
        <v>3.8919076919555664</v>
      </c>
      <c r="AM116" s="108">
        <v>3.8367724418640137</v>
      </c>
      <c r="AN116" s="108">
        <v>3.8869509696960449</v>
      </c>
      <c r="AO116" s="108">
        <v>3.7720305919647217</v>
      </c>
      <c r="AP116" s="108">
        <v>3.4937396049499512</v>
      </c>
      <c r="AQ116" s="108">
        <v>3.8263125419616699</v>
      </c>
      <c r="AR116" s="108">
        <v>3.7467184066772461</v>
      </c>
      <c r="AS116" s="108">
        <v>3.7252037525177002</v>
      </c>
      <c r="AT116" s="108">
        <v>3.9419155120849609</v>
      </c>
      <c r="AU116" s="108">
        <v>3.6029131412506104</v>
      </c>
      <c r="AV116" s="108">
        <v>3.9684762954711914</v>
      </c>
      <c r="AW116" s="108">
        <v>3.7366340160369873</v>
      </c>
      <c r="AX116" s="108">
        <v>3.7800681591033936</v>
      </c>
      <c r="AY116" s="108">
        <v>3.8934011459350586</v>
      </c>
      <c r="AZ116" s="108">
        <v>3.8181416988372803</v>
      </c>
      <c r="BA116" s="108">
        <v>3.7692019939422607</v>
      </c>
      <c r="BB116" s="108">
        <v>3.8599786758422852</v>
      </c>
      <c r="BC116" s="108">
        <v>3.7876265048980713</v>
      </c>
      <c r="BD116" s="108">
        <v>3.7685451507568359</v>
      </c>
      <c r="BE116" s="108">
        <v>3.9416294097900391</v>
      </c>
      <c r="BF116" s="108">
        <v>3.8817718029022217</v>
      </c>
      <c r="BG116" s="108">
        <v>3.8887972831726074</v>
      </c>
      <c r="BH116" s="108">
        <v>3.7029476165771484</v>
      </c>
      <c r="BI116" s="108">
        <v>3.8318579196929932</v>
      </c>
      <c r="BJ116" s="108">
        <v>3.9179122447967529</v>
      </c>
      <c r="BK116" s="108">
        <v>3.9221320152282715</v>
      </c>
      <c r="BL116" s="108">
        <v>3.8641588687896729</v>
      </c>
    </row>
    <row r="117" spans="1:64" x14ac:dyDescent="0.2">
      <c r="A117" t="s">
        <v>534</v>
      </c>
      <c r="B117" s="108">
        <v>8.7197877466678619E-2</v>
      </c>
      <c r="C117" s="108">
        <v>9.8947241902351379E-2</v>
      </c>
      <c r="D117" s="108">
        <v>0.11733118444681168</v>
      </c>
      <c r="E117" s="108">
        <v>0.20596522092819214</v>
      </c>
      <c r="F117" s="108">
        <v>0.11111123859882355</v>
      </c>
      <c r="G117" s="108">
        <v>9.9237427115440369E-2</v>
      </c>
      <c r="H117" s="108">
        <v>7.2131656110286713E-2</v>
      </c>
      <c r="I117" s="108">
        <v>8.1228233873844147E-2</v>
      </c>
      <c r="J117" s="108">
        <v>5.6420266628265381E-2</v>
      </c>
      <c r="K117" s="108">
        <v>0.10740858316421509</v>
      </c>
      <c r="L117" s="108">
        <v>4.2577516287565231E-2</v>
      </c>
      <c r="M117" s="108">
        <v>0.22871515154838562</v>
      </c>
      <c r="N117" s="108">
        <v>0.11048033088445663</v>
      </c>
      <c r="O117" s="108">
        <v>0.15217027068138123</v>
      </c>
      <c r="P117" s="109"/>
      <c r="Q117" s="108">
        <v>0.15377576649188995</v>
      </c>
      <c r="R117" s="108">
        <v>0.12122929096221924</v>
      </c>
      <c r="S117" s="109">
        <v>0.10347582399845123</v>
      </c>
      <c r="T117" s="108">
        <v>0.15454673767089844</v>
      </c>
      <c r="U117" s="108">
        <v>7.2701491415500641E-2</v>
      </c>
      <c r="V117" s="108">
        <v>6.7826859652996063E-2</v>
      </c>
      <c r="W117" s="108">
        <v>0.15217973291873932</v>
      </c>
      <c r="X117" s="108">
        <v>0.10412587970495224</v>
      </c>
      <c r="Y117" s="108">
        <v>0.15402884781360626</v>
      </c>
      <c r="Z117" s="108">
        <v>0.13226594030857086</v>
      </c>
      <c r="AA117" s="108">
        <v>0.15254083275794983</v>
      </c>
      <c r="AB117" s="108">
        <v>0.12964248657226563</v>
      </c>
      <c r="AC117" s="108">
        <v>0.20666605234146118</v>
      </c>
      <c r="AD117" s="108">
        <v>0.14821097254753113</v>
      </c>
      <c r="AE117" s="108">
        <v>0.14651978015899658</v>
      </c>
      <c r="AF117" s="108">
        <v>0.1242842823266983</v>
      </c>
      <c r="AG117" s="108">
        <v>9.6892565488815308E-2</v>
      </c>
      <c r="AH117" s="108">
        <v>0.14243356883525848</v>
      </c>
      <c r="AI117" s="108">
        <v>0.16943074762821198</v>
      </c>
      <c r="AJ117" s="108">
        <v>5.1256094127893448E-2</v>
      </c>
      <c r="AK117" s="108">
        <v>0.11182467639446259</v>
      </c>
      <c r="AL117" s="108">
        <v>0.1347123384475708</v>
      </c>
      <c r="AM117" s="108">
        <v>0.15960554778575897</v>
      </c>
      <c r="AN117" s="108">
        <v>7.5860731303691864E-2</v>
      </c>
      <c r="AO117" s="108">
        <v>0.10457441955804825</v>
      </c>
      <c r="AP117" s="108">
        <v>0.19890196621417999</v>
      </c>
      <c r="AQ117" s="108">
        <v>0.24671526253223419</v>
      </c>
      <c r="AR117" s="108">
        <v>0.17471645772457123</v>
      </c>
      <c r="AS117" s="108">
        <v>0.16167736053466797</v>
      </c>
      <c r="AT117" s="108">
        <v>0.30426764488220215</v>
      </c>
      <c r="AU117" s="108">
        <v>0.18031556904315948</v>
      </c>
      <c r="AV117" s="108">
        <v>5.8010391891002655E-2</v>
      </c>
      <c r="AW117" s="108">
        <v>0.16309691965579987</v>
      </c>
      <c r="AX117" s="108">
        <v>0.11797487735748291</v>
      </c>
      <c r="AY117" s="108">
        <v>2.7415566146373749E-2</v>
      </c>
      <c r="AZ117" s="108">
        <v>9.6021436154842377E-2</v>
      </c>
      <c r="BA117" s="108">
        <v>0.17523147165775299</v>
      </c>
      <c r="BB117" s="108">
        <v>6.8958580493927002E-2</v>
      </c>
      <c r="BC117" s="108">
        <v>0.17759837210178375</v>
      </c>
      <c r="BD117" s="108">
        <v>0.15662282705307007</v>
      </c>
      <c r="BE117" s="108">
        <v>0.11022384464740753</v>
      </c>
      <c r="BF117" s="108">
        <v>9.9012255668640137E-2</v>
      </c>
      <c r="BG117" s="108">
        <v>0.13157956302165985</v>
      </c>
      <c r="BH117" s="108">
        <v>6.5595142543315887E-2</v>
      </c>
      <c r="BI117" s="108">
        <v>0.13906800746917725</v>
      </c>
      <c r="BJ117" s="108">
        <v>5.9037499129772186E-2</v>
      </c>
      <c r="BK117" s="108">
        <v>8.6537078022956848E-2</v>
      </c>
      <c r="BL117" s="108">
        <v>0.1482185423374176</v>
      </c>
    </row>
    <row r="118" spans="1:64" x14ac:dyDescent="0.2">
      <c r="A118" t="s">
        <v>535</v>
      </c>
      <c r="B118" s="108">
        <v>0.90569847822189331</v>
      </c>
      <c r="C118" s="108">
        <v>0.92332983016967773</v>
      </c>
      <c r="D118" s="108">
        <v>0.78830820322036743</v>
      </c>
      <c r="E118" s="108">
        <v>0.95781385898590088</v>
      </c>
      <c r="F118" s="108">
        <v>0.787128746509552</v>
      </c>
      <c r="G118" s="108">
        <v>0.86047166585922241</v>
      </c>
      <c r="H118" s="108">
        <v>0.86387258768081665</v>
      </c>
      <c r="I118" s="108">
        <v>0.86700528860092163</v>
      </c>
      <c r="J118" s="108">
        <v>0.8676726222038269</v>
      </c>
      <c r="K118" s="108">
        <v>0.75037431716918945</v>
      </c>
      <c r="L118" s="108">
        <v>0.41395238041877747</v>
      </c>
      <c r="M118" s="108">
        <v>0.74502122402191162</v>
      </c>
      <c r="N118" s="108">
        <v>0.9042741060256958</v>
      </c>
      <c r="O118" s="108">
        <v>0.94660234451293945</v>
      </c>
      <c r="P118" s="109"/>
      <c r="Q118" s="108">
        <v>0.80482697486877441</v>
      </c>
      <c r="R118" s="108">
        <v>0.8599008321762085</v>
      </c>
      <c r="S118" s="109">
        <v>0.85234415531158447</v>
      </c>
      <c r="T118" s="108">
        <v>0.85730224847793579</v>
      </c>
      <c r="U118" s="108">
        <v>0.80098980665206909</v>
      </c>
      <c r="V118" s="108">
        <v>1</v>
      </c>
      <c r="W118" s="108">
        <v>0.83932340145111084</v>
      </c>
      <c r="X118" s="108">
        <v>0.85502529144287109</v>
      </c>
      <c r="Y118" s="108">
        <v>0.84423184394836426</v>
      </c>
      <c r="Z118" s="108">
        <v>0.89013129472732544</v>
      </c>
      <c r="AA118" s="108">
        <v>0.9525752067565918</v>
      </c>
      <c r="AB118" s="108">
        <v>0.85781395435333252</v>
      </c>
      <c r="AC118" s="108">
        <v>0.76575905084609985</v>
      </c>
      <c r="AD118" s="108">
        <v>0.87999570369720459</v>
      </c>
      <c r="AE118" s="108">
        <v>0.67437005043029785</v>
      </c>
      <c r="AF118" s="108">
        <v>0.74113768339157104</v>
      </c>
      <c r="AG118" s="108">
        <v>0.9213520884513855</v>
      </c>
      <c r="AH118" s="108">
        <v>0.63543754816055298</v>
      </c>
      <c r="AI118" s="108">
        <v>0.82844048738479614</v>
      </c>
      <c r="AJ118" s="108">
        <v>0.691581130027771</v>
      </c>
      <c r="AK118" s="108">
        <v>0.81096172332763672</v>
      </c>
      <c r="AL118" s="108">
        <v>1</v>
      </c>
      <c r="AM118" s="108">
        <v>0.9031975269317627</v>
      </c>
      <c r="AN118" s="108">
        <v>0.8484838604927063</v>
      </c>
      <c r="AO118" s="108">
        <v>0.76337271928787231</v>
      </c>
      <c r="AP118" s="108">
        <v>0.74080443382263184</v>
      </c>
      <c r="AQ118" s="108">
        <v>0.78662765026092529</v>
      </c>
      <c r="AR118" s="108">
        <v>0.82893002033233643</v>
      </c>
      <c r="AS118" s="108">
        <v>0.7695164680480957</v>
      </c>
      <c r="AT118" s="108">
        <v>0.55929869413375854</v>
      </c>
      <c r="AU118" s="108">
        <v>0.5113486647605896</v>
      </c>
      <c r="AV118" s="108">
        <v>0.96616244316101074</v>
      </c>
      <c r="AW118" s="108">
        <v>0.90326970815658569</v>
      </c>
      <c r="AX118" s="108">
        <v>0.83969438076019287</v>
      </c>
      <c r="AY118" s="108">
        <v>0.91461092233657837</v>
      </c>
      <c r="AZ118" s="108">
        <v>0.9246029257774353</v>
      </c>
      <c r="BA118" s="108">
        <v>0.82192981243133545</v>
      </c>
      <c r="BB118" s="108">
        <v>0.87982046604156494</v>
      </c>
      <c r="BC118" s="108">
        <v>0.86288213729858398</v>
      </c>
      <c r="BD118" s="108">
        <v>0.86225259304046631</v>
      </c>
      <c r="BE118" s="108">
        <v>0.79891622066497803</v>
      </c>
      <c r="BF118" s="108">
        <v>0.77127975225448608</v>
      </c>
      <c r="BG118" s="108">
        <v>0.5448993444442749</v>
      </c>
      <c r="BH118" s="108">
        <v>0.60947465896606445</v>
      </c>
      <c r="BI118" s="108">
        <v>0.88414686918258667</v>
      </c>
      <c r="BJ118" s="108">
        <v>0.86039799451828003</v>
      </c>
      <c r="BK118" s="108">
        <v>0.78521668910980225</v>
      </c>
      <c r="BL118" s="108">
        <v>0.76871073246002197</v>
      </c>
    </row>
    <row r="119" spans="1:64" x14ac:dyDescent="0.2">
      <c r="A119" t="s">
        <v>536</v>
      </c>
      <c r="B119" s="108">
        <v>0.82506585121154785</v>
      </c>
      <c r="C119" s="108">
        <v>0.67903858423233032</v>
      </c>
      <c r="D119" s="108">
        <v>0.90068161487579346</v>
      </c>
      <c r="E119" s="108">
        <v>0.69277328252792358</v>
      </c>
      <c r="F119" s="108">
        <v>0.59406018257141113</v>
      </c>
      <c r="G119" s="108">
        <v>0.76458680629730225</v>
      </c>
      <c r="H119" s="108">
        <v>0.7722548246383667</v>
      </c>
      <c r="I119" s="108">
        <v>0.86700528860092163</v>
      </c>
      <c r="J119" s="108">
        <v>0.98771530389785767</v>
      </c>
      <c r="K119" s="108">
        <v>0.65309745073318481</v>
      </c>
      <c r="L119" s="108">
        <v>0.97727447748184204</v>
      </c>
      <c r="M119" s="108">
        <v>0.79234886169433594</v>
      </c>
      <c r="N119" s="108">
        <v>0.86857688426971436</v>
      </c>
      <c r="O119" s="108">
        <v>0.90412646532058716</v>
      </c>
      <c r="P119" s="109"/>
      <c r="Q119" s="108">
        <v>0.88230115175247192</v>
      </c>
      <c r="R119" s="108">
        <v>0.80492991209030151</v>
      </c>
      <c r="S119" s="109">
        <v>0.86846864223480225</v>
      </c>
      <c r="T119" s="108">
        <v>0.8637816309928894</v>
      </c>
      <c r="U119" s="108">
        <v>0.80098980665206909</v>
      </c>
      <c r="V119" s="108">
        <v>0.98878055810928345</v>
      </c>
      <c r="W119" s="108">
        <v>0.76186287403106689</v>
      </c>
      <c r="X119" s="108">
        <v>0.78994941711425781</v>
      </c>
      <c r="Y119" s="108">
        <v>0.89134782552719116</v>
      </c>
      <c r="Z119" s="108">
        <v>0.94506567716598511</v>
      </c>
      <c r="AA119" s="108">
        <v>0.72563260793685913</v>
      </c>
      <c r="AB119" s="108">
        <v>0.72340059280395508</v>
      </c>
      <c r="AC119" s="108">
        <v>0.85514938831329346</v>
      </c>
      <c r="AD119" s="108">
        <v>0.76446586847305298</v>
      </c>
      <c r="AE119" s="108">
        <v>0.89335912466049194</v>
      </c>
      <c r="AF119" s="108">
        <v>0.93921798467636108</v>
      </c>
      <c r="AG119" s="108">
        <v>0.96322226524353027</v>
      </c>
      <c r="AH119" s="108">
        <v>0.89782100915908813</v>
      </c>
      <c r="AI119" s="108">
        <v>0.87369900941848755</v>
      </c>
      <c r="AJ119" s="108">
        <v>0.73278778791427612</v>
      </c>
      <c r="AK119" s="108">
        <v>0.81096172332763672</v>
      </c>
      <c r="AL119" s="108">
        <v>0.83803433179855347</v>
      </c>
      <c r="AM119" s="108">
        <v>0.88348585367202759</v>
      </c>
      <c r="AN119" s="108">
        <v>0.89802712202072144</v>
      </c>
      <c r="AO119" s="108">
        <v>0.82252955436706543</v>
      </c>
      <c r="AP119" s="108">
        <v>0.79854577779769897</v>
      </c>
      <c r="AQ119" s="108">
        <v>0.83449381589889526</v>
      </c>
      <c r="AR119" s="108">
        <v>0.89808499813079834</v>
      </c>
      <c r="AS119" s="108">
        <v>0.9066542387008667</v>
      </c>
      <c r="AT119" s="108">
        <v>0.72896271944046021</v>
      </c>
      <c r="AU119" s="108">
        <v>0.75260812044143677</v>
      </c>
      <c r="AV119" s="108">
        <v>0.92225593328475952</v>
      </c>
      <c r="AW119" s="108">
        <v>0.8642202615737915</v>
      </c>
      <c r="AX119" s="108">
        <v>0.77557212114334106</v>
      </c>
      <c r="AY119" s="108">
        <v>0.84924942255020142</v>
      </c>
      <c r="AZ119" s="108">
        <v>0.79941445589065552</v>
      </c>
      <c r="BA119" s="108">
        <v>0.83029592037200928</v>
      </c>
      <c r="BB119" s="108">
        <v>0.89271402359008789</v>
      </c>
      <c r="BC119" s="108">
        <v>0.90622031688690186</v>
      </c>
      <c r="BD119" s="108">
        <v>0.82439965009689331</v>
      </c>
      <c r="BE119" s="108">
        <v>0.93297207355499268</v>
      </c>
      <c r="BF119" s="108">
        <v>0.80850839614868164</v>
      </c>
      <c r="BG119" s="108">
        <v>0.82528918981552124</v>
      </c>
      <c r="BH119" s="108">
        <v>0.91284531354904175</v>
      </c>
      <c r="BI119" s="108">
        <v>0.84393370151519775</v>
      </c>
      <c r="BJ119" s="108">
        <v>0.86166650056838989</v>
      </c>
      <c r="BK119" s="108">
        <v>0.9666258692741394</v>
      </c>
      <c r="BL119" s="108">
        <v>0.85940772294998169</v>
      </c>
    </row>
    <row r="120" spans="1:64" x14ac:dyDescent="0.2">
      <c r="A120" t="s">
        <v>537</v>
      </c>
      <c r="B120" s="108">
        <v>3.4729099273681641</v>
      </c>
      <c r="C120" s="108">
        <v>3.1949453353881836</v>
      </c>
      <c r="D120" s="108">
        <v>3.1335089206695557</v>
      </c>
      <c r="E120" s="108">
        <v>3.3140368461608887</v>
      </c>
      <c r="F120" s="108">
        <v>2.9504983425140381</v>
      </c>
      <c r="G120" s="108">
        <v>3.9166667461395264</v>
      </c>
      <c r="H120" s="108">
        <v>2.6669111251831055</v>
      </c>
      <c r="I120" s="108">
        <v>3.6010158061981201</v>
      </c>
      <c r="J120" s="108">
        <v>3.6030178070068359</v>
      </c>
      <c r="K120" s="108">
        <v>3.2198436260223389</v>
      </c>
      <c r="L120" s="108">
        <v>3.1681842803955078</v>
      </c>
      <c r="M120" s="108">
        <v>3.5971012115478516</v>
      </c>
      <c r="N120" s="108">
        <v>3.3128700256347656</v>
      </c>
      <c r="O120" s="108">
        <v>3.6601929664611816</v>
      </c>
      <c r="P120" s="109"/>
      <c r="Q120" s="108">
        <v>3.6096539497375488</v>
      </c>
      <c r="R120" s="108">
        <v>3.0336449146270752</v>
      </c>
      <c r="S120" s="109">
        <v>3.2206869125366211</v>
      </c>
      <c r="T120" s="108">
        <v>3.3576755523681641</v>
      </c>
      <c r="U120" s="108">
        <v>2.7064337730407715</v>
      </c>
      <c r="V120" s="108">
        <v>3.668658971786499</v>
      </c>
      <c r="W120" s="108">
        <v>3.2976274490356445</v>
      </c>
      <c r="X120" s="108">
        <v>3.2899494171142578</v>
      </c>
      <c r="Y120" s="108">
        <v>3.6158623695373535</v>
      </c>
      <c r="Z120" s="108">
        <v>3.6703939437866211</v>
      </c>
      <c r="AA120" s="108">
        <v>3.553001880645752</v>
      </c>
      <c r="AB120" s="108">
        <v>3.5428352355957031</v>
      </c>
      <c r="AC120" s="108">
        <v>3.3812050819396973</v>
      </c>
      <c r="AD120" s="108">
        <v>3.6925604343414307</v>
      </c>
      <c r="AE120" s="108">
        <v>3.3460996150970459</v>
      </c>
      <c r="AF120" s="108">
        <v>3.4529616832733154</v>
      </c>
      <c r="AG120" s="108">
        <v>3.5364425182342529</v>
      </c>
      <c r="AH120" s="108">
        <v>3.5554473400115967</v>
      </c>
      <c r="AI120" s="108">
        <v>3.5408334732055664</v>
      </c>
      <c r="AJ120" s="108">
        <v>3.1983633041381836</v>
      </c>
      <c r="AK120" s="108">
        <v>3.1808340549468994</v>
      </c>
      <c r="AL120" s="108">
        <v>3.4921574592590332</v>
      </c>
      <c r="AM120" s="108">
        <v>3.6512999534606934</v>
      </c>
      <c r="AN120" s="108">
        <v>3.4238839149475098</v>
      </c>
      <c r="AO120" s="108">
        <v>3.5267455577850342</v>
      </c>
      <c r="AP120" s="108">
        <v>2.9575364589691162</v>
      </c>
      <c r="AQ120" s="108">
        <v>3.4438745975494385</v>
      </c>
      <c r="AR120" s="108">
        <v>3.547785758972168</v>
      </c>
      <c r="AS120" s="108">
        <v>3.5178689956665039</v>
      </c>
      <c r="AT120" s="108">
        <v>2.7941808700561523</v>
      </c>
      <c r="AU120" s="108">
        <v>2.8893446922302246</v>
      </c>
      <c r="AV120" s="108">
        <v>3.6415109634399414</v>
      </c>
      <c r="AW120" s="108">
        <v>3.2403371334075928</v>
      </c>
      <c r="AX120" s="108">
        <v>3.2946553230285645</v>
      </c>
      <c r="AY120" s="108">
        <v>3.51564621925354</v>
      </c>
      <c r="AZ120" s="108">
        <v>3.2211806774139404</v>
      </c>
      <c r="BA120" s="108">
        <v>3.6075348854064941</v>
      </c>
      <c r="BB120" s="108">
        <v>3.34480881690979</v>
      </c>
      <c r="BC120" s="108">
        <v>3.0625832080841064</v>
      </c>
      <c r="BD120" s="108">
        <v>3.2097983360290527</v>
      </c>
      <c r="BE120" s="108">
        <v>3.791215181350708</v>
      </c>
      <c r="BF120" s="108">
        <v>3.2449972629547119</v>
      </c>
      <c r="BG120" s="108">
        <v>3.5080440044403076</v>
      </c>
      <c r="BH120" s="108">
        <v>3.4735352993011475</v>
      </c>
      <c r="BI120" s="108">
        <v>3.2312164306640625</v>
      </c>
      <c r="BJ120" s="108">
        <v>3.0474984645843506</v>
      </c>
      <c r="BK120" s="108">
        <v>3.4348244667053223</v>
      </c>
      <c r="BL120" s="108">
        <v>3.7656795978546143</v>
      </c>
    </row>
    <row r="121" spans="1:64" x14ac:dyDescent="0.2">
      <c r="A121" t="s">
        <v>301</v>
      </c>
      <c r="B121" s="108">
        <v>0.99418604373931885</v>
      </c>
      <c r="C121" s="108">
        <v>0.92857140302658081</v>
      </c>
      <c r="D121" s="108">
        <v>0.9375</v>
      </c>
      <c r="E121" s="108">
        <v>1</v>
      </c>
      <c r="F121" s="108">
        <v>0.97560977935791016</v>
      </c>
      <c r="G121" s="108">
        <v>0.90163934230804443</v>
      </c>
      <c r="H121" s="108">
        <v>0.875</v>
      </c>
      <c r="I121" s="108">
        <v>0.95161288976669312</v>
      </c>
      <c r="J121" s="108">
        <v>0.98113209009170532</v>
      </c>
      <c r="K121" s="108">
        <v>1</v>
      </c>
      <c r="L121" s="108">
        <v>0.96666663885116577</v>
      </c>
      <c r="M121" s="108">
        <v>0.94545453786849976</v>
      </c>
      <c r="N121" s="108">
        <v>0.94642859697341919</v>
      </c>
      <c r="O121" s="108">
        <v>1</v>
      </c>
      <c r="P121" s="109"/>
      <c r="Q121" s="108">
        <v>0.97619044780731201</v>
      </c>
      <c r="R121" s="108">
        <v>0.94444441795349121</v>
      </c>
      <c r="S121" s="109">
        <v>0.97647058963775635</v>
      </c>
      <c r="T121" s="108">
        <v>0.97674417495727539</v>
      </c>
      <c r="U121" s="108">
        <v>0.97435897588729858</v>
      </c>
      <c r="V121" s="108">
        <v>1</v>
      </c>
      <c r="W121" s="108">
        <v>1</v>
      </c>
      <c r="X121" s="108">
        <v>0.9047619104385376</v>
      </c>
      <c r="Y121" s="108">
        <v>0.97777777910232544</v>
      </c>
      <c r="Z121" s="108">
        <v>0.93181818723678589</v>
      </c>
      <c r="AA121" s="108">
        <v>0.95652174949645996</v>
      </c>
      <c r="AB121" s="108">
        <v>0.94999998807907104</v>
      </c>
      <c r="AC121" s="108">
        <v>0.90909093618392944</v>
      </c>
      <c r="AD121" s="108">
        <v>0.94642859697341919</v>
      </c>
      <c r="AE121" s="108">
        <v>0.89705884456634521</v>
      </c>
      <c r="AF121" s="108">
        <v>0.95555555820465088</v>
      </c>
      <c r="AG121" s="108">
        <v>0.98148149251937866</v>
      </c>
      <c r="AH121" s="108">
        <v>0.97916668653488159</v>
      </c>
      <c r="AI121" s="108">
        <v>0.90697675943374634</v>
      </c>
      <c r="AJ121" s="108">
        <v>1</v>
      </c>
      <c r="AK121" s="108">
        <v>0.94230771064758301</v>
      </c>
      <c r="AL121" s="108">
        <v>0.9523809552192688</v>
      </c>
      <c r="AM121" s="108">
        <v>0.94444441795349121</v>
      </c>
      <c r="AN121" s="108">
        <v>0.95918369293212891</v>
      </c>
      <c r="AO121" s="108">
        <v>0.96774190664291382</v>
      </c>
      <c r="AP121" s="108">
        <v>0.837837815284729</v>
      </c>
      <c r="AQ121" s="108">
        <v>0.97872340679168701</v>
      </c>
      <c r="AR121" s="108">
        <v>0.953125</v>
      </c>
      <c r="AS121" s="108">
        <v>0.98181819915771484</v>
      </c>
      <c r="AT121" s="108">
        <v>0.95945948362350464</v>
      </c>
      <c r="AU121" s="108">
        <v>0.95999997854232788</v>
      </c>
      <c r="AV121" s="108">
        <v>0.95081967115402222</v>
      </c>
      <c r="AW121" s="108">
        <v>0.94573640823364258</v>
      </c>
      <c r="AX121" s="108">
        <v>0.96153843402862549</v>
      </c>
      <c r="AY121" s="108">
        <v>0.96428573131561279</v>
      </c>
      <c r="AZ121" s="108">
        <v>1</v>
      </c>
      <c r="BA121" s="108">
        <v>0.93548387289047241</v>
      </c>
      <c r="BB121" s="108">
        <v>1</v>
      </c>
      <c r="BC121" s="108">
        <v>0.953125</v>
      </c>
      <c r="BD121" s="108">
        <v>0.93617022037506104</v>
      </c>
      <c r="BE121" s="108">
        <v>0.97014927864074707</v>
      </c>
      <c r="BF121" s="108">
        <v>0.91735535860061646</v>
      </c>
      <c r="BG121" s="108">
        <v>0.953125</v>
      </c>
      <c r="BH121" s="108">
        <v>0.95348834991455078</v>
      </c>
      <c r="BI121" s="108">
        <v>0.9298245906829834</v>
      </c>
      <c r="BJ121" s="108">
        <v>0.93589740991592407</v>
      </c>
      <c r="BK121" s="108">
        <v>0.953125</v>
      </c>
      <c r="BL121" s="108">
        <v>0.89090907573699951</v>
      </c>
    </row>
    <row r="122" spans="1:64" x14ac:dyDescent="0.2">
      <c r="A122" t="s">
        <v>303</v>
      </c>
      <c r="B122" s="108">
        <v>3.8163995742797852</v>
      </c>
      <c r="C122" s="108">
        <v>3.3975257873535156</v>
      </c>
      <c r="D122" s="108">
        <v>3.1131477355957031</v>
      </c>
      <c r="E122" s="108">
        <v>3.409369945526123</v>
      </c>
      <c r="F122" s="108">
        <v>3.6783792972564697</v>
      </c>
      <c r="G122" s="108">
        <v>3.3449268341064453</v>
      </c>
      <c r="H122" s="108">
        <v>2.7454543113708496</v>
      </c>
      <c r="I122" s="108">
        <v>3.3356533050537109</v>
      </c>
      <c r="J122" s="108">
        <v>3.2244441509246826</v>
      </c>
      <c r="K122" s="108">
        <v>3.3867831230163574</v>
      </c>
      <c r="L122" s="108">
        <v>2.8817315101623535</v>
      </c>
      <c r="M122" s="108">
        <v>3.3772659301757813</v>
      </c>
      <c r="N122" s="108">
        <v>3.3741576671600342</v>
      </c>
      <c r="O122" s="108">
        <v>3.7378318309783936</v>
      </c>
      <c r="P122" s="109"/>
      <c r="Q122" s="108">
        <v>3.7458257675170898</v>
      </c>
      <c r="R122" s="108">
        <v>3.8967959880828857</v>
      </c>
      <c r="S122" s="109">
        <v>3.785269021987915</v>
      </c>
      <c r="T122" s="108">
        <v>3.6635684967041016</v>
      </c>
      <c r="U122" s="108">
        <v>3.695401668548584</v>
      </c>
      <c r="V122" s="108">
        <v>3.5520803928375244</v>
      </c>
      <c r="W122" s="108">
        <v>3.6516382694244385</v>
      </c>
      <c r="X122" s="108">
        <v>3.6484601497650146</v>
      </c>
      <c r="Y122" s="108">
        <v>3.5235872268676758</v>
      </c>
      <c r="Z122" s="108">
        <v>3.5044937133789063</v>
      </c>
      <c r="AA122" s="108">
        <v>3.6916000843048096</v>
      </c>
      <c r="AB122" s="108">
        <v>3.6067631244659424</v>
      </c>
      <c r="AC122" s="108">
        <v>3.8673012256622314</v>
      </c>
      <c r="AD122" s="108">
        <v>3.2216639518737793</v>
      </c>
      <c r="AE122" s="108">
        <v>3.10504150390625</v>
      </c>
      <c r="AF122" s="108">
        <v>3.4427881240844727</v>
      </c>
      <c r="AG122" s="108">
        <v>3.6292984485626221</v>
      </c>
      <c r="AH122" s="108">
        <v>3.6290414333343506</v>
      </c>
      <c r="AI122" s="108">
        <v>3.2022168636322021</v>
      </c>
      <c r="AJ122" s="108">
        <v>3.6967618465423584</v>
      </c>
      <c r="AK122" s="108">
        <v>3.1531848907470703</v>
      </c>
      <c r="AL122" s="108">
        <v>3.5511734485626221</v>
      </c>
      <c r="AM122" s="108">
        <v>3.4324893951416016</v>
      </c>
      <c r="AN122" s="108">
        <v>3.5591988563537598</v>
      </c>
      <c r="AO122" s="108">
        <v>3.0999174118041992</v>
      </c>
      <c r="AP122" s="108">
        <v>3.2485466003417969</v>
      </c>
      <c r="AQ122" s="108">
        <v>3.6382088661193848</v>
      </c>
      <c r="AR122" s="108">
        <v>3.4567062854766846</v>
      </c>
      <c r="AS122" s="108">
        <v>3.5214147567749023</v>
      </c>
      <c r="AT122" s="108">
        <v>3.2002134323120117</v>
      </c>
      <c r="AU122" s="108">
        <v>3.1786601543426514</v>
      </c>
      <c r="AV122" s="108">
        <v>3.8397717475891113</v>
      </c>
      <c r="AW122" s="108">
        <v>3.5103232860565186</v>
      </c>
      <c r="AX122" s="108">
        <v>3.2092223167419434</v>
      </c>
      <c r="AY122" s="108">
        <v>3.5047657489776611</v>
      </c>
      <c r="AZ122" s="108">
        <v>3.1104068756103516</v>
      </c>
      <c r="BA122" s="108">
        <v>3.2718441486358643</v>
      </c>
      <c r="BB122" s="108">
        <v>3.3221521377563477</v>
      </c>
      <c r="BC122" s="108">
        <v>3.2322571277618408</v>
      </c>
      <c r="BD122" s="108">
        <v>3.4200122356414795</v>
      </c>
      <c r="BE122" s="108">
        <v>3.2604377269744873</v>
      </c>
      <c r="BF122" s="108">
        <v>3.5588369369506836</v>
      </c>
      <c r="BG122" s="108">
        <v>3.7552917003631592</v>
      </c>
      <c r="BH122" s="108">
        <v>3.2857069969177246</v>
      </c>
      <c r="BI122" s="108">
        <v>3.3586955070495605</v>
      </c>
      <c r="BJ122" s="108">
        <v>3.7314934730529785</v>
      </c>
      <c r="BK122" s="108">
        <v>3.7650494575500488</v>
      </c>
      <c r="BL122" s="108">
        <v>3.5168056488037109</v>
      </c>
    </row>
    <row r="123" spans="1:64" x14ac:dyDescent="0.2">
      <c r="A123" t="s">
        <v>299</v>
      </c>
      <c r="B123" s="108">
        <v>0.15148293972015381</v>
      </c>
      <c r="C123" s="108">
        <v>0.30321604013442993</v>
      </c>
      <c r="D123" s="108">
        <v>0.27909880876541138</v>
      </c>
      <c r="E123" s="108">
        <v>0.23112280666828156</v>
      </c>
      <c r="F123" s="108">
        <v>0.20352047681808472</v>
      </c>
      <c r="G123" s="108">
        <v>0.30328783392906189</v>
      </c>
      <c r="H123" s="108">
        <v>0.33992424607276917</v>
      </c>
      <c r="I123" s="108">
        <v>0.23187358677387238</v>
      </c>
      <c r="J123" s="108">
        <v>0.2791706919670105</v>
      </c>
      <c r="K123" s="108">
        <v>0.3291059136390686</v>
      </c>
      <c r="L123" s="108">
        <v>0.16527989506721497</v>
      </c>
      <c r="M123" s="108">
        <v>0.15521402657032013</v>
      </c>
      <c r="N123" s="108">
        <v>0.28346067667007446</v>
      </c>
      <c r="O123" s="108">
        <v>0.16694365441799164</v>
      </c>
      <c r="P123" s="109"/>
      <c r="Q123" s="108">
        <v>0.17558634281158447</v>
      </c>
      <c r="R123" s="108">
        <v>0.15276023745536804</v>
      </c>
      <c r="S123" s="109">
        <v>0.29155996441841125</v>
      </c>
      <c r="T123" s="108">
        <v>0.22078105807304382</v>
      </c>
      <c r="U123" s="108">
        <v>0.2137487381696701</v>
      </c>
      <c r="V123" s="108">
        <v>0.25058320164680481</v>
      </c>
      <c r="W123" s="108">
        <v>0.20020730793476105</v>
      </c>
      <c r="X123" s="108">
        <v>0.23226922750473022</v>
      </c>
      <c r="Y123" s="108">
        <v>0.25896155834197998</v>
      </c>
      <c r="Z123" s="108">
        <v>0.20749746263027191</v>
      </c>
      <c r="AA123" s="108">
        <v>0.2243804931640625</v>
      </c>
      <c r="AB123" s="108">
        <v>0.25269266963005066</v>
      </c>
      <c r="AC123" s="108">
        <v>0.24539998173713684</v>
      </c>
      <c r="AD123" s="108">
        <v>0.29066532850265503</v>
      </c>
      <c r="AE123" s="108">
        <v>0.35092326998710632</v>
      </c>
      <c r="AF123" s="108">
        <v>0.23884905874729156</v>
      </c>
      <c r="AG123" s="108">
        <v>0.20130138099193573</v>
      </c>
      <c r="AH123" s="108">
        <v>0.23037658631801605</v>
      </c>
      <c r="AI123" s="108">
        <v>0.20795603096485138</v>
      </c>
      <c r="AJ123" s="108">
        <v>0.18613959848880768</v>
      </c>
      <c r="AK123" s="108">
        <v>0.24203617870807648</v>
      </c>
      <c r="AL123" s="108">
        <v>0.22142520546913147</v>
      </c>
      <c r="AM123" s="108">
        <v>0.2860335111618042</v>
      </c>
      <c r="AN123" s="108">
        <v>0.21422146260738373</v>
      </c>
      <c r="AO123" s="108">
        <v>0.28584989905357361</v>
      </c>
      <c r="AP123" s="108">
        <v>0.188935786485672</v>
      </c>
      <c r="AQ123" s="108">
        <v>0.24831989407539368</v>
      </c>
      <c r="AR123" s="108">
        <v>0.21078701317310333</v>
      </c>
      <c r="AS123" s="108">
        <v>0.2267773300409317</v>
      </c>
      <c r="AT123" s="108">
        <v>0.39857745170593262</v>
      </c>
      <c r="AU123" s="108">
        <v>0.23527050018310547</v>
      </c>
      <c r="AV123" s="108">
        <v>0.18332211673259735</v>
      </c>
      <c r="AW123" s="108">
        <v>0.23956029117107391</v>
      </c>
      <c r="AX123" s="108">
        <v>0.22717852890491486</v>
      </c>
      <c r="AY123" s="108">
        <v>0.14056606590747833</v>
      </c>
      <c r="AZ123" s="108">
        <v>0.28407219052314758</v>
      </c>
      <c r="BA123" s="108">
        <v>0.34279659390449524</v>
      </c>
      <c r="BB123" s="108">
        <v>0.22879429161548615</v>
      </c>
      <c r="BC123" s="108">
        <v>0.31083932518959045</v>
      </c>
      <c r="BD123" s="108">
        <v>0.24448809027671814</v>
      </c>
      <c r="BE123" s="108">
        <v>0.35767731070518494</v>
      </c>
      <c r="BF123" s="108">
        <v>0.31980440020561218</v>
      </c>
      <c r="BG123" s="108">
        <v>0.32138523459434509</v>
      </c>
      <c r="BH123" s="108">
        <v>0.28025084733963013</v>
      </c>
      <c r="BI123" s="108">
        <v>0.29581937193870544</v>
      </c>
      <c r="BJ123" s="108">
        <v>0.38148167729377747</v>
      </c>
      <c r="BK123" s="108">
        <v>0.30418774485588074</v>
      </c>
      <c r="BL123" s="108">
        <v>0.2899402379989624</v>
      </c>
    </row>
    <row r="124" spans="1:64" x14ac:dyDescent="0.2">
      <c r="A124" t="s">
        <v>538</v>
      </c>
      <c r="B124" s="108">
        <v>4.1863031387329102</v>
      </c>
      <c r="C124" s="108">
        <v>4.1239914894104004</v>
      </c>
      <c r="D124" s="108">
        <v>4.0254344940185547</v>
      </c>
      <c r="E124" s="108">
        <v>4.1089563369750977</v>
      </c>
      <c r="F124" s="108">
        <v>4.1029019355773926</v>
      </c>
      <c r="G124" s="108">
        <v>3.8726263046264648</v>
      </c>
      <c r="H124" s="108">
        <v>3.9743633270263672</v>
      </c>
      <c r="I124" s="108">
        <v>4.0335955619812012</v>
      </c>
      <c r="J124" s="108">
        <v>4.030522346496582</v>
      </c>
      <c r="K124" s="108">
        <v>4.0992307662963867</v>
      </c>
      <c r="L124" s="108">
        <v>4.1247539520263672</v>
      </c>
      <c r="M124" s="108">
        <v>3.9763081073760986</v>
      </c>
      <c r="N124" s="108">
        <v>4.1422505378723145</v>
      </c>
      <c r="O124" s="108">
        <v>4.5633649826049805</v>
      </c>
      <c r="P124" s="109"/>
      <c r="Q124" s="108">
        <v>4.1100559234619141</v>
      </c>
      <c r="R124" s="108">
        <v>4.2333345413208008</v>
      </c>
      <c r="S124" s="109">
        <v>4.303919792175293</v>
      </c>
      <c r="T124" s="108">
        <v>4.1996421813964844</v>
      </c>
      <c r="U124" s="108">
        <v>4.1457138061523438</v>
      </c>
      <c r="V124" s="108">
        <v>4.3916707038879395</v>
      </c>
      <c r="W124" s="108">
        <v>3.9796919822692871</v>
      </c>
      <c r="X124" s="108">
        <v>4.2601394653320313</v>
      </c>
      <c r="Y124" s="108">
        <v>4.0699930191040039</v>
      </c>
      <c r="Z124" s="108">
        <v>4.084681510925293</v>
      </c>
      <c r="AA124" s="108">
        <v>4.4200491905212402</v>
      </c>
      <c r="AB124" s="108">
        <v>4.0252866744995117</v>
      </c>
      <c r="AC124" s="108">
        <v>3.9729161262512207</v>
      </c>
      <c r="AD124" s="108">
        <v>3.9224798679351807</v>
      </c>
      <c r="AE124" s="108">
        <v>4.040496826171875</v>
      </c>
      <c r="AF124" s="108">
        <v>4.3515081405639648</v>
      </c>
      <c r="AG124" s="108">
        <v>4.0835871696472168</v>
      </c>
      <c r="AH124" s="108">
        <v>4.3071441650390625</v>
      </c>
      <c r="AI124" s="108">
        <v>4.0475234985351563</v>
      </c>
      <c r="AJ124" s="108">
        <v>4.2274961471557617</v>
      </c>
      <c r="AK124" s="108">
        <v>4.0204696655273438</v>
      </c>
      <c r="AL124" s="108">
        <v>4.1810793876647949</v>
      </c>
      <c r="AM124" s="108">
        <v>4.4429740905761719</v>
      </c>
      <c r="AN124" s="108">
        <v>4.308049201965332</v>
      </c>
      <c r="AO124" s="108">
        <v>3.9571800231933594</v>
      </c>
      <c r="AP124" s="108">
        <v>3.930497407913208</v>
      </c>
      <c r="AQ124" s="108">
        <v>4.1871242523193359</v>
      </c>
      <c r="AR124" s="108">
        <v>4.1489052772521973</v>
      </c>
      <c r="AS124" s="108">
        <v>4.1653246879577637</v>
      </c>
      <c r="AT124" s="108">
        <v>4.1515583992004395</v>
      </c>
      <c r="AU124" s="108">
        <v>3.9219841957092285</v>
      </c>
      <c r="AV124" s="108">
        <v>4.3763132095336914</v>
      </c>
      <c r="AW124" s="108">
        <v>4.0234103202819824</v>
      </c>
      <c r="AX124" s="108">
        <v>4.1454644203186035</v>
      </c>
      <c r="AY124" s="108">
        <v>4.2796673774719238</v>
      </c>
      <c r="AZ124" s="108">
        <v>4.1185464859008789</v>
      </c>
      <c r="BA124" s="108">
        <v>4.2305140495300293</v>
      </c>
      <c r="BB124" s="108">
        <v>4.3103647232055664</v>
      </c>
      <c r="BC124" s="108">
        <v>4.1454429626464844</v>
      </c>
      <c r="BD124" s="108">
        <v>4.4371528625488281</v>
      </c>
      <c r="BE124" s="108">
        <v>4.3901853561401367</v>
      </c>
      <c r="BF124" s="108">
        <v>4.3396968841552734</v>
      </c>
      <c r="BG124" s="108">
        <v>4.2665119171142578</v>
      </c>
      <c r="BH124" s="108">
        <v>4.009739875793457</v>
      </c>
      <c r="BI124" s="108">
        <v>4.4425539970397949</v>
      </c>
      <c r="BJ124" s="108">
        <v>4.4677667617797852</v>
      </c>
      <c r="BK124" s="108">
        <v>4.5941014289855957</v>
      </c>
      <c r="BL124" s="108">
        <v>4.5282793045043945</v>
      </c>
    </row>
    <row r="125" spans="1:64" x14ac:dyDescent="0.2">
      <c r="A125" t="s">
        <v>539</v>
      </c>
      <c r="B125" s="108">
        <v>3.781501293182373</v>
      </c>
      <c r="C125" s="108">
        <v>3.2712090015411377</v>
      </c>
      <c r="D125" s="108">
        <v>3.6782069206237793</v>
      </c>
      <c r="E125" s="108">
        <v>3.8429815769195557</v>
      </c>
      <c r="F125" s="108">
        <v>3.2910072803497314</v>
      </c>
      <c r="G125" s="108">
        <v>3.6312813758850098</v>
      </c>
      <c r="H125" s="108">
        <v>3.4985337257385254</v>
      </c>
      <c r="I125" s="108">
        <v>3.6337344646453857</v>
      </c>
      <c r="J125" s="108">
        <v>3.8676726818084717</v>
      </c>
      <c r="K125" s="108">
        <v>3.103710412979126</v>
      </c>
      <c r="L125" s="108">
        <v>3.8863725662231445</v>
      </c>
      <c r="M125" s="108">
        <v>3.7880966663360596</v>
      </c>
      <c r="N125" s="108">
        <v>3.6871299743652344</v>
      </c>
      <c r="O125" s="108">
        <v>3.9466023445129395</v>
      </c>
      <c r="P125" s="109"/>
      <c r="Q125" s="108">
        <v>3.5387370586395264</v>
      </c>
      <c r="R125" s="108">
        <v>3.8497662544250488</v>
      </c>
      <c r="S125" s="109">
        <v>3.7839689254760742</v>
      </c>
      <c r="T125" s="108">
        <v>3.6500284671783447</v>
      </c>
      <c r="U125" s="108">
        <v>3</v>
      </c>
      <c r="V125" s="108">
        <v>4.370976448059082</v>
      </c>
      <c r="W125" s="108">
        <v>3.5893235206604004</v>
      </c>
      <c r="X125" s="108">
        <v>4.0854601860046387</v>
      </c>
      <c r="Y125" s="108">
        <v>3.6701884269714355</v>
      </c>
      <c r="Z125" s="108">
        <v>3.793724536895752</v>
      </c>
      <c r="AA125" s="108">
        <v>3.8810145854949951</v>
      </c>
      <c r="AB125" s="108">
        <v>3.681605339050293</v>
      </c>
      <c r="AC125" s="108">
        <v>3.7890834808349609</v>
      </c>
      <c r="AD125" s="108">
        <v>4.0305743217468262</v>
      </c>
      <c r="AE125" s="108">
        <v>3.6213052272796631</v>
      </c>
      <c r="AF125" s="108">
        <v>3.676422119140625</v>
      </c>
      <c r="AG125" s="108">
        <v>3.9278361797332764</v>
      </c>
      <c r="AH125" s="108">
        <v>3.75980544090271</v>
      </c>
      <c r="AI125" s="108">
        <v>3.8068451881408691</v>
      </c>
      <c r="AJ125" s="108">
        <v>3.7289528846740723</v>
      </c>
      <c r="AK125" s="108">
        <v>3.5726127624511719</v>
      </c>
      <c r="AL125" s="108">
        <v>3.85323166847229</v>
      </c>
      <c r="AM125" s="108">
        <v>4.1707191467285156</v>
      </c>
      <c r="AN125" s="108">
        <v>3.8567192554473877</v>
      </c>
      <c r="AO125" s="108">
        <v>3.2690386772155762</v>
      </c>
      <c r="AP125" s="108">
        <v>3.3557901382446289</v>
      </c>
      <c r="AQ125" s="108">
        <v>3.4372177124023438</v>
      </c>
      <c r="AR125" s="108">
        <v>3.9359586238861084</v>
      </c>
      <c r="AS125" s="108">
        <v>3.6380183696746826</v>
      </c>
      <c r="AT125" s="108">
        <v>3.4984986782073975</v>
      </c>
      <c r="AU125" s="108">
        <v>3.1736767292022705</v>
      </c>
      <c r="AV125" s="108">
        <v>3.99519944190979</v>
      </c>
      <c r="AW125" s="108">
        <v>3.9768400192260742</v>
      </c>
      <c r="AX125" s="108">
        <v>3.6778748035430908</v>
      </c>
      <c r="AY125" s="108">
        <v>4.0387253761291504</v>
      </c>
      <c r="AZ125" s="108">
        <v>3.8870046138763428</v>
      </c>
      <c r="BA125" s="108">
        <v>4.1478676795959473</v>
      </c>
      <c r="BB125" s="108">
        <v>4.417668342590332</v>
      </c>
      <c r="BC125" s="108">
        <v>4.0114130973815918</v>
      </c>
      <c r="BD125" s="108">
        <v>3.7434389591217041</v>
      </c>
      <c r="BE125" s="108">
        <v>4.5439248085021973</v>
      </c>
      <c r="BF125" s="108">
        <v>4.0051488876342773</v>
      </c>
      <c r="BG125" s="108">
        <v>3.9919559955596924</v>
      </c>
      <c r="BH125" s="108">
        <v>3.7087705135345459</v>
      </c>
      <c r="BI125" s="108">
        <v>3.8150396347045898</v>
      </c>
      <c r="BJ125" s="108">
        <v>4.1244711875915527</v>
      </c>
      <c r="BK125" s="108">
        <v>4.1633052825927734</v>
      </c>
      <c r="BL125" s="108">
        <v>4.1734671592712402</v>
      </c>
    </row>
    <row r="126" spans="1:64" x14ac:dyDescent="0.2">
      <c r="A126" t="s">
        <v>305</v>
      </c>
      <c r="B126" s="108">
        <v>4.2226719856262207</v>
      </c>
      <c r="C126" s="108">
        <v>4.0334129333496094</v>
      </c>
      <c r="D126" s="108">
        <v>3.9069321155548096</v>
      </c>
      <c r="E126" s="108">
        <v>4.0798373222351074</v>
      </c>
      <c r="F126" s="108">
        <v>4.2891898155212402</v>
      </c>
      <c r="G126" s="108">
        <v>3.805727481842041</v>
      </c>
      <c r="H126" s="108">
        <v>3.9380118846893311</v>
      </c>
      <c r="I126" s="108">
        <v>4.1567840576171875</v>
      </c>
      <c r="J126" s="108">
        <v>4.0273098945617676</v>
      </c>
      <c r="K126" s="108">
        <v>3.9453568458557129</v>
      </c>
      <c r="L126" s="108">
        <v>3.8362698554992676</v>
      </c>
      <c r="M126" s="108">
        <v>4.1088361740112305</v>
      </c>
      <c r="N126" s="108">
        <v>4.2142786979675293</v>
      </c>
      <c r="O126" s="108">
        <v>4.4006199836730957</v>
      </c>
      <c r="P126" s="109"/>
      <c r="Q126" s="108">
        <v>4.2230839729309082</v>
      </c>
      <c r="R126" s="108">
        <v>4.2833914756774902</v>
      </c>
      <c r="S126" s="109">
        <v>4.4272079467773438</v>
      </c>
      <c r="T126" s="108">
        <v>4.1260218620300293</v>
      </c>
      <c r="U126" s="108">
        <v>4.3807034492492676</v>
      </c>
      <c r="V126" s="108">
        <v>4.3335623741149902</v>
      </c>
      <c r="W126" s="108">
        <v>3.9909830093383789</v>
      </c>
      <c r="X126" s="108">
        <v>4.3028345108032227</v>
      </c>
      <c r="Y126" s="108">
        <v>4.1572756767272949</v>
      </c>
      <c r="Z126" s="108">
        <v>3.9217019081115723</v>
      </c>
      <c r="AA126" s="108">
        <v>4.3333864212036133</v>
      </c>
      <c r="AB126" s="108">
        <v>3.9661355018615723</v>
      </c>
      <c r="AC126" s="108">
        <v>4.0382232666015625</v>
      </c>
      <c r="AD126" s="108">
        <v>3.8854057788848877</v>
      </c>
      <c r="AE126" s="108">
        <v>3.78839111328125</v>
      </c>
      <c r="AF126" s="108">
        <v>4.0653214454650879</v>
      </c>
      <c r="AG126" s="108">
        <v>4.0500226020812988</v>
      </c>
      <c r="AH126" s="108">
        <v>4.1787276268005371</v>
      </c>
      <c r="AI126" s="108">
        <v>4.1490898132324219</v>
      </c>
      <c r="AJ126" s="108">
        <v>4.0088372230529785</v>
      </c>
      <c r="AK126" s="108">
        <v>3.8868050575256348</v>
      </c>
      <c r="AL126" s="108">
        <v>4.2218050956726074</v>
      </c>
      <c r="AM126" s="108">
        <v>4.4072685241699219</v>
      </c>
      <c r="AN126" s="108">
        <v>4.3980298042297363</v>
      </c>
      <c r="AO126" s="108">
        <v>3.850283145904541</v>
      </c>
      <c r="AP126" s="108">
        <v>3.7446997165679932</v>
      </c>
      <c r="AQ126" s="108">
        <v>4.1503663063049316</v>
      </c>
      <c r="AR126" s="108">
        <v>4.1003389358520508</v>
      </c>
      <c r="AS126" s="108">
        <v>4.2025079727172852</v>
      </c>
      <c r="AT126" s="108">
        <v>4.2410736083984375</v>
      </c>
      <c r="AU126" s="108">
        <v>4.0985045433044434</v>
      </c>
      <c r="AV126" s="108">
        <v>4.3180837631225586</v>
      </c>
      <c r="AW126" s="108">
        <v>4.1556968688964844</v>
      </c>
      <c r="AX126" s="108">
        <v>4.1227750778198242</v>
      </c>
      <c r="AY126" s="108">
        <v>4.1733908653259277</v>
      </c>
      <c r="AZ126" s="108">
        <v>4.0549502372741699</v>
      </c>
      <c r="BA126" s="108">
        <v>4.3292865753173828</v>
      </c>
      <c r="BB126" s="108">
        <v>4.4519252777099609</v>
      </c>
      <c r="BC126" s="108">
        <v>4.2866730690002441</v>
      </c>
      <c r="BD126" s="108">
        <v>4.2458858489990234</v>
      </c>
      <c r="BE126" s="108">
        <v>4.2586607933044434</v>
      </c>
      <c r="BF126" s="108">
        <v>4.1406188011169434</v>
      </c>
      <c r="BG126" s="108">
        <v>4.3944172859191895</v>
      </c>
      <c r="BH126" s="108">
        <v>4.2765021324157715</v>
      </c>
      <c r="BI126" s="108">
        <v>4.3439135551452637</v>
      </c>
      <c r="BJ126" s="108">
        <v>4.5212182998657227</v>
      </c>
      <c r="BK126" s="108">
        <v>4.4003963470458984</v>
      </c>
      <c r="BL126" s="108">
        <v>4.4328937530517578</v>
      </c>
    </row>
    <row r="127" spans="1:64" x14ac:dyDescent="0.2">
      <c r="A127" s="104" t="s">
        <v>306</v>
      </c>
      <c r="B127" s="110">
        <v>7.2294011116027832</v>
      </c>
      <c r="C127" s="110">
        <v>7.0711503028869629</v>
      </c>
      <c r="D127" s="110">
        <v>6.6897745132446289</v>
      </c>
      <c r="E127" s="110">
        <v>7.1490535736083984</v>
      </c>
      <c r="F127" s="110">
        <v>7.3078618049621582</v>
      </c>
      <c r="G127" s="110">
        <v>7.1087312698364258</v>
      </c>
      <c r="H127" s="110">
        <v>6.8792991638183594</v>
      </c>
      <c r="I127" s="110">
        <v>7.5264163017272949</v>
      </c>
      <c r="J127" s="110">
        <v>7.0744414329528809</v>
      </c>
      <c r="K127" s="110">
        <v>7.0694618225097656</v>
      </c>
      <c r="L127" s="110">
        <v>7.3873591423034668</v>
      </c>
      <c r="M127" s="110">
        <v>7.6107926368713379</v>
      </c>
      <c r="N127" s="110">
        <v>7.7902917861938477</v>
      </c>
      <c r="O127" s="110">
        <v>8.2584390640258789</v>
      </c>
      <c r="P127" s="109">
        <v>8.0849838256835938</v>
      </c>
      <c r="Q127" s="110">
        <v>7.537661075592041</v>
      </c>
      <c r="R127" s="110">
        <v>8.3147811889648438</v>
      </c>
      <c r="S127" s="109">
        <v>8.0850286483764648</v>
      </c>
      <c r="T127" s="110">
        <v>7.8048596382141113</v>
      </c>
      <c r="U127" s="110">
        <v>7.5640640258789063</v>
      </c>
      <c r="V127" s="110">
        <v>7.5081648826599121</v>
      </c>
      <c r="W127" s="110">
        <v>8.2383460998535156</v>
      </c>
      <c r="X127" s="110">
        <v>7.3287496566772461</v>
      </c>
      <c r="Y127" s="110">
        <v>7.4107065200805664</v>
      </c>
      <c r="Z127" s="110">
        <v>7.3283786773681641</v>
      </c>
      <c r="AA127" s="110">
        <v>7.9436860084533691</v>
      </c>
      <c r="AB127" s="110">
        <v>7.5846266746520996</v>
      </c>
      <c r="AC127" s="110">
        <v>8.0633621215820313</v>
      </c>
      <c r="AD127" s="110">
        <v>7.2321500778198242</v>
      </c>
      <c r="AE127" s="110">
        <v>7.2275285720825195</v>
      </c>
      <c r="AF127" s="110">
        <v>7.9557685852050781</v>
      </c>
      <c r="AG127" s="110">
        <v>8.2000370025634766</v>
      </c>
      <c r="AH127" s="110">
        <v>8.0581121444702148</v>
      </c>
      <c r="AI127" s="110">
        <v>7.5196456909179688</v>
      </c>
      <c r="AJ127" s="110">
        <v>7.8058738708496094</v>
      </c>
      <c r="AK127" s="110">
        <v>7.6972818374633789</v>
      </c>
      <c r="AL127" s="110">
        <v>7.8071823120117188</v>
      </c>
      <c r="AM127" s="110">
        <v>8.0621366500854492</v>
      </c>
      <c r="AN127" s="110">
        <v>7.6982717514038086</v>
      </c>
      <c r="AO127" s="110">
        <v>7.4359235763549805</v>
      </c>
      <c r="AP127" s="110">
        <v>6.8515644073486328</v>
      </c>
      <c r="AQ127" s="110">
        <v>7.4911584854125977</v>
      </c>
      <c r="AR127" s="110">
        <v>6.6208195686340332</v>
      </c>
      <c r="AS127" s="110">
        <v>6.6599292755126953</v>
      </c>
      <c r="AT127" s="110">
        <v>6.4132356643676758</v>
      </c>
      <c r="AU127" s="110">
        <v>7.5188827514648438</v>
      </c>
      <c r="AV127" s="110">
        <v>8.2064723968505859</v>
      </c>
      <c r="AW127" s="110">
        <v>7.661888599395752</v>
      </c>
      <c r="AX127" s="110">
        <v>7.8578519821166992</v>
      </c>
      <c r="AY127" s="110">
        <v>7.5172891616821289</v>
      </c>
      <c r="AZ127" s="110">
        <v>6.8348021507263184</v>
      </c>
      <c r="BA127" s="110">
        <v>7.2705001831054688</v>
      </c>
      <c r="BB127" s="110">
        <v>7.7081160545349121</v>
      </c>
      <c r="BC127" s="110">
        <v>8.0594654083251953</v>
      </c>
      <c r="BD127" s="110">
        <v>8.2717876434326172</v>
      </c>
      <c r="BE127" s="110">
        <v>7.3747692108154297</v>
      </c>
      <c r="BF127" s="110">
        <v>7.6138014793395996</v>
      </c>
      <c r="BG127" s="110">
        <v>7.1472673416137695</v>
      </c>
      <c r="BH127" s="110">
        <v>7.1980834007263184</v>
      </c>
      <c r="BI127" s="110">
        <v>7.2057046890258789</v>
      </c>
      <c r="BJ127" s="110">
        <v>7.2743773460388184</v>
      </c>
      <c r="BK127" s="110">
        <v>7.86895751953125</v>
      </c>
      <c r="BL127" s="110">
        <v>7.2511734962463379</v>
      </c>
    </row>
    <row r="128" spans="1:64" x14ac:dyDescent="0.2">
      <c r="A128" t="s">
        <v>540</v>
      </c>
      <c r="B128" s="108">
        <v>3.0794837512075901E-3</v>
      </c>
      <c r="C128" s="108">
        <v>1.6297841211780906E-3</v>
      </c>
      <c r="D128" s="108">
        <v>1.8258105963468552E-2</v>
      </c>
      <c r="E128" s="108">
        <v>3.5103488713502884E-2</v>
      </c>
      <c r="F128" s="108">
        <v>5.2959856111556292E-4</v>
      </c>
      <c r="G128" s="108">
        <v>6.2817055732011795E-3</v>
      </c>
      <c r="H128" s="108">
        <v>1.4408825896680355E-2</v>
      </c>
      <c r="I128" s="108">
        <v>5.0522256642580032E-3</v>
      </c>
      <c r="J128" s="108">
        <v>2.3611487820744514E-2</v>
      </c>
      <c r="K128" s="108">
        <v>2.3863213136792183E-2</v>
      </c>
      <c r="L128" s="108">
        <v>8.4274150431156158E-3</v>
      </c>
      <c r="M128" s="108">
        <v>1.9974005408585072E-3</v>
      </c>
      <c r="N128" s="108">
        <v>6.7758294753730297E-3</v>
      </c>
      <c r="O128" s="108">
        <v>4.7779330634512007E-4</v>
      </c>
      <c r="P128" s="109">
        <v>5.9324270114302635E-3</v>
      </c>
      <c r="Q128" s="108">
        <v>2.4830764159560204E-2</v>
      </c>
      <c r="R128" s="108">
        <v>2.8532808646559715E-3</v>
      </c>
      <c r="S128" s="109">
        <v>4.34896006481722E-4</v>
      </c>
      <c r="T128" s="108">
        <v>2.8269588947296143E-2</v>
      </c>
      <c r="U128" s="108">
        <v>1.0278157889842987E-2</v>
      </c>
      <c r="V128" s="108">
        <v>2.0875127520412207E-3</v>
      </c>
      <c r="W128" s="108">
        <v>1.1042283149436116E-3</v>
      </c>
      <c r="X128" s="108">
        <v>1.9000444561243057E-2</v>
      </c>
      <c r="Y128" s="108">
        <v>2.3041397798806429E-3</v>
      </c>
      <c r="Z128" s="108">
        <v>6.3657709397375584E-3</v>
      </c>
      <c r="AA128" s="108">
        <v>1.899133319966495E-3</v>
      </c>
      <c r="AB128" s="108">
        <v>2.7377638034522533E-3</v>
      </c>
      <c r="AC128" s="108">
        <v>1.7346397507935762E-3</v>
      </c>
      <c r="AD128" s="108">
        <v>1.2275427579879761E-3</v>
      </c>
      <c r="AE128" s="108">
        <v>4.3909568339586258E-2</v>
      </c>
      <c r="AF128" s="108">
        <v>4.6114935539662838E-3</v>
      </c>
      <c r="AG128" s="108">
        <v>2.8596252668648958E-3</v>
      </c>
      <c r="AH128" s="108">
        <v>1.1043020524084568E-2</v>
      </c>
      <c r="AI128" s="108">
        <v>1.2997881509363651E-2</v>
      </c>
      <c r="AJ128" s="108">
        <v>4.6247296268120408E-4</v>
      </c>
      <c r="AK128" s="108">
        <v>4.876391589641571E-2</v>
      </c>
      <c r="AL128" s="108">
        <v>4.179956391453743E-3</v>
      </c>
      <c r="AM128" s="108">
        <v>8.6290426552295685E-3</v>
      </c>
      <c r="AN128" s="108">
        <v>1.4360641362145543E-3</v>
      </c>
      <c r="AO128" s="108">
        <v>3.0223384965211153E-3</v>
      </c>
      <c r="AP128" s="108">
        <v>1.4594238251447678E-2</v>
      </c>
      <c r="AQ128" s="108">
        <v>4.6319179236888885E-3</v>
      </c>
      <c r="AR128" s="108">
        <v>2.1150328684598207E-3</v>
      </c>
      <c r="AS128" s="108">
        <v>2.9949152376502752E-3</v>
      </c>
      <c r="AT128" s="108">
        <v>8.7007391266524792E-4</v>
      </c>
      <c r="AU128" s="108">
        <v>3.6918462719768286E-3</v>
      </c>
      <c r="AV128" s="108">
        <v>8.4074689075350761E-3</v>
      </c>
      <c r="AW128" s="108">
        <v>3.0863729771226645E-3</v>
      </c>
      <c r="AX128" s="108">
        <v>1.663298811763525E-3</v>
      </c>
      <c r="AY128" s="108">
        <v>4.5454646460711956E-3</v>
      </c>
      <c r="AZ128" s="108">
        <v>6.1382134445011616E-3</v>
      </c>
      <c r="BA128" s="108">
        <v>9.7239548340439796E-3</v>
      </c>
      <c r="BB128" s="108">
        <v>3.1152676790952682E-2</v>
      </c>
      <c r="BC128" s="108">
        <v>8.445102721452713E-3</v>
      </c>
      <c r="BD128" s="108">
        <v>1.1042344849556684E-3</v>
      </c>
      <c r="BE128" s="108">
        <v>3.4768378827720881E-3</v>
      </c>
      <c r="BF128" s="108">
        <v>1.9151836168020964E-3</v>
      </c>
      <c r="BG128" s="108">
        <v>8.9639043435454369E-3</v>
      </c>
      <c r="BH128" s="108">
        <v>7.2809229604899883E-3</v>
      </c>
      <c r="BI128" s="108">
        <v>2.2498870268464088E-2</v>
      </c>
      <c r="BJ128" s="108"/>
      <c r="BK128" s="108"/>
      <c r="BL128" s="108"/>
    </row>
    <row r="129" spans="1:64" x14ac:dyDescent="0.2">
      <c r="A129" t="s">
        <v>541</v>
      </c>
      <c r="B129" s="108">
        <v>1102</v>
      </c>
      <c r="C129" s="108">
        <v>193</v>
      </c>
      <c r="D129" s="108">
        <v>192</v>
      </c>
      <c r="E129" s="108">
        <v>195</v>
      </c>
      <c r="F129" s="108">
        <v>194</v>
      </c>
      <c r="G129" s="108">
        <v>197</v>
      </c>
      <c r="H129" s="108">
        <v>192</v>
      </c>
      <c r="I129" s="108">
        <v>294</v>
      </c>
      <c r="J129" s="108">
        <v>192</v>
      </c>
      <c r="K129" s="108">
        <v>193</v>
      </c>
      <c r="L129" s="108">
        <v>195</v>
      </c>
      <c r="M129" s="108">
        <v>300</v>
      </c>
      <c r="N129" s="108">
        <v>192</v>
      </c>
      <c r="O129" s="108">
        <v>203</v>
      </c>
      <c r="P129" s="109">
        <v>192</v>
      </c>
      <c r="Q129" s="108">
        <v>192</v>
      </c>
      <c r="R129" s="108">
        <v>199</v>
      </c>
      <c r="S129" s="109">
        <v>314</v>
      </c>
      <c r="T129" s="108">
        <v>198</v>
      </c>
      <c r="U129" s="108">
        <v>200</v>
      </c>
      <c r="V129" s="108">
        <v>192</v>
      </c>
      <c r="W129" s="108">
        <v>194</v>
      </c>
      <c r="X129" s="108">
        <v>197</v>
      </c>
      <c r="Y129" s="108">
        <v>192</v>
      </c>
      <c r="Z129" s="108">
        <v>192</v>
      </c>
      <c r="AA129" s="108">
        <v>395</v>
      </c>
      <c r="AB129" s="108">
        <v>391</v>
      </c>
      <c r="AC129" s="108">
        <v>192</v>
      </c>
      <c r="AD129" s="108">
        <v>196</v>
      </c>
      <c r="AE129" s="108">
        <v>192</v>
      </c>
      <c r="AF129" s="108">
        <v>197</v>
      </c>
      <c r="AG129" s="108">
        <v>300</v>
      </c>
      <c r="AH129" s="108">
        <v>206</v>
      </c>
      <c r="AI129" s="108">
        <v>201</v>
      </c>
      <c r="AJ129" s="108">
        <v>193</v>
      </c>
      <c r="AK129" s="108">
        <v>192</v>
      </c>
      <c r="AL129" s="108">
        <v>192</v>
      </c>
      <c r="AM129" s="108">
        <v>200</v>
      </c>
      <c r="AN129" s="108">
        <v>192</v>
      </c>
      <c r="AO129" s="108">
        <v>200</v>
      </c>
      <c r="AP129" s="108">
        <v>192</v>
      </c>
      <c r="AQ129" s="108">
        <v>204</v>
      </c>
      <c r="AR129" s="108">
        <v>295</v>
      </c>
      <c r="AS129" s="108">
        <v>197</v>
      </c>
      <c r="AT129" s="108">
        <v>194</v>
      </c>
      <c r="AU129" s="108">
        <v>194</v>
      </c>
      <c r="AV129" s="108">
        <v>319</v>
      </c>
      <c r="AW129" s="108">
        <v>593</v>
      </c>
      <c r="AX129" s="108">
        <v>428</v>
      </c>
      <c r="AY129" s="108">
        <v>1024</v>
      </c>
      <c r="AZ129" s="108">
        <v>289</v>
      </c>
      <c r="BA129" s="108">
        <v>194</v>
      </c>
      <c r="BB129" s="108">
        <v>195</v>
      </c>
      <c r="BC129" s="108">
        <v>192</v>
      </c>
      <c r="BD129" s="108">
        <v>202</v>
      </c>
      <c r="BE129" s="108">
        <v>192</v>
      </c>
      <c r="BF129" s="108">
        <v>390</v>
      </c>
      <c r="BG129" s="108">
        <v>198</v>
      </c>
      <c r="BH129" s="108">
        <v>313</v>
      </c>
      <c r="BI129" s="108">
        <v>196</v>
      </c>
      <c r="BJ129" s="108">
        <v>194</v>
      </c>
      <c r="BK129" s="108">
        <v>197</v>
      </c>
      <c r="BL129" s="108">
        <v>193</v>
      </c>
    </row>
    <row r="130" spans="1:64" x14ac:dyDescent="0.2">
      <c r="A130" t="s">
        <v>308</v>
      </c>
      <c r="B130" s="108">
        <v>1.7344385385513306</v>
      </c>
      <c r="C130" s="108">
        <v>2.0005133152008057</v>
      </c>
      <c r="D130" s="108">
        <v>1.8266651630401611</v>
      </c>
      <c r="E130" s="108">
        <v>2.077965259552002</v>
      </c>
      <c r="F130" s="108">
        <v>2.020263671875</v>
      </c>
      <c r="G130" s="108">
        <v>1.8228981494903564</v>
      </c>
      <c r="H130" s="108">
        <v>1.976102352142334</v>
      </c>
      <c r="I130" s="108">
        <v>1.8812037706375122</v>
      </c>
      <c r="J130" s="108">
        <v>1.8815690279006958</v>
      </c>
      <c r="K130" s="108">
        <v>1.9315230846405029</v>
      </c>
      <c r="L130" s="108">
        <v>2.0445866584777832</v>
      </c>
      <c r="M130" s="108">
        <v>1.8976337909698486</v>
      </c>
      <c r="N130" s="108">
        <v>1.900079607963562</v>
      </c>
      <c r="O130" s="108">
        <v>2.0752325057983398</v>
      </c>
      <c r="P130" s="109">
        <v>2.1459083557128906</v>
      </c>
      <c r="Q130" s="108">
        <v>1.9888483285903931</v>
      </c>
      <c r="R130" s="108">
        <v>2.0846941471099854</v>
      </c>
      <c r="S130" s="109">
        <v>2.1088063716888428</v>
      </c>
      <c r="T130" s="108">
        <v>1.9172227382659912</v>
      </c>
      <c r="U130" s="108">
        <v>1.9685796499252319</v>
      </c>
      <c r="V130" s="108">
        <v>1.9800204038619995</v>
      </c>
      <c r="W130" s="108">
        <v>2.0173978805541992</v>
      </c>
      <c r="X130" s="108">
        <v>1.9012398719787598</v>
      </c>
      <c r="Y130" s="108">
        <v>2.0351624488830566</v>
      </c>
      <c r="Z130" s="108">
        <v>1.9793684482574463</v>
      </c>
      <c r="AA130" s="108">
        <v>2.0697262287139893</v>
      </c>
      <c r="AB130" s="108">
        <v>1.9809277057647705</v>
      </c>
      <c r="AC130" s="108">
        <v>1.987227201461792</v>
      </c>
      <c r="AD130" s="108">
        <v>2.0263359546661377</v>
      </c>
      <c r="AE130" s="108">
        <v>1.9780130386352539</v>
      </c>
      <c r="AF130" s="108">
        <v>2.1084036827087402</v>
      </c>
      <c r="AG130" s="108">
        <v>1.989223837852478</v>
      </c>
      <c r="AH130" s="108">
        <v>1.9720717668533325</v>
      </c>
      <c r="AI130" s="108">
        <v>1.8975759744644165</v>
      </c>
      <c r="AJ130" s="108">
        <v>1.9961612224578857</v>
      </c>
      <c r="AK130" s="108">
        <v>1.9355987310409546</v>
      </c>
      <c r="AL130" s="108">
        <v>1.8538877964019775</v>
      </c>
      <c r="AM130" s="108">
        <v>1.9930185079574585</v>
      </c>
      <c r="AN130" s="108">
        <v>2.0089788436889648</v>
      </c>
      <c r="AO130" s="108">
        <v>1.8528509140014648</v>
      </c>
      <c r="AP130" s="108">
        <v>1.8769270181655884</v>
      </c>
      <c r="AQ130" s="108">
        <v>1.8938504457473755</v>
      </c>
      <c r="AR130" s="108">
        <v>1.8794499635696411</v>
      </c>
      <c r="AS130" s="108">
        <v>1.8769916296005249</v>
      </c>
      <c r="AT130" s="108">
        <v>1.7696183919906616</v>
      </c>
      <c r="AU130" s="108">
        <v>1.7817748785018921</v>
      </c>
      <c r="AV130" s="108">
        <v>1.9765661954879761</v>
      </c>
      <c r="AW130" s="108">
        <v>1.7566142082214355</v>
      </c>
      <c r="AX130" s="108">
        <v>1.793134331703186</v>
      </c>
      <c r="AY130" s="108">
        <v>1.8233405351638794</v>
      </c>
      <c r="AZ130" s="108">
        <v>1.7664878368377686</v>
      </c>
      <c r="BA130" s="108">
        <v>1.8679795265197754</v>
      </c>
      <c r="BB130" s="108">
        <v>1.9493021965026855</v>
      </c>
      <c r="BC130" s="108">
        <v>1.9364694356918335</v>
      </c>
      <c r="BD130" s="108">
        <v>1.9988871812820435</v>
      </c>
      <c r="BE130" s="108">
        <v>2.022435188293457</v>
      </c>
      <c r="BF130" s="108">
        <v>1.9392154216766357</v>
      </c>
      <c r="BG130" s="108">
        <v>1.9228136539459229</v>
      </c>
      <c r="BH130" s="108">
        <v>1.8861147165298462</v>
      </c>
      <c r="BI130" s="108">
        <v>2.0232555866241455</v>
      </c>
      <c r="BJ130" s="108">
        <v>1.906895637512207</v>
      </c>
      <c r="BK130" s="108">
        <v>2.0083825588226318</v>
      </c>
      <c r="BL130" s="108">
        <v>1.8723834753036499</v>
      </c>
    </row>
    <row r="131" spans="1:64" x14ac:dyDescent="0.2">
      <c r="A131" t="s">
        <v>322</v>
      </c>
      <c r="B131" s="108">
        <v>1.4109086990356445</v>
      </c>
      <c r="C131" s="108">
        <v>1.404863715171814</v>
      </c>
      <c r="D131" s="108">
        <v>1.3714556694030762</v>
      </c>
      <c r="E131" s="108">
        <v>1.4149250984191895</v>
      </c>
      <c r="F131" s="108">
        <v>1.2808796167373657</v>
      </c>
      <c r="G131" s="108">
        <v>1.5015063285827637</v>
      </c>
      <c r="H131" s="108">
        <v>1.3366025686264038</v>
      </c>
      <c r="I131" s="108">
        <v>1.9632786512374878</v>
      </c>
      <c r="J131" s="108">
        <v>1.4099735021591187</v>
      </c>
      <c r="K131" s="108">
        <v>1.4233748912811279</v>
      </c>
      <c r="L131" s="108">
        <v>1.6833490133285522</v>
      </c>
      <c r="M131" s="108">
        <v>1.8088802099227905</v>
      </c>
      <c r="N131" s="108">
        <v>1.9722753763198853</v>
      </c>
      <c r="O131" s="108">
        <v>2.0022544860839844</v>
      </c>
      <c r="P131" s="109">
        <v>1.893425464630127</v>
      </c>
      <c r="Q131" s="108">
        <v>1.4838325977325439</v>
      </c>
      <c r="R131" s="108">
        <v>2.0378551483154297</v>
      </c>
      <c r="S131" s="109">
        <v>1.7873020172119141</v>
      </c>
      <c r="T131" s="108">
        <v>1.826646089553833</v>
      </c>
      <c r="U131" s="108">
        <v>1.4605032205581665</v>
      </c>
      <c r="V131" s="108">
        <v>1.4236644506454468</v>
      </c>
      <c r="W131" s="108">
        <v>2.0413150787353516</v>
      </c>
      <c r="X131" s="108">
        <v>1.575487494468689</v>
      </c>
      <c r="Y131" s="108">
        <v>1.4566601514816284</v>
      </c>
      <c r="Z131" s="108">
        <v>1.3974771499633789</v>
      </c>
      <c r="AA131" s="108">
        <v>1.8869117498397827</v>
      </c>
      <c r="AB131" s="108">
        <v>1.7524404525756836</v>
      </c>
      <c r="AC131" s="108">
        <v>2.1278157234191895</v>
      </c>
      <c r="AD131" s="108">
        <v>1.4708094596862793</v>
      </c>
      <c r="AE131" s="108">
        <v>1.5499125719070435</v>
      </c>
      <c r="AF131" s="108">
        <v>1.7664910554885864</v>
      </c>
      <c r="AG131" s="108">
        <v>1.9475895166397095</v>
      </c>
      <c r="AH131" s="108">
        <v>1.9804396629333496</v>
      </c>
      <c r="AI131" s="108">
        <v>1.9330029487609863</v>
      </c>
      <c r="AJ131" s="108">
        <v>1.9835939407348633</v>
      </c>
      <c r="AK131" s="108">
        <v>1.9956691265106201</v>
      </c>
      <c r="AL131" s="108">
        <v>1.9863438606262207</v>
      </c>
      <c r="AM131" s="108">
        <v>2.0168325901031494</v>
      </c>
      <c r="AN131" s="108">
        <v>1.8158670663833618</v>
      </c>
      <c r="AO131" s="108">
        <v>1.949077844619751</v>
      </c>
      <c r="AP131" s="108">
        <v>1.3734829425811768</v>
      </c>
      <c r="AQ131" s="108">
        <v>1.9617375135421753</v>
      </c>
      <c r="AR131" s="108">
        <v>1.2039531469345093</v>
      </c>
      <c r="AS131" s="108">
        <v>1.0309848785400391</v>
      </c>
      <c r="AT131" s="108">
        <v>0.91579824686050415</v>
      </c>
      <c r="AU131" s="108">
        <v>1.9430941343307495</v>
      </c>
      <c r="AV131" s="108">
        <v>2.0143511295318604</v>
      </c>
      <c r="AW131" s="108">
        <v>1.9411081075668335</v>
      </c>
      <c r="AX131" s="108">
        <v>1.9040751457214355</v>
      </c>
      <c r="AY131" s="108">
        <v>1.6378493309020996</v>
      </c>
      <c r="AZ131" s="108">
        <v>1.310291051864624</v>
      </c>
      <c r="BA131" s="108">
        <v>1.4146884679794312</v>
      </c>
      <c r="BB131" s="108">
        <v>1.9603936672210693</v>
      </c>
      <c r="BC131" s="108">
        <v>2.0402600765228271</v>
      </c>
      <c r="BD131" s="108">
        <v>1.9675650596618652</v>
      </c>
      <c r="BE131" s="108">
        <v>1.3425654172897339</v>
      </c>
      <c r="BF131" s="108">
        <v>1.4152387380599976</v>
      </c>
      <c r="BG131" s="108">
        <v>1.3925349712371826</v>
      </c>
      <c r="BH131" s="108">
        <v>1.4127250909805298</v>
      </c>
      <c r="BI131" s="108">
        <v>1.212882399559021</v>
      </c>
      <c r="BJ131" s="108">
        <v>1.3780530691146851</v>
      </c>
      <c r="BK131" s="108">
        <v>1.7965576648712158</v>
      </c>
      <c r="BL131" s="108">
        <v>1.4505795240402222</v>
      </c>
    </row>
    <row r="132" spans="1:64" x14ac:dyDescent="0.2">
      <c r="A132" t="s">
        <v>334</v>
      </c>
      <c r="B132" s="108">
        <v>2.1302833557128906</v>
      </c>
      <c r="C132" s="108">
        <v>1.780265212059021</v>
      </c>
      <c r="D132" s="108">
        <v>1.632235050201416</v>
      </c>
      <c r="E132" s="108">
        <v>1.7925642728805542</v>
      </c>
      <c r="F132" s="108">
        <v>1.9834616184234619</v>
      </c>
      <c r="G132" s="108">
        <v>1.9084000587463379</v>
      </c>
      <c r="H132" s="108">
        <v>1.6142944097518921</v>
      </c>
      <c r="I132" s="108">
        <v>1.8135931491851807</v>
      </c>
      <c r="J132" s="108">
        <v>1.8391205072402954</v>
      </c>
      <c r="K132" s="108">
        <v>1.7324806451797485</v>
      </c>
      <c r="L132" s="108">
        <v>1.7100588083267212</v>
      </c>
      <c r="M132" s="108">
        <v>1.9867088794708252</v>
      </c>
      <c r="N132" s="108">
        <v>1.9164919853210449</v>
      </c>
      <c r="O132" s="108">
        <v>2.057328462600708</v>
      </c>
      <c r="P132" s="109">
        <v>2.0311203002929688</v>
      </c>
      <c r="Q132" s="108">
        <v>2.0601871013641357</v>
      </c>
      <c r="R132" s="108">
        <v>2.1780142784118652</v>
      </c>
      <c r="S132" s="109">
        <v>2.1365749835968018</v>
      </c>
      <c r="T132" s="108">
        <v>2.0780408382415771</v>
      </c>
      <c r="U132" s="108">
        <v>2.1880753040313721</v>
      </c>
      <c r="V132" s="108">
        <v>2.0971784591674805</v>
      </c>
      <c r="W132" s="108">
        <v>2.2495288848876953</v>
      </c>
      <c r="X132" s="108">
        <v>1.856285572052002</v>
      </c>
      <c r="Y132" s="108">
        <v>1.9034264087677002</v>
      </c>
      <c r="Z132" s="108">
        <v>1.9683910608291626</v>
      </c>
      <c r="AA132" s="108">
        <v>1.9615596532821655</v>
      </c>
      <c r="AB132" s="108">
        <v>1.9180744886398315</v>
      </c>
      <c r="AC132" s="108">
        <v>2.0195658206939697</v>
      </c>
      <c r="AD132" s="108">
        <v>1.8500369787216187</v>
      </c>
      <c r="AE132" s="108">
        <v>1.8793889284133911</v>
      </c>
      <c r="AF132" s="108">
        <v>2.0959928035736084</v>
      </c>
      <c r="AG132" s="108">
        <v>2.3017189502716064</v>
      </c>
      <c r="AH132" s="108">
        <v>2.1385340690612793</v>
      </c>
      <c r="AI132" s="108">
        <v>1.7275117635726929</v>
      </c>
      <c r="AJ132" s="108">
        <v>1.8428293466567993</v>
      </c>
      <c r="AK132" s="108">
        <v>1.8328298330307007</v>
      </c>
      <c r="AL132" s="108">
        <v>2.0508110523223877</v>
      </c>
      <c r="AM132" s="108">
        <v>2.0430948734283447</v>
      </c>
      <c r="AN132" s="108">
        <v>1.9650084972381592</v>
      </c>
      <c r="AO132" s="108">
        <v>1.760209321975708</v>
      </c>
      <c r="AP132" s="108">
        <v>1.7457574605941772</v>
      </c>
      <c r="AQ132" s="108">
        <v>1.733687162399292</v>
      </c>
      <c r="AR132" s="108">
        <v>1.6315338611602783</v>
      </c>
      <c r="AS132" s="108">
        <v>1.8753570318222046</v>
      </c>
      <c r="AT132" s="108">
        <v>1.831947922706604</v>
      </c>
      <c r="AU132" s="108">
        <v>1.8809703588485718</v>
      </c>
      <c r="AV132" s="108">
        <v>2.2211489677429199</v>
      </c>
      <c r="AW132" s="108">
        <v>2.0638444423675537</v>
      </c>
      <c r="AX132" s="108">
        <v>2.2294814586639404</v>
      </c>
      <c r="AY132" s="108">
        <v>2.1668522357940674</v>
      </c>
      <c r="AZ132" s="108">
        <v>1.8977806568145752</v>
      </c>
      <c r="BA132" s="108">
        <v>2.1360650062561035</v>
      </c>
      <c r="BB132" s="108">
        <v>1.8980640172958374</v>
      </c>
      <c r="BC132" s="108">
        <v>2.1557142734527588</v>
      </c>
      <c r="BD132" s="108">
        <v>2.279672384262085</v>
      </c>
      <c r="BE132" s="108">
        <v>2.1066679954528809</v>
      </c>
      <c r="BF132" s="108">
        <v>2.3245551586151123</v>
      </c>
      <c r="BG132" s="108">
        <v>1.8961840867996216</v>
      </c>
      <c r="BH132" s="108">
        <v>2.0042102336883545</v>
      </c>
      <c r="BI132" s="108">
        <v>2.0249781608581543</v>
      </c>
      <c r="BJ132" s="108">
        <v>2.0142092704772949</v>
      </c>
      <c r="BK132" s="108">
        <v>2.0546772480010986</v>
      </c>
      <c r="BL132" s="108">
        <v>2.0038328170776367</v>
      </c>
    </row>
    <row r="133" spans="1:64" x14ac:dyDescent="0.2">
      <c r="A133" t="s">
        <v>349</v>
      </c>
      <c r="B133" s="108">
        <v>1.9537707567214966</v>
      </c>
      <c r="C133" s="108">
        <v>1.8855080604553223</v>
      </c>
      <c r="D133" s="108">
        <v>1.8594188690185547</v>
      </c>
      <c r="E133" s="108">
        <v>1.8635988235473633</v>
      </c>
      <c r="F133" s="108">
        <v>2.0232570171356201</v>
      </c>
      <c r="G133" s="108">
        <v>1.8759266138076782</v>
      </c>
      <c r="H133" s="108">
        <v>1.9523000717163086</v>
      </c>
      <c r="I133" s="108">
        <v>1.8683407306671143</v>
      </c>
      <c r="J133" s="108">
        <v>1.9437782764434814</v>
      </c>
      <c r="K133" s="108">
        <v>1.9820832014083862</v>
      </c>
      <c r="L133" s="108">
        <v>1.9493649005889893</v>
      </c>
      <c r="M133" s="108">
        <v>1.9175695180892944</v>
      </c>
      <c r="N133" s="108">
        <v>2.0014450550079346</v>
      </c>
      <c r="O133" s="108">
        <v>2.1236240863800049</v>
      </c>
      <c r="P133" s="109">
        <v>2.0145294666290283</v>
      </c>
      <c r="Q133" s="108">
        <v>2.0047931671142578</v>
      </c>
      <c r="R133" s="108">
        <v>2.0142176151275635</v>
      </c>
      <c r="S133" s="109">
        <v>2.052344799041748</v>
      </c>
      <c r="T133" s="108">
        <v>1.9829500913619995</v>
      </c>
      <c r="U133" s="108">
        <v>1.9469059705734253</v>
      </c>
      <c r="V133" s="108">
        <v>2.0073015689849854</v>
      </c>
      <c r="W133" s="108">
        <v>1.9301048517227173</v>
      </c>
      <c r="X133" s="108">
        <v>1.9957367181777954</v>
      </c>
      <c r="Y133" s="108">
        <v>2.0154573917388916</v>
      </c>
      <c r="Z133" s="108">
        <v>1.9831421375274658</v>
      </c>
      <c r="AA133" s="108">
        <v>2.0254886150360107</v>
      </c>
      <c r="AB133" s="108">
        <v>1.9331841468811035</v>
      </c>
      <c r="AC133" s="108">
        <v>1.928753137588501</v>
      </c>
      <c r="AD133" s="108">
        <v>1.8849678039550781</v>
      </c>
      <c r="AE133" s="108">
        <v>1.820213794708252</v>
      </c>
      <c r="AF133" s="108">
        <v>1.9848809242248535</v>
      </c>
      <c r="AG133" s="108">
        <v>1.961504340171814</v>
      </c>
      <c r="AH133" s="108">
        <v>1.9670665264129639</v>
      </c>
      <c r="AI133" s="108">
        <v>1.9615547657012939</v>
      </c>
      <c r="AJ133" s="108">
        <v>1.9832892417907715</v>
      </c>
      <c r="AK133" s="108">
        <v>1.9331841468811035</v>
      </c>
      <c r="AL133" s="108">
        <v>1.9161394834518433</v>
      </c>
      <c r="AM133" s="108">
        <v>2.0091907978057861</v>
      </c>
      <c r="AN133" s="108">
        <v>1.9084172248840332</v>
      </c>
      <c r="AO133" s="108">
        <v>1.8737856149673462</v>
      </c>
      <c r="AP133" s="108">
        <v>1.8553966283798218</v>
      </c>
      <c r="AQ133" s="108">
        <v>1.9018833637237549</v>
      </c>
      <c r="AR133" s="108">
        <v>1.905882716178894</v>
      </c>
      <c r="AS133" s="108">
        <v>1.8765957355499268</v>
      </c>
      <c r="AT133" s="108">
        <v>1.8958709239959717</v>
      </c>
      <c r="AU133" s="108">
        <v>1.9130433797836304</v>
      </c>
      <c r="AV133" s="108">
        <v>1.9944062232971191</v>
      </c>
      <c r="AW133" s="108">
        <v>1.9003217220306396</v>
      </c>
      <c r="AX133" s="108">
        <v>1.9311609268188477</v>
      </c>
      <c r="AY133" s="108">
        <v>1.889246940612793</v>
      </c>
      <c r="AZ133" s="108">
        <v>1.8602426052093506</v>
      </c>
      <c r="BA133" s="108">
        <v>1.8517671823501587</v>
      </c>
      <c r="BB133" s="108">
        <v>1.9003561735153198</v>
      </c>
      <c r="BC133" s="108">
        <v>1.927021861076355</v>
      </c>
      <c r="BD133" s="108">
        <v>2.0256626605987549</v>
      </c>
      <c r="BE133" s="108">
        <v>1.9031001329421997</v>
      </c>
      <c r="BF133" s="108">
        <v>1.9347922801971436</v>
      </c>
      <c r="BG133" s="108">
        <v>1.935734748840332</v>
      </c>
      <c r="BH133" s="108">
        <v>1.8950333595275879</v>
      </c>
      <c r="BI133" s="108">
        <v>1.9445886611938477</v>
      </c>
      <c r="BJ133" s="108">
        <v>1.9752192497253418</v>
      </c>
      <c r="BK133" s="108">
        <v>2.0093402862548828</v>
      </c>
      <c r="BL133" s="108">
        <v>1.9243777990341187</v>
      </c>
    </row>
    <row r="134" spans="1:64" x14ac:dyDescent="0.2">
      <c r="A134" t="s">
        <v>324</v>
      </c>
      <c r="B134" s="108">
        <v>1</v>
      </c>
      <c r="C134" s="108">
        <v>1</v>
      </c>
      <c r="D134" s="108">
        <v>1</v>
      </c>
      <c r="E134" s="108">
        <v>1</v>
      </c>
      <c r="F134" s="108">
        <v>1.5</v>
      </c>
      <c r="G134" s="108">
        <v>1</v>
      </c>
      <c r="H134" s="108">
        <v>1</v>
      </c>
      <c r="I134" s="108">
        <v>1</v>
      </c>
      <c r="J134" s="108">
        <v>1</v>
      </c>
      <c r="K134" s="108">
        <v>1</v>
      </c>
      <c r="L134" s="108">
        <v>1</v>
      </c>
      <c r="M134" s="108">
        <v>1</v>
      </c>
      <c r="N134" s="108">
        <v>1</v>
      </c>
      <c r="O134" s="108">
        <v>0.5</v>
      </c>
      <c r="P134" s="109">
        <v>1</v>
      </c>
      <c r="Q134" s="108">
        <v>1</v>
      </c>
      <c r="R134" s="108">
        <v>1</v>
      </c>
      <c r="S134" s="109">
        <v>1</v>
      </c>
      <c r="T134" s="108">
        <v>0.89999997615814209</v>
      </c>
      <c r="U134" s="108">
        <v>1</v>
      </c>
      <c r="V134" s="108">
        <v>1</v>
      </c>
      <c r="W134" s="108">
        <v>0.85000002384185791</v>
      </c>
      <c r="X134" s="108">
        <v>0.60000002384185791</v>
      </c>
      <c r="Y134" s="108">
        <v>1</v>
      </c>
      <c r="Z134" s="108">
        <v>1</v>
      </c>
      <c r="AA134" s="108">
        <v>1</v>
      </c>
      <c r="AB134" s="108">
        <v>1</v>
      </c>
      <c r="AC134" s="108">
        <v>0.5</v>
      </c>
      <c r="AD134" s="108">
        <v>1</v>
      </c>
      <c r="AE134" s="108">
        <v>1</v>
      </c>
      <c r="AF134" s="108">
        <v>1</v>
      </c>
      <c r="AG134" s="108">
        <v>1</v>
      </c>
      <c r="AH134" s="108">
        <v>1</v>
      </c>
      <c r="AI134" s="108">
        <v>1</v>
      </c>
      <c r="AJ134" s="108">
        <v>1</v>
      </c>
      <c r="AK134" s="108">
        <v>1</v>
      </c>
      <c r="AL134" s="108">
        <v>1</v>
      </c>
      <c r="AM134" s="108">
        <v>1</v>
      </c>
      <c r="AN134" s="108">
        <v>1</v>
      </c>
      <c r="AO134" s="108">
        <v>0.75</v>
      </c>
      <c r="AP134" s="108">
        <v>1</v>
      </c>
      <c r="AQ134" s="108">
        <v>1</v>
      </c>
      <c r="AR134" s="108">
        <v>1.3500000238418579</v>
      </c>
      <c r="AS134" s="108">
        <v>2</v>
      </c>
      <c r="AT134" s="108">
        <v>2</v>
      </c>
      <c r="AU134" s="108">
        <v>1</v>
      </c>
      <c r="AV134" s="108">
        <v>1</v>
      </c>
      <c r="AW134" s="108">
        <v>1</v>
      </c>
      <c r="AX134" s="108">
        <v>1</v>
      </c>
      <c r="AY134" s="108">
        <v>1</v>
      </c>
      <c r="AZ134" s="108">
        <v>1</v>
      </c>
      <c r="BA134" s="108">
        <v>1</v>
      </c>
      <c r="BB134" s="108">
        <v>1</v>
      </c>
      <c r="BC134" s="108">
        <v>1</v>
      </c>
      <c r="BD134" s="108">
        <v>1</v>
      </c>
      <c r="BE134" s="108">
        <v>1</v>
      </c>
      <c r="BF134" s="108">
        <v>1</v>
      </c>
      <c r="BG134" s="108">
        <v>1</v>
      </c>
      <c r="BH134" s="108">
        <v>1</v>
      </c>
      <c r="BI134" s="108">
        <v>1.5</v>
      </c>
      <c r="BJ134" s="108">
        <v>1</v>
      </c>
      <c r="BK134" s="108">
        <v>1</v>
      </c>
      <c r="BL134" s="108">
        <v>1</v>
      </c>
    </row>
    <row r="135" spans="1:64" x14ac:dyDescent="0.2">
      <c r="A135" t="s">
        <v>327</v>
      </c>
      <c r="B135" s="108">
        <v>10</v>
      </c>
      <c r="C135" s="108">
        <v>10</v>
      </c>
      <c r="D135" s="108">
        <v>10</v>
      </c>
      <c r="E135" s="108">
        <v>10</v>
      </c>
      <c r="F135" s="108">
        <v>10</v>
      </c>
      <c r="G135" s="108">
        <v>9</v>
      </c>
      <c r="H135" s="108">
        <v>10</v>
      </c>
      <c r="I135" s="108">
        <v>5</v>
      </c>
      <c r="J135" s="108">
        <v>10</v>
      </c>
      <c r="K135" s="108">
        <v>10</v>
      </c>
      <c r="L135" s="108">
        <v>7</v>
      </c>
      <c r="M135" s="108">
        <v>7</v>
      </c>
      <c r="N135" s="108">
        <v>5</v>
      </c>
      <c r="O135" s="108">
        <v>7</v>
      </c>
      <c r="P135" s="109">
        <v>7</v>
      </c>
      <c r="Q135" s="108">
        <v>10</v>
      </c>
      <c r="R135" s="108">
        <v>5</v>
      </c>
      <c r="S135" s="109">
        <v>7</v>
      </c>
      <c r="T135" s="108">
        <v>7</v>
      </c>
      <c r="U135" s="108">
        <v>10</v>
      </c>
      <c r="V135" s="108">
        <v>10</v>
      </c>
      <c r="W135" s="108">
        <v>5</v>
      </c>
      <c r="X135" s="108">
        <v>10</v>
      </c>
      <c r="Y135" s="108">
        <v>10</v>
      </c>
      <c r="Z135" s="108">
        <v>10</v>
      </c>
      <c r="AA135" s="108">
        <v>6</v>
      </c>
      <c r="AB135" s="108">
        <v>7</v>
      </c>
      <c r="AC135" s="108">
        <v>5</v>
      </c>
      <c r="AD135" s="108">
        <v>10</v>
      </c>
      <c r="AE135" s="108">
        <v>8.75</v>
      </c>
      <c r="AF135" s="108">
        <v>7</v>
      </c>
      <c r="AG135" s="108">
        <v>5</v>
      </c>
      <c r="AH135" s="108">
        <v>5</v>
      </c>
      <c r="AI135" s="108">
        <v>5</v>
      </c>
      <c r="AJ135" s="108">
        <v>5</v>
      </c>
      <c r="AK135" s="108">
        <v>5</v>
      </c>
      <c r="AL135" s="108">
        <v>5</v>
      </c>
      <c r="AM135" s="108">
        <v>5</v>
      </c>
      <c r="AN135" s="108">
        <v>6</v>
      </c>
      <c r="AO135" s="108">
        <v>6</v>
      </c>
      <c r="AP135" s="108">
        <v>10</v>
      </c>
      <c r="AQ135" s="108">
        <v>5</v>
      </c>
      <c r="AR135" s="108">
        <v>10</v>
      </c>
      <c r="AS135" s="108">
        <v>10</v>
      </c>
      <c r="AT135" s="108">
        <v>10</v>
      </c>
      <c r="AU135" s="108">
        <v>5</v>
      </c>
      <c r="AV135" s="108">
        <v>5</v>
      </c>
      <c r="AW135" s="108">
        <v>5</v>
      </c>
      <c r="AX135" s="108">
        <v>5</v>
      </c>
      <c r="AY135" s="108">
        <v>8</v>
      </c>
      <c r="AZ135" s="108">
        <v>10</v>
      </c>
      <c r="BA135" s="108">
        <v>10</v>
      </c>
      <c r="BB135" s="108">
        <v>5</v>
      </c>
      <c r="BC135" s="108">
        <v>5</v>
      </c>
      <c r="BD135" s="108">
        <v>5</v>
      </c>
      <c r="BE135" s="108">
        <v>10</v>
      </c>
      <c r="BF135" s="108">
        <v>10</v>
      </c>
      <c r="BG135" s="108">
        <v>10</v>
      </c>
      <c r="BH135" s="108">
        <v>10</v>
      </c>
      <c r="BI135" s="108">
        <v>10</v>
      </c>
      <c r="BJ135" s="108">
        <v>10</v>
      </c>
      <c r="BK135" s="108">
        <v>7</v>
      </c>
      <c r="BL135" s="108">
        <v>10</v>
      </c>
    </row>
    <row r="136" spans="1:64" x14ac:dyDescent="0.2">
      <c r="A136" t="s">
        <v>351</v>
      </c>
      <c r="B136" s="108">
        <v>2.3222136497497559</v>
      </c>
      <c r="C136" s="108">
        <v>2.2874689102172852</v>
      </c>
      <c r="D136" s="108">
        <v>2.1066808700561523</v>
      </c>
      <c r="E136" s="108">
        <v>2.1401174068450928</v>
      </c>
      <c r="F136" s="108">
        <v>2.4444444179534912</v>
      </c>
      <c r="G136" s="108">
        <v>2.2048814296722412</v>
      </c>
      <c r="H136" s="108">
        <v>2.3711421489715576</v>
      </c>
      <c r="I136" s="108">
        <v>2.1678032875061035</v>
      </c>
      <c r="J136" s="108">
        <v>2.3223891258239746</v>
      </c>
      <c r="K136" s="108">
        <v>2.357621431350708</v>
      </c>
      <c r="L136" s="108">
        <v>2.2862393856048584</v>
      </c>
      <c r="M136" s="108">
        <v>2.2434065341949463</v>
      </c>
      <c r="N136" s="108">
        <v>2.4007234573364258</v>
      </c>
      <c r="O136" s="108">
        <v>2.6585400104522705</v>
      </c>
      <c r="P136" s="109">
        <v>2.4610533714294434</v>
      </c>
      <c r="Q136" s="108">
        <v>2.371164083480835</v>
      </c>
      <c r="R136" s="108">
        <v>2.4468603134155273</v>
      </c>
      <c r="S136" s="109">
        <v>2.5198967456817627</v>
      </c>
      <c r="T136" s="108">
        <v>2.3255095481872559</v>
      </c>
      <c r="U136" s="108">
        <v>2.2921617031097412</v>
      </c>
      <c r="V136" s="108">
        <v>2.3826098442077637</v>
      </c>
      <c r="W136" s="108">
        <v>2.1983485221862793</v>
      </c>
      <c r="X136" s="108">
        <v>2.4445490837097168</v>
      </c>
      <c r="Y136" s="108">
        <v>2.4201204776763916</v>
      </c>
      <c r="Z136" s="108">
        <v>2.3517715930938721</v>
      </c>
      <c r="AA136" s="108">
        <v>2.4591107368469238</v>
      </c>
      <c r="AB136" s="108">
        <v>2.236337423324585</v>
      </c>
      <c r="AC136" s="108">
        <v>2.2851929664611816</v>
      </c>
      <c r="AD136" s="108">
        <v>2.0927002429962158</v>
      </c>
      <c r="AE136" s="108">
        <v>2.0735599994659424</v>
      </c>
      <c r="AF136" s="108">
        <v>2.367701530456543</v>
      </c>
      <c r="AG136" s="108">
        <v>2.3462560176849365</v>
      </c>
      <c r="AH136" s="108">
        <v>2.3475656509399414</v>
      </c>
      <c r="AI136" s="108">
        <v>2.392298698425293</v>
      </c>
      <c r="AJ136" s="108">
        <v>2.3955135345458984</v>
      </c>
      <c r="AK136" s="108">
        <v>2.3261752128601074</v>
      </c>
      <c r="AL136" s="108">
        <v>2.2756185531616211</v>
      </c>
      <c r="AM136" s="108">
        <v>2.4442110061645508</v>
      </c>
      <c r="AN136" s="108">
        <v>2.2649459838867188</v>
      </c>
      <c r="AO136" s="108">
        <v>2.2393991947174072</v>
      </c>
      <c r="AP136" s="108">
        <v>2.1293916702270508</v>
      </c>
      <c r="AQ136" s="108">
        <v>2.209280252456665</v>
      </c>
      <c r="AR136" s="108">
        <v>2.2680830955505371</v>
      </c>
      <c r="AS136" s="108">
        <v>2.206852912902832</v>
      </c>
      <c r="AT136" s="108">
        <v>2.2173542976379395</v>
      </c>
      <c r="AU136" s="108">
        <v>2.2542827129364014</v>
      </c>
      <c r="AV136" s="108">
        <v>2.4150362014770508</v>
      </c>
      <c r="AW136" s="108">
        <v>2.2536027431488037</v>
      </c>
      <c r="AX136" s="108">
        <v>2.3564577102661133</v>
      </c>
      <c r="AY136" s="108">
        <v>2.2407989501953125</v>
      </c>
      <c r="AZ136" s="108">
        <v>2.1728839874267578</v>
      </c>
      <c r="BA136" s="108">
        <v>2.1449706554412842</v>
      </c>
      <c r="BB136" s="108">
        <v>2.2379529476165771</v>
      </c>
      <c r="BC136" s="108">
        <v>2.2907950878143311</v>
      </c>
      <c r="BD136" s="108">
        <v>2.5085322856903076</v>
      </c>
      <c r="BE136" s="108">
        <v>2.3093562126159668</v>
      </c>
      <c r="BF136" s="108">
        <v>2.3669307231903076</v>
      </c>
      <c r="BG136" s="108">
        <v>2.3321242332458496</v>
      </c>
      <c r="BH136" s="108">
        <v>2.2546865940093994</v>
      </c>
      <c r="BI136" s="108">
        <v>2.374596118927002</v>
      </c>
      <c r="BJ136" s="108">
        <v>2.4176127910614014</v>
      </c>
      <c r="BK136" s="108">
        <v>2.5394828319549561</v>
      </c>
      <c r="BL136" s="108">
        <v>2.3131284713745117</v>
      </c>
    </row>
    <row r="137" spans="1:64" x14ac:dyDescent="0.2">
      <c r="A137" t="s">
        <v>357</v>
      </c>
      <c r="B137" s="108">
        <v>2.3218538761138916</v>
      </c>
      <c r="C137" s="108">
        <v>2.231952428817749</v>
      </c>
      <c r="D137" s="108">
        <v>2.1605033874511719</v>
      </c>
      <c r="E137" s="108">
        <v>2.2162911891937256</v>
      </c>
      <c r="F137" s="108">
        <v>2.5346534252166748</v>
      </c>
      <c r="G137" s="108">
        <v>2.2383761405944824</v>
      </c>
      <c r="H137" s="108">
        <v>2.3725705146789551</v>
      </c>
      <c r="I137" s="108">
        <v>2.2106900215148926</v>
      </c>
      <c r="J137" s="108">
        <v>2.4291708469390869</v>
      </c>
      <c r="K137" s="108">
        <v>2.4786772727966309</v>
      </c>
      <c r="L137" s="108">
        <v>2.3793306350708008</v>
      </c>
      <c r="M137" s="108">
        <v>2.2441167831420898</v>
      </c>
      <c r="N137" s="108">
        <v>2.4911572933197021</v>
      </c>
      <c r="O137" s="108">
        <v>2.6714670658111572</v>
      </c>
      <c r="P137" s="109">
        <v>2.5145516395568848</v>
      </c>
      <c r="Q137" s="108">
        <v>2.4521167278289795</v>
      </c>
      <c r="R137" s="108">
        <v>2.567814826965332</v>
      </c>
      <c r="S137" s="109">
        <v>2.5534200668334961</v>
      </c>
      <c r="T137" s="108">
        <v>2.4126312732696533</v>
      </c>
      <c r="U137" s="108">
        <v>2.3332133293151855</v>
      </c>
      <c r="V137" s="108">
        <v>2.4792258739471436</v>
      </c>
      <c r="W137" s="108">
        <v>2.3369617462158203</v>
      </c>
      <c r="X137" s="108">
        <v>2.4205315113067627</v>
      </c>
      <c r="Y137" s="108">
        <v>2.4944472312927246</v>
      </c>
      <c r="Z137" s="108">
        <v>2.4240612983703613</v>
      </c>
      <c r="AA137" s="108">
        <v>2.4899623394012451</v>
      </c>
      <c r="AB137" s="108">
        <v>2.3303940296173096</v>
      </c>
      <c r="AC137" s="108">
        <v>2.2471160888671875</v>
      </c>
      <c r="AD137" s="108">
        <v>2.1603567600250244</v>
      </c>
      <c r="AE137" s="108">
        <v>2.1149022579193115</v>
      </c>
      <c r="AF137" s="108">
        <v>2.4122240543365479</v>
      </c>
      <c r="AG137" s="108">
        <v>2.3655538558959961</v>
      </c>
      <c r="AH137" s="108">
        <v>2.3551528453826904</v>
      </c>
      <c r="AI137" s="108">
        <v>2.3890244960784912</v>
      </c>
      <c r="AJ137" s="108">
        <v>2.4181370735168457</v>
      </c>
      <c r="AK137" s="108">
        <v>2.3899922370910645</v>
      </c>
      <c r="AL137" s="108">
        <v>2.3316435813903809</v>
      </c>
      <c r="AM137" s="108">
        <v>2.4962539672851563</v>
      </c>
      <c r="AN137" s="108">
        <v>2.3509693145751953</v>
      </c>
      <c r="AO137" s="108">
        <v>2.2264063358306885</v>
      </c>
      <c r="AP137" s="108">
        <v>2.2330236434936523</v>
      </c>
      <c r="AQ137" s="108">
        <v>2.3274235725402832</v>
      </c>
      <c r="AR137" s="108">
        <v>2.2909564971923828</v>
      </c>
      <c r="AS137" s="108">
        <v>2.177424430847168</v>
      </c>
      <c r="AT137" s="108">
        <v>2.2608819007873535</v>
      </c>
      <c r="AU137" s="108">
        <v>2.3162691593170166</v>
      </c>
      <c r="AV137" s="108">
        <v>2.4444019794464111</v>
      </c>
      <c r="AW137" s="108">
        <v>2.2857916355133057</v>
      </c>
      <c r="AX137" s="108">
        <v>2.3185651302337646</v>
      </c>
      <c r="AY137" s="108">
        <v>2.2173149585723877</v>
      </c>
      <c r="AZ137" s="108">
        <v>2.1966936588287354</v>
      </c>
      <c r="BA137" s="108">
        <v>2.1810297966003418</v>
      </c>
      <c r="BB137" s="108">
        <v>2.3496909141540527</v>
      </c>
      <c r="BC137" s="108">
        <v>2.296971321105957</v>
      </c>
      <c r="BD137" s="108">
        <v>2.5803837776184082</v>
      </c>
      <c r="BE137" s="108">
        <v>2.3414309024810791</v>
      </c>
      <c r="BF137" s="108">
        <v>2.3333311080932617</v>
      </c>
      <c r="BG137" s="108">
        <v>2.360187292098999</v>
      </c>
      <c r="BH137" s="108">
        <v>2.2151451110839844</v>
      </c>
      <c r="BI137" s="108">
        <v>2.3697736263275146</v>
      </c>
      <c r="BJ137" s="108">
        <v>2.5151398181915283</v>
      </c>
      <c r="BK137" s="108">
        <v>2.5426826477050781</v>
      </c>
      <c r="BL137" s="108">
        <v>2.3576045036315918</v>
      </c>
    </row>
    <row r="138" spans="1:64" x14ac:dyDescent="0.2">
      <c r="A138" t="s">
        <v>359</v>
      </c>
      <c r="B138" s="108">
        <v>2.1576709747314453</v>
      </c>
      <c r="C138" s="108">
        <v>1.8624064922332764</v>
      </c>
      <c r="D138" s="108">
        <v>1.8680844306945801</v>
      </c>
      <c r="E138" s="108">
        <v>1.8491847515106201</v>
      </c>
      <c r="F138" s="108">
        <v>2.2717752456665039</v>
      </c>
      <c r="G138" s="108">
        <v>1.9207888841629028</v>
      </c>
      <c r="H138" s="108">
        <v>2.0905730724334717</v>
      </c>
      <c r="I138" s="108">
        <v>1.9753948450088501</v>
      </c>
      <c r="J138" s="108">
        <v>2.042011022567749</v>
      </c>
      <c r="K138" s="108">
        <v>2.1649539470672607</v>
      </c>
      <c r="L138" s="108">
        <v>2.0587892532348633</v>
      </c>
      <c r="M138" s="108">
        <v>2.0622849464416504</v>
      </c>
      <c r="N138" s="108">
        <v>2.199836254119873</v>
      </c>
      <c r="O138" s="108">
        <v>2.5586521625518799</v>
      </c>
      <c r="P138" s="109">
        <v>2.2425162792205811</v>
      </c>
      <c r="Q138" s="108">
        <v>2.2666385173797607</v>
      </c>
      <c r="R138" s="108">
        <v>2.207188606262207</v>
      </c>
      <c r="S138" s="109">
        <v>2.3804159164428711</v>
      </c>
      <c r="T138" s="108">
        <v>2.2211358547210693</v>
      </c>
      <c r="U138" s="108">
        <v>2.1453864574432373</v>
      </c>
      <c r="V138" s="108">
        <v>2.228339672088623</v>
      </c>
      <c r="W138" s="108">
        <v>2.1302089691162109</v>
      </c>
      <c r="X138" s="108">
        <v>2.1633715629577637</v>
      </c>
      <c r="Y138" s="108">
        <v>2.2858102321624756</v>
      </c>
      <c r="Z138" s="108">
        <v>2.2083740234375</v>
      </c>
      <c r="AA138" s="108">
        <v>2.2775921821594238</v>
      </c>
      <c r="AB138" s="108">
        <v>2.1299934387207031</v>
      </c>
      <c r="AC138" s="108">
        <v>2.0309946537017822</v>
      </c>
      <c r="AD138" s="108">
        <v>2.0983545780181885</v>
      </c>
      <c r="AE138" s="108">
        <v>1.9091249704360962</v>
      </c>
      <c r="AF138" s="108">
        <v>2.234670877456665</v>
      </c>
      <c r="AG138" s="108">
        <v>2.1750967502593994</v>
      </c>
      <c r="AH138" s="108">
        <v>2.1522104740142822</v>
      </c>
      <c r="AI138" s="108">
        <v>2.0727119445800781</v>
      </c>
      <c r="AJ138" s="108">
        <v>2.2331798076629639</v>
      </c>
      <c r="AK138" s="108">
        <v>2.0853900909423828</v>
      </c>
      <c r="AL138" s="108">
        <v>2.0781447887420654</v>
      </c>
      <c r="AM138" s="108">
        <v>2.271195650100708</v>
      </c>
      <c r="AN138" s="108">
        <v>1.9603809118270874</v>
      </c>
      <c r="AO138" s="108">
        <v>1.9044747352600098</v>
      </c>
      <c r="AP138" s="108">
        <v>1.9240990877151489</v>
      </c>
      <c r="AQ138" s="108">
        <v>1.9768548011779785</v>
      </c>
      <c r="AR138" s="108">
        <v>1.9983878135681152</v>
      </c>
      <c r="AS138" s="108">
        <v>1.9808148145675659</v>
      </c>
      <c r="AT138" s="108">
        <v>2.0222237110137939</v>
      </c>
      <c r="AU138" s="108">
        <v>2.0382020473480225</v>
      </c>
      <c r="AV138" s="108">
        <v>2.2316689491271973</v>
      </c>
      <c r="AW138" s="108">
        <v>1.9497534036636353</v>
      </c>
      <c r="AX138" s="108">
        <v>1.9887814521789551</v>
      </c>
      <c r="AY138" s="108">
        <v>1.9595842361450195</v>
      </c>
      <c r="AZ138" s="108">
        <v>1.8836237192153931</v>
      </c>
      <c r="BA138" s="108">
        <v>1.8438141345977783</v>
      </c>
      <c r="BB138" s="108">
        <v>1.9200599193572998</v>
      </c>
      <c r="BC138" s="108">
        <v>2.0569279193878174</v>
      </c>
      <c r="BD138" s="108">
        <v>2.2359950542449951</v>
      </c>
      <c r="BE138" s="108">
        <v>1.8924429416656494</v>
      </c>
      <c r="BF138" s="108">
        <v>2.0183901786804199</v>
      </c>
      <c r="BG138" s="108">
        <v>2.0493264198303223</v>
      </c>
      <c r="BH138" s="108">
        <v>1.9912222623825073</v>
      </c>
      <c r="BI138" s="108">
        <v>2.0050861835479736</v>
      </c>
      <c r="BJ138" s="108">
        <v>2.0385589599609375</v>
      </c>
      <c r="BK138" s="108">
        <v>2.1366393566131592</v>
      </c>
      <c r="BL138" s="108">
        <v>2.0054280757904053</v>
      </c>
    </row>
    <row r="139" spans="1:64" x14ac:dyDescent="0.2">
      <c r="A139" t="s">
        <v>353</v>
      </c>
      <c r="B139" s="108">
        <v>0.15314038097858429</v>
      </c>
      <c r="C139" s="108">
        <v>8.3264186978340149E-2</v>
      </c>
      <c r="D139" s="108">
        <v>0.16401058435440063</v>
      </c>
      <c r="E139" s="108">
        <v>0.17430287599563599</v>
      </c>
      <c r="F139" s="108">
        <v>0.17546749114990234</v>
      </c>
      <c r="G139" s="108">
        <v>0.1157536581158638</v>
      </c>
      <c r="H139" s="108">
        <v>0.13562923669815063</v>
      </c>
      <c r="I139" s="108">
        <v>2.4729695171117783E-2</v>
      </c>
      <c r="J139" s="108">
        <v>7.729562371969223E-2</v>
      </c>
      <c r="K139" s="108">
        <v>0.19237756729125977</v>
      </c>
      <c r="L139" s="108">
        <v>0.25411310791969299</v>
      </c>
      <c r="M139" s="108">
        <v>0.17126695811748505</v>
      </c>
      <c r="N139" s="108">
        <v>0.18086801469326019</v>
      </c>
      <c r="O139" s="108">
        <v>0.17616155743598938</v>
      </c>
      <c r="P139" s="109">
        <v>0.15704283118247986</v>
      </c>
      <c r="Q139" s="108">
        <v>0.19592452049255371</v>
      </c>
      <c r="R139" s="108">
        <v>0.15737996995449066</v>
      </c>
      <c r="S139" s="109">
        <v>0.1286228746175766</v>
      </c>
      <c r="T139" s="108">
        <v>0.24388515949249268</v>
      </c>
      <c r="U139" s="108">
        <v>0.16477395594120026</v>
      </c>
      <c r="V139" s="108">
        <v>0.31633120775222778</v>
      </c>
      <c r="W139" s="108">
        <v>0.10773821175098419</v>
      </c>
      <c r="X139" s="108">
        <v>0.27711346745491028</v>
      </c>
      <c r="Y139" s="108">
        <v>0.1720660924911499</v>
      </c>
      <c r="Z139" s="108">
        <v>0.16370870172977448</v>
      </c>
      <c r="AA139" s="108">
        <v>0.26062947511672974</v>
      </c>
      <c r="AB139" s="108">
        <v>0.14305028319358826</v>
      </c>
      <c r="AC139" s="108">
        <v>0.2855236828327179</v>
      </c>
      <c r="AD139" s="108">
        <v>0.14035046100616455</v>
      </c>
      <c r="AE139" s="108">
        <v>3.268544003367424E-2</v>
      </c>
      <c r="AF139" s="108">
        <v>0.11463283747434616</v>
      </c>
      <c r="AG139" s="108">
        <v>7.5714573264122009E-2</v>
      </c>
      <c r="AH139" s="108">
        <v>0.22824232280254364</v>
      </c>
      <c r="AI139" s="108">
        <v>0.11804940551519394</v>
      </c>
      <c r="AJ139" s="108">
        <v>4.8056267201900482E-2</v>
      </c>
      <c r="AK139" s="108">
        <v>5.8514945209026337E-2</v>
      </c>
      <c r="AL139" s="108">
        <v>4.191993921995163E-2</v>
      </c>
      <c r="AM139" s="108">
        <v>0.18814677000045776</v>
      </c>
      <c r="AN139" s="108">
        <v>7.7080890536308289E-2</v>
      </c>
      <c r="AO139" s="108">
        <v>9.0902643278241158E-3</v>
      </c>
      <c r="AP139" s="108">
        <v>8.1496685743331909E-2</v>
      </c>
      <c r="AQ139" s="108">
        <v>0.13078603148460388</v>
      </c>
      <c r="AR139" s="108">
        <v>0.13266730308532715</v>
      </c>
      <c r="AS139" s="108">
        <v>0.110783651471138</v>
      </c>
      <c r="AT139" s="108">
        <v>4.9653574824333191E-2</v>
      </c>
      <c r="AU139" s="108">
        <v>5.7337395846843719E-2</v>
      </c>
      <c r="AV139" s="108">
        <v>0.12323529273271561</v>
      </c>
      <c r="AW139" s="108">
        <v>0.13630278408527374</v>
      </c>
      <c r="AX139" s="108">
        <v>0.10722269862890244</v>
      </c>
      <c r="AY139" s="108">
        <v>0.10416445136070251</v>
      </c>
      <c r="AZ139" s="108">
        <v>4.341018944978714E-2</v>
      </c>
      <c r="BA139" s="108">
        <v>0.11827027052640915</v>
      </c>
      <c r="BB139" s="108">
        <v>5.9768833220005035E-2</v>
      </c>
      <c r="BC139" s="108">
        <v>7.8191056847572327E-2</v>
      </c>
      <c r="BD139" s="108">
        <v>0.11260108649730682</v>
      </c>
      <c r="BE139" s="108">
        <v>8.4439225494861603E-2</v>
      </c>
      <c r="BF139" s="108">
        <v>7.4182532727718353E-2</v>
      </c>
      <c r="BG139" s="108">
        <v>0.11422616988420486</v>
      </c>
      <c r="BH139" s="108">
        <v>9.260404109954834E-2</v>
      </c>
      <c r="BI139" s="108">
        <v>0.17003847658634186</v>
      </c>
      <c r="BJ139" s="108">
        <v>9.4950124621391296E-2</v>
      </c>
      <c r="BK139" s="108">
        <v>0.16846849024295807</v>
      </c>
      <c r="BL139" s="108">
        <v>6.3683167099952698E-2</v>
      </c>
    </row>
    <row r="140" spans="1:64" x14ac:dyDescent="0.2">
      <c r="A140" t="s">
        <v>355</v>
      </c>
      <c r="B140" s="108">
        <v>3.7803468704223633</v>
      </c>
      <c r="C140" s="108">
        <v>4.5595545768737793</v>
      </c>
      <c r="D140" s="108">
        <v>5.1820921897888184</v>
      </c>
      <c r="E140" s="108">
        <v>5.8665051460266113</v>
      </c>
      <c r="F140" s="108">
        <v>2.2552235126495361</v>
      </c>
      <c r="G140" s="108">
        <v>13.438055992126465</v>
      </c>
      <c r="H140" s="108">
        <v>10.536181449890137</v>
      </c>
      <c r="I140" s="108">
        <v>12.753863334655762</v>
      </c>
      <c r="J140" s="108">
        <v>8.4204730987548828</v>
      </c>
      <c r="K140" s="108">
        <v>6.8813953399658203</v>
      </c>
      <c r="L140" s="108">
        <v>2.9611072540283203</v>
      </c>
      <c r="M140" s="108">
        <v>5.0240159034729004</v>
      </c>
      <c r="N140" s="108">
        <v>0.72598344087600708</v>
      </c>
      <c r="O140" s="108">
        <v>0</v>
      </c>
      <c r="P140" s="109">
        <v>4.4496502876281738</v>
      </c>
      <c r="Q140" s="108">
        <v>0.7193942666053772</v>
      </c>
      <c r="R140" s="108">
        <v>5.1916160583496094</v>
      </c>
      <c r="S140" s="109">
        <v>2.1670770645141602</v>
      </c>
      <c r="T140" s="108">
        <v>3.8164842128753662</v>
      </c>
      <c r="U140" s="108">
        <v>7.3061294555664063</v>
      </c>
      <c r="V140" s="108">
        <v>6.4977498054504395</v>
      </c>
      <c r="W140" s="108">
        <v>3.0797004699707031</v>
      </c>
      <c r="X140" s="108">
        <v>5.3813815116882324</v>
      </c>
      <c r="Y140" s="108">
        <v>2.2976047992706299</v>
      </c>
      <c r="Z140" s="108">
        <v>3.234311580657959</v>
      </c>
      <c r="AA140" s="108">
        <v>3.3604545593261719</v>
      </c>
      <c r="AB140" s="108">
        <v>6.8757796287536621</v>
      </c>
      <c r="AC140" s="108">
        <v>3.1289181709289551</v>
      </c>
      <c r="AD140" s="108">
        <v>5.2547669410705566</v>
      </c>
      <c r="AE140" s="108">
        <v>22.543472290039063</v>
      </c>
      <c r="AF140" s="108">
        <v>2.6563482284545898</v>
      </c>
      <c r="AG140" s="108">
        <v>4.8632302284240723</v>
      </c>
      <c r="AH140" s="108">
        <v>3.7417316436767578</v>
      </c>
      <c r="AI140" s="108">
        <v>1.3288888931274414</v>
      </c>
      <c r="AJ140" s="108">
        <v>2.9052112102508545</v>
      </c>
      <c r="AK140" s="108">
        <v>16.268157958984375</v>
      </c>
      <c r="AL140" s="108">
        <v>14.358132362365723</v>
      </c>
      <c r="AM140" s="108">
        <v>10.408552169799805</v>
      </c>
      <c r="AN140" s="108">
        <v>8.6730108261108398</v>
      </c>
      <c r="AO140" s="108">
        <v>7.6712074279785156</v>
      </c>
      <c r="AP140" s="108">
        <v>17.341218948364258</v>
      </c>
      <c r="AQ140" s="108">
        <v>8.9877662658691406</v>
      </c>
      <c r="AR140" s="108">
        <v>12.659138679504395</v>
      </c>
      <c r="AS140" s="108">
        <v>10.275426864624023</v>
      </c>
      <c r="AT140" s="108">
        <v>7.0663552284240723</v>
      </c>
      <c r="AU140" s="108">
        <v>6.7496323585510254</v>
      </c>
      <c r="AV140" s="108">
        <v>5.3174853324890137</v>
      </c>
      <c r="AW140" s="108">
        <v>8.7488870620727539</v>
      </c>
      <c r="AX140" s="108">
        <v>3.9625775814056396</v>
      </c>
      <c r="AY140" s="108">
        <v>8.0112104415893555</v>
      </c>
      <c r="AZ140" s="108">
        <v>6.630704402923584</v>
      </c>
      <c r="BA140" s="108">
        <v>8.329442024230957</v>
      </c>
      <c r="BB140" s="108">
        <v>8.3755159378051758</v>
      </c>
      <c r="BC140" s="108">
        <v>3.6097333431243896</v>
      </c>
      <c r="BD140" s="108">
        <v>6.043065071105957</v>
      </c>
      <c r="BE140" s="108">
        <v>9.8668899536132813</v>
      </c>
      <c r="BF140" s="108">
        <v>4.1087818145751953</v>
      </c>
      <c r="BG140" s="108">
        <v>9.2450418472290039</v>
      </c>
      <c r="BH140" s="108">
        <v>8.0828704833984375</v>
      </c>
      <c r="BI140" s="108">
        <v>5.5466828346252441</v>
      </c>
      <c r="BJ140" s="108">
        <v>2.8389394283294678</v>
      </c>
      <c r="BK140" s="108">
        <v>10.855315208435059</v>
      </c>
      <c r="BL140" s="108">
        <v>6.9533615112304688</v>
      </c>
    </row>
    <row r="141" spans="1:64" x14ac:dyDescent="0.2">
      <c r="A141" t="s">
        <v>310</v>
      </c>
      <c r="B141" s="108">
        <v>0.91934078931808472</v>
      </c>
      <c r="C141" s="108">
        <v>0.98294788599014282</v>
      </c>
      <c r="D141" s="108">
        <v>0.93083924055099487</v>
      </c>
      <c r="E141" s="108">
        <v>0.96886277198791504</v>
      </c>
      <c r="F141" s="108">
        <v>0.92629271745681763</v>
      </c>
      <c r="G141" s="108">
        <v>0.91627013683319092</v>
      </c>
      <c r="H141" s="108">
        <v>0.95473027229309082</v>
      </c>
      <c r="I141" s="108">
        <v>0.91336369514465332</v>
      </c>
      <c r="J141" s="108">
        <v>0.84113579988479614</v>
      </c>
      <c r="K141" s="108">
        <v>0.8364596962928772</v>
      </c>
      <c r="L141" s="108">
        <v>0.85387980937957764</v>
      </c>
      <c r="M141" s="108">
        <v>0.94764918088912964</v>
      </c>
      <c r="N141" s="108">
        <v>0.90222418308258057</v>
      </c>
      <c r="O141" s="108">
        <v>0.94330555200576782</v>
      </c>
      <c r="P141" s="109">
        <v>0.94650173187255859</v>
      </c>
      <c r="Q141" s="108">
        <v>0.84892719984054565</v>
      </c>
      <c r="R141" s="108">
        <v>0.97716754674911499</v>
      </c>
      <c r="S141" s="109">
        <v>0.91284048557281494</v>
      </c>
      <c r="T141" s="108">
        <v>0.87865275144577026</v>
      </c>
      <c r="U141" s="108">
        <v>0.92657887935638428</v>
      </c>
      <c r="V141" s="108">
        <v>0.94641321897506714</v>
      </c>
      <c r="W141" s="108">
        <v>0.93930864334106445</v>
      </c>
      <c r="X141" s="108">
        <v>0.91392379999160767</v>
      </c>
      <c r="Y141" s="108">
        <v>0.95416408777236938</v>
      </c>
      <c r="Z141" s="108">
        <v>0.92406123876571655</v>
      </c>
      <c r="AA141" s="108">
        <v>0.95188993215560913</v>
      </c>
      <c r="AB141" s="108">
        <v>0.94436407089233398</v>
      </c>
      <c r="AC141" s="108">
        <v>0.93133038282394409</v>
      </c>
      <c r="AD141" s="108">
        <v>0.93593913316726685</v>
      </c>
      <c r="AE141" s="108">
        <v>0.95278632640838623</v>
      </c>
      <c r="AF141" s="108">
        <v>0.91642254590988159</v>
      </c>
      <c r="AG141" s="108">
        <v>0.9441414475440979</v>
      </c>
      <c r="AH141" s="108">
        <v>0.95758026838302612</v>
      </c>
      <c r="AI141" s="108">
        <v>0.96852850914001465</v>
      </c>
      <c r="AJ141" s="108">
        <v>0.96928828954696655</v>
      </c>
      <c r="AK141" s="108">
        <v>0.94209671020507813</v>
      </c>
      <c r="AL141" s="108">
        <v>0.91272491216659546</v>
      </c>
      <c r="AM141" s="108">
        <v>0.89720803499221802</v>
      </c>
      <c r="AN141" s="108">
        <v>0.81557244062423706</v>
      </c>
      <c r="AO141" s="108">
        <v>0.90872788429260254</v>
      </c>
      <c r="AP141" s="108">
        <v>0.81824314594268799</v>
      </c>
      <c r="AQ141" s="108">
        <v>0.90523296594619751</v>
      </c>
      <c r="AR141" s="108">
        <v>0.8640824556350708</v>
      </c>
      <c r="AS141" s="108">
        <v>0.86890530586242676</v>
      </c>
      <c r="AT141" s="108">
        <v>0.91486483812332153</v>
      </c>
      <c r="AU141" s="108">
        <v>0.86874932050704956</v>
      </c>
      <c r="AV141" s="108">
        <v>0.90188330411911011</v>
      </c>
      <c r="AW141" s="108">
        <v>0.88125574588775635</v>
      </c>
      <c r="AX141" s="108">
        <v>0.91017431020736694</v>
      </c>
      <c r="AY141" s="108">
        <v>0.88762813806533813</v>
      </c>
      <c r="AZ141" s="108">
        <v>0.90733349323272705</v>
      </c>
      <c r="BA141" s="108">
        <v>0.78175902366638184</v>
      </c>
      <c r="BB141" s="108">
        <v>0.90488988161087036</v>
      </c>
      <c r="BC141" s="108">
        <v>0.8575361967086792</v>
      </c>
      <c r="BD141" s="108">
        <v>0.90633022785186768</v>
      </c>
      <c r="BE141" s="108">
        <v>0.91299527883529663</v>
      </c>
      <c r="BF141" s="108">
        <v>0.84905678033828735</v>
      </c>
      <c r="BG141" s="108">
        <v>0.84860736131668091</v>
      </c>
      <c r="BH141" s="108">
        <v>0.87535685300827026</v>
      </c>
      <c r="BI141" s="108">
        <v>0.87861758470535278</v>
      </c>
      <c r="BJ141" s="108">
        <v>0.78977674245834351</v>
      </c>
      <c r="BK141" s="108">
        <v>0.93024712800979614</v>
      </c>
      <c r="BL141" s="108">
        <v>0.92404186725616455</v>
      </c>
    </row>
    <row r="142" spans="1:64" x14ac:dyDescent="0.2">
      <c r="A142" t="s">
        <v>312</v>
      </c>
      <c r="B142" s="108">
        <v>3.4290027618408203</v>
      </c>
      <c r="C142" s="108">
        <v>3.6821701526641846</v>
      </c>
      <c r="D142" s="108">
        <v>3.6271123886108398</v>
      </c>
      <c r="E142" s="108">
        <v>3.7374999523162842</v>
      </c>
      <c r="F142" s="108">
        <v>3.6361966133117676</v>
      </c>
      <c r="G142" s="108">
        <v>3.3396811485290527</v>
      </c>
      <c r="H142" s="108">
        <v>3.7664103507995605</v>
      </c>
      <c r="I142" s="108">
        <v>3.633650541305542</v>
      </c>
      <c r="J142" s="108">
        <v>3.6796402931213379</v>
      </c>
      <c r="K142" s="108">
        <v>3.6814470291137695</v>
      </c>
      <c r="L142" s="108">
        <v>3.6610379219055176</v>
      </c>
      <c r="M142" s="108">
        <v>3.5175650119781494</v>
      </c>
      <c r="N142" s="108">
        <v>3.5814659595489502</v>
      </c>
      <c r="O142" s="108">
        <v>3.7690751552581787</v>
      </c>
      <c r="P142" s="109">
        <v>3.765601634979248</v>
      </c>
      <c r="Q142" s="108">
        <v>3.423187255859375</v>
      </c>
      <c r="R142" s="108">
        <v>3.5509240627288818</v>
      </c>
      <c r="S142" s="109">
        <v>3.7352659702301025</v>
      </c>
      <c r="T142" s="108">
        <v>3.5483419895172119</v>
      </c>
      <c r="U142" s="108">
        <v>3.4385578632354736</v>
      </c>
      <c r="V142" s="108">
        <v>3.5253221988677979</v>
      </c>
      <c r="W142" s="108">
        <v>3.468815803527832</v>
      </c>
      <c r="X142" s="108">
        <v>3.5336284637451172</v>
      </c>
      <c r="Y142" s="108">
        <v>3.5199248790740967</v>
      </c>
      <c r="Z142" s="108">
        <v>3.6066815853118896</v>
      </c>
      <c r="AA142" s="108">
        <v>3.6600415706634521</v>
      </c>
      <c r="AB142" s="108">
        <v>3.5973215103149414</v>
      </c>
      <c r="AC142" s="108">
        <v>3.5652570724487305</v>
      </c>
      <c r="AD142" s="108">
        <v>3.6446328163146973</v>
      </c>
      <c r="AE142" s="108">
        <v>3.5634655952453613</v>
      </c>
      <c r="AF142" s="108">
        <v>3.7198746204376221</v>
      </c>
      <c r="AG142" s="108">
        <v>3.4624924659729004</v>
      </c>
      <c r="AH142" s="108">
        <v>3.6678242683410645</v>
      </c>
      <c r="AI142" s="108">
        <v>3.4176030158996582</v>
      </c>
      <c r="AJ142" s="108">
        <v>3.6475238800048828</v>
      </c>
      <c r="AK142" s="108">
        <v>3.5017256736755371</v>
      </c>
      <c r="AL142" s="108">
        <v>3.5887851715087891</v>
      </c>
      <c r="AM142" s="108">
        <v>3.7765951156616211</v>
      </c>
      <c r="AN142" s="108">
        <v>3.5727581977844238</v>
      </c>
      <c r="AO142" s="108">
        <v>3.6287126541137695</v>
      </c>
      <c r="AP142" s="108">
        <v>3.4606053829193115</v>
      </c>
      <c r="AQ142" s="108">
        <v>3.6205043792724609</v>
      </c>
      <c r="AR142" s="108">
        <v>3.566342830657959</v>
      </c>
      <c r="AS142" s="108">
        <v>3.5893583297729492</v>
      </c>
      <c r="AT142" s="108">
        <v>3.5376112461090088</v>
      </c>
      <c r="AU142" s="108">
        <v>3.465503454208374</v>
      </c>
      <c r="AV142" s="108">
        <v>3.6901619434356689</v>
      </c>
      <c r="AW142" s="108">
        <v>3.4846160411834717</v>
      </c>
      <c r="AX142" s="108">
        <v>3.5084958076477051</v>
      </c>
      <c r="AY142" s="108">
        <v>3.5419015884399414</v>
      </c>
      <c r="AZ142" s="108">
        <v>3.4313271045684814</v>
      </c>
      <c r="BA142" s="108">
        <v>3.6171700954437256</v>
      </c>
      <c r="BB142" s="108">
        <v>3.7436282634735107</v>
      </c>
      <c r="BC142" s="108">
        <v>3.5050387382507324</v>
      </c>
      <c r="BD142" s="108">
        <v>3.7124249935150146</v>
      </c>
      <c r="BE142" s="108">
        <v>3.5587570667266846</v>
      </c>
      <c r="BF142" s="108">
        <v>3.6558837890625</v>
      </c>
      <c r="BG142" s="108">
        <v>3.6941587924957275</v>
      </c>
      <c r="BH142" s="108">
        <v>3.5374023914337158</v>
      </c>
      <c r="BI142" s="108">
        <v>3.6347701549530029</v>
      </c>
      <c r="BJ142" s="108">
        <v>3.7232842445373535</v>
      </c>
      <c r="BK142" s="108">
        <v>3.730999231338501</v>
      </c>
      <c r="BL142" s="108">
        <v>3.7131705284118652</v>
      </c>
    </row>
    <row r="143" spans="1:64" x14ac:dyDescent="0.2">
      <c r="A143" t="s">
        <v>314</v>
      </c>
      <c r="B143" s="108">
        <v>4.0432529449462891</v>
      </c>
      <c r="C143" s="108">
        <v>4.5163407325744629</v>
      </c>
      <c r="D143" s="108">
        <v>3.836397647857666</v>
      </c>
      <c r="E143" s="108">
        <v>4.3980836868286133</v>
      </c>
      <c r="F143" s="108">
        <v>4.3107695579528809</v>
      </c>
      <c r="G143" s="108">
        <v>3.9197919368743896</v>
      </c>
      <c r="H143" s="108">
        <v>4.253117561340332</v>
      </c>
      <c r="I143" s="108">
        <v>4.1278681755065918</v>
      </c>
      <c r="J143" s="108">
        <v>4.1540579795837402</v>
      </c>
      <c r="K143" s="108">
        <v>4.5371513366699219</v>
      </c>
      <c r="L143" s="108">
        <v>4.4781250953674316</v>
      </c>
      <c r="M143" s="108">
        <v>4.0971846580505371</v>
      </c>
      <c r="N143" s="108">
        <v>4.2256546020507813</v>
      </c>
      <c r="O143" s="108">
        <v>4.3968758583068848</v>
      </c>
      <c r="P143" s="109">
        <v>4.5748763084411621</v>
      </c>
      <c r="Q143" s="108">
        <v>4.317448616027832</v>
      </c>
      <c r="R143" s="108">
        <v>4.3370800018310547</v>
      </c>
      <c r="S143" s="109">
        <v>4.3152284622192383</v>
      </c>
      <c r="T143" s="108">
        <v>3.9826738834381104</v>
      </c>
      <c r="U143" s="108">
        <v>4.0070304870605469</v>
      </c>
      <c r="V143" s="108">
        <v>3.9265480041503906</v>
      </c>
      <c r="W143" s="108">
        <v>4.0197973251342773</v>
      </c>
      <c r="X143" s="108">
        <v>3.9785001277923584</v>
      </c>
      <c r="Y143" s="108">
        <v>3.8939521312713623</v>
      </c>
      <c r="Z143" s="108">
        <v>4.0090618133544922</v>
      </c>
      <c r="AA143" s="108">
        <v>4.3555712699890137</v>
      </c>
      <c r="AB143" s="108">
        <v>3.997685432434082</v>
      </c>
      <c r="AC143" s="108">
        <v>4.2065143585205078</v>
      </c>
      <c r="AD143" s="108">
        <v>3.9526240825653076</v>
      </c>
      <c r="AE143" s="108">
        <v>4.0567512512207031</v>
      </c>
      <c r="AF143" s="108">
        <v>4.3698444366455078</v>
      </c>
      <c r="AG143" s="108">
        <v>4.2440309524536133</v>
      </c>
      <c r="AH143" s="108">
        <v>4.3047256469726563</v>
      </c>
      <c r="AI143" s="108">
        <v>3.5586502552032471</v>
      </c>
      <c r="AJ143" s="108">
        <v>4.2270712852478027</v>
      </c>
      <c r="AK143" s="108">
        <v>4.1127419471740723</v>
      </c>
      <c r="AL143" s="108">
        <v>4.3751096725463867</v>
      </c>
      <c r="AM143" s="108">
        <v>4.3752422332763672</v>
      </c>
      <c r="AN143" s="108">
        <v>4.152857780456543</v>
      </c>
      <c r="AO143" s="108">
        <v>4.1305866241455078</v>
      </c>
      <c r="AP143" s="108">
        <v>3.8148369789123535</v>
      </c>
      <c r="AQ143" s="108">
        <v>4.169827938079834</v>
      </c>
      <c r="AR143" s="108">
        <v>4.1863727569580078</v>
      </c>
      <c r="AS143" s="108">
        <v>3.8876945972442627</v>
      </c>
      <c r="AT143" s="108">
        <v>4.0197534561157227</v>
      </c>
      <c r="AU143" s="108">
        <v>4</v>
      </c>
      <c r="AV143" s="108">
        <v>4.2049193382263184</v>
      </c>
      <c r="AW143" s="108">
        <v>4.1011795997619629</v>
      </c>
      <c r="AX143" s="108">
        <v>3.9007627964019775</v>
      </c>
      <c r="AY143" s="108">
        <v>4.2357258796691895</v>
      </c>
      <c r="AZ143" s="108">
        <v>4.1910405158996582</v>
      </c>
      <c r="BA143" s="108">
        <v>4.3475484848022461</v>
      </c>
      <c r="BB143" s="108">
        <v>4.3447108268737793</v>
      </c>
      <c r="BC143" s="108">
        <v>4.7162718772888184</v>
      </c>
      <c r="BD143" s="108">
        <v>4.2101116180419922</v>
      </c>
      <c r="BE143" s="108">
        <v>4.2476944923400879</v>
      </c>
      <c r="BF143" s="108">
        <v>4.1023545265197754</v>
      </c>
      <c r="BG143" s="108">
        <v>4.478792667388916</v>
      </c>
      <c r="BH143" s="108">
        <v>4.2413210868835449</v>
      </c>
      <c r="BI143" s="108">
        <v>4.4499964714050293</v>
      </c>
      <c r="BJ143" s="108">
        <v>4.4016251564025879</v>
      </c>
      <c r="BK143" s="108">
        <v>4.5857434272766113</v>
      </c>
      <c r="BL143" s="108">
        <v>4.4141731262207031</v>
      </c>
    </row>
    <row r="144" spans="1:64" x14ac:dyDescent="0.2">
      <c r="A144" t="s">
        <v>316</v>
      </c>
      <c r="B144" s="108">
        <v>0.63251322507858276</v>
      </c>
      <c r="C144" s="108">
        <v>0.73136651515960693</v>
      </c>
      <c r="D144" s="108">
        <v>0.68695026636123657</v>
      </c>
      <c r="E144" s="108">
        <v>0.7508663535118103</v>
      </c>
      <c r="F144" s="108">
        <v>0.79207891225814819</v>
      </c>
      <c r="G144" s="108">
        <v>0.65825837850570679</v>
      </c>
      <c r="H144" s="108">
        <v>0.73215454816818237</v>
      </c>
      <c r="I144" s="108">
        <v>0.67745703458786011</v>
      </c>
      <c r="J144" s="108">
        <v>0.7010456919670105</v>
      </c>
      <c r="K144" s="108">
        <v>0.62553238868713379</v>
      </c>
      <c r="L144" s="108">
        <v>0.8182709813117981</v>
      </c>
      <c r="M144" s="108">
        <v>0.74724364280700684</v>
      </c>
      <c r="N144" s="108">
        <v>0.70438069105148315</v>
      </c>
      <c r="O144" s="108">
        <v>0.85355609655380249</v>
      </c>
      <c r="P144" s="109">
        <v>0.8649248480796814</v>
      </c>
      <c r="Q144" s="108">
        <v>0.82890462875366211</v>
      </c>
      <c r="R144" s="108">
        <v>0.78988814353942871</v>
      </c>
      <c r="S144" s="109">
        <v>0.83202415704727173</v>
      </c>
      <c r="T144" s="108">
        <v>0.76501959562301636</v>
      </c>
      <c r="U144" s="108">
        <v>0.79240602254867554</v>
      </c>
      <c r="V144" s="108">
        <v>0.87768834829330444</v>
      </c>
      <c r="W144" s="108">
        <v>0.81163418292999268</v>
      </c>
      <c r="X144" s="108">
        <v>0.75752896070480347</v>
      </c>
      <c r="Y144" s="108">
        <v>0.86056256294250488</v>
      </c>
      <c r="Z144" s="108">
        <v>0.84915107488632202</v>
      </c>
      <c r="AA144" s="108">
        <v>0.81092554330825806</v>
      </c>
      <c r="AB144" s="108">
        <v>0.86632686853408813</v>
      </c>
      <c r="AC144" s="108">
        <v>0.84991961717605591</v>
      </c>
      <c r="AD144" s="108">
        <v>0.87530231475830078</v>
      </c>
      <c r="AE144" s="108">
        <v>0.79559653997421265</v>
      </c>
      <c r="AF144" s="108">
        <v>0.87932449579238892</v>
      </c>
      <c r="AG144" s="108">
        <v>0.82563942670822144</v>
      </c>
      <c r="AH144" s="108">
        <v>0.71327072381973267</v>
      </c>
      <c r="AI144" s="108">
        <v>0.81042486429214478</v>
      </c>
      <c r="AJ144" s="108">
        <v>0.83877259492874146</v>
      </c>
      <c r="AK144" s="108">
        <v>0.75919342041015625</v>
      </c>
      <c r="AL144" s="108">
        <v>0.6845436692237854</v>
      </c>
      <c r="AM144" s="108">
        <v>0.81934553384780884</v>
      </c>
      <c r="AN144" s="108">
        <v>0.83288061618804932</v>
      </c>
      <c r="AO144" s="108">
        <v>0.67601299285888672</v>
      </c>
      <c r="AP144" s="108">
        <v>0.80810832977294922</v>
      </c>
      <c r="AQ144" s="108">
        <v>0.69599038362503052</v>
      </c>
      <c r="AR144" s="108">
        <v>0.6526648998260498</v>
      </c>
      <c r="AS144" s="108">
        <v>0.65537649393081665</v>
      </c>
      <c r="AT144" s="108">
        <v>0.53435295820236206</v>
      </c>
      <c r="AU144" s="108">
        <v>0.63065707683563232</v>
      </c>
      <c r="AV144" s="108">
        <v>0.76129907369613647</v>
      </c>
      <c r="AW144" s="108">
        <v>0.61358541250228882</v>
      </c>
      <c r="AX144" s="108">
        <v>0.67569833993911743</v>
      </c>
      <c r="AY144" s="108">
        <v>0.65153753757476807</v>
      </c>
      <c r="AZ144" s="108">
        <v>0.57244026660919189</v>
      </c>
      <c r="BA144" s="108">
        <v>0.60170316696166992</v>
      </c>
      <c r="BB144" s="108">
        <v>0.69749915599822998</v>
      </c>
      <c r="BC144" s="108">
        <v>0.68362021446228027</v>
      </c>
      <c r="BD144" s="108">
        <v>0.72569185495376587</v>
      </c>
      <c r="BE144" s="108">
        <v>0.796875</v>
      </c>
      <c r="BF144" s="108">
        <v>0.76386785507202148</v>
      </c>
      <c r="BG144" s="108">
        <v>0.74606949090957642</v>
      </c>
      <c r="BH144" s="108">
        <v>0.66184598207473755</v>
      </c>
      <c r="BI144" s="108">
        <v>0.71623754501342773</v>
      </c>
      <c r="BJ144" s="108">
        <v>0.77063882350921631</v>
      </c>
      <c r="BK144" s="108">
        <v>0.7966008186340332</v>
      </c>
      <c r="BL144" s="108">
        <v>0.70373576879501343</v>
      </c>
    </row>
    <row r="145" spans="1:64" x14ac:dyDescent="0.2">
      <c r="A145" t="s">
        <v>318</v>
      </c>
      <c r="B145" s="108">
        <v>0.58361738920211792</v>
      </c>
      <c r="C145" s="108">
        <v>0.63615638017654419</v>
      </c>
      <c r="D145" s="108">
        <v>0.5306972861289978</v>
      </c>
      <c r="E145" s="108">
        <v>0.79577761888504028</v>
      </c>
      <c r="F145" s="108">
        <v>0.7973477840423584</v>
      </c>
      <c r="G145" s="108">
        <v>0.55872118473052979</v>
      </c>
      <c r="H145" s="108">
        <v>0.74015766382217407</v>
      </c>
      <c r="I145" s="108">
        <v>0.64955407381057739</v>
      </c>
      <c r="J145" s="108">
        <v>0.61338382959365845</v>
      </c>
      <c r="K145" s="108">
        <v>0.6443292498588562</v>
      </c>
      <c r="L145" s="108">
        <v>0.82705378532409668</v>
      </c>
      <c r="M145" s="108">
        <v>0.73857742547988892</v>
      </c>
      <c r="N145" s="108">
        <v>0.67613738775253296</v>
      </c>
      <c r="O145" s="108">
        <v>0.86479771137237549</v>
      </c>
      <c r="P145" s="109">
        <v>0.80223774909973145</v>
      </c>
      <c r="Q145" s="108">
        <v>0.91923099756240845</v>
      </c>
      <c r="R145" s="108">
        <v>0.77207040786743164</v>
      </c>
      <c r="S145" s="109">
        <v>0.82576894760131836</v>
      </c>
      <c r="T145" s="108">
        <v>0.68459045886993408</v>
      </c>
      <c r="U145" s="108">
        <v>0.80862557888031006</v>
      </c>
      <c r="V145" s="108">
        <v>0.84426993131637573</v>
      </c>
      <c r="W145" s="108">
        <v>0.82779449224472046</v>
      </c>
      <c r="X145" s="108">
        <v>0.73034685850143433</v>
      </c>
      <c r="Y145" s="108">
        <v>0.88047152757644653</v>
      </c>
      <c r="Z145" s="108">
        <v>0.85599547624588013</v>
      </c>
      <c r="AA145" s="108">
        <v>0.80216270685195923</v>
      </c>
      <c r="AB145" s="108">
        <v>0.8426659107208252</v>
      </c>
      <c r="AC145" s="108">
        <v>0.72797596454620361</v>
      </c>
      <c r="AD145" s="108">
        <v>0.82092440128326416</v>
      </c>
      <c r="AE145" s="108">
        <v>0.74423933029174805</v>
      </c>
      <c r="AF145" s="108">
        <v>0.90945017337799072</v>
      </c>
      <c r="AG145" s="108">
        <v>0.85063880681991577</v>
      </c>
      <c r="AH145" s="108">
        <v>0.75733798742294312</v>
      </c>
      <c r="AI145" s="108">
        <v>0.75</v>
      </c>
      <c r="AJ145" s="108">
        <v>0.84297221899032593</v>
      </c>
      <c r="AK145" s="108">
        <v>0.67441439628601074</v>
      </c>
      <c r="AL145" s="108">
        <v>0.70036405324935913</v>
      </c>
      <c r="AM145" s="108">
        <v>0.83457809686660767</v>
      </c>
      <c r="AN145" s="108">
        <v>0.93628805875778198</v>
      </c>
      <c r="AO145" s="108">
        <v>0.62100780010223389</v>
      </c>
      <c r="AP145" s="108">
        <v>0.81812411546707153</v>
      </c>
      <c r="AQ145" s="108">
        <v>0.57846462726593018</v>
      </c>
      <c r="AR145" s="108">
        <v>0.54291075468063354</v>
      </c>
      <c r="AS145" s="108">
        <v>0.64898347854614258</v>
      </c>
      <c r="AT145" s="108">
        <v>0.56766891479492188</v>
      </c>
      <c r="AU145" s="108">
        <v>0.70336180925369263</v>
      </c>
      <c r="AV145" s="108">
        <v>0.82488971948623657</v>
      </c>
      <c r="AW145" s="108">
        <v>0.53012454509735107</v>
      </c>
      <c r="AX145" s="108">
        <v>0.64828068017959595</v>
      </c>
      <c r="AY145" s="108">
        <v>0.63647693395614624</v>
      </c>
      <c r="AZ145" s="108">
        <v>0.37156930565834045</v>
      </c>
      <c r="BA145" s="108">
        <v>0.55034089088439941</v>
      </c>
      <c r="BB145" s="108">
        <v>0.6647757887840271</v>
      </c>
      <c r="BC145" s="108">
        <v>0.68299645185470581</v>
      </c>
      <c r="BD145" s="108">
        <v>0.83619153499603271</v>
      </c>
      <c r="BE145" s="108">
        <v>0.79915463924407959</v>
      </c>
      <c r="BF145" s="108">
        <v>0.76533883810043335</v>
      </c>
      <c r="BG145" s="108">
        <v>0.78552055358886719</v>
      </c>
      <c r="BH145" s="108">
        <v>0.69762128591537476</v>
      </c>
      <c r="BI145" s="108">
        <v>0.79787170886993408</v>
      </c>
      <c r="BJ145" s="108">
        <v>0.68313688039779663</v>
      </c>
      <c r="BK145" s="108">
        <v>0.74914920330047607</v>
      </c>
      <c r="BL145" s="108">
        <v>0.63733392953872681</v>
      </c>
    </row>
    <row r="146" spans="1:64" x14ac:dyDescent="0.2">
      <c r="A146" t="s">
        <v>320</v>
      </c>
      <c r="B146" s="108">
        <v>2.5078055858612061</v>
      </c>
      <c r="C146" s="108">
        <v>5.3968706130981445</v>
      </c>
      <c r="D146" s="108">
        <v>3.7839865684509277</v>
      </c>
      <c r="E146" s="108">
        <v>6.7117481231689453</v>
      </c>
      <c r="F146" s="108">
        <v>5.4507861137390137</v>
      </c>
      <c r="G146" s="108">
        <v>4.9792513847351074</v>
      </c>
      <c r="H146" s="108">
        <v>4.6858077049255371</v>
      </c>
      <c r="I146" s="108">
        <v>4.7682757377624512</v>
      </c>
      <c r="J146" s="108">
        <v>4.9449877738952637</v>
      </c>
      <c r="K146" s="108">
        <v>6.0650291442871094</v>
      </c>
      <c r="L146" s="108">
        <v>5.9578409194946289</v>
      </c>
      <c r="M146" s="108">
        <v>3.4255855083465576</v>
      </c>
      <c r="N146" s="108">
        <v>4.9070000648498535</v>
      </c>
      <c r="O146" s="108">
        <v>4.9518918991088867</v>
      </c>
      <c r="P146" s="109">
        <v>6.0634164810180664</v>
      </c>
      <c r="Q146" s="108">
        <v>4.4682192802429199</v>
      </c>
      <c r="R146" s="108">
        <v>6.7114968299865723</v>
      </c>
      <c r="S146" s="109">
        <v>5.9089345932006836</v>
      </c>
      <c r="T146" s="108">
        <v>5.2159562110900879</v>
      </c>
      <c r="U146" s="108">
        <v>4.569800853729248</v>
      </c>
      <c r="V146" s="108">
        <v>4.5787286758422852</v>
      </c>
      <c r="W146" s="108">
        <v>5.8408188819885254</v>
      </c>
      <c r="X146" s="108">
        <v>4.4979205131530762</v>
      </c>
      <c r="Y146" s="108">
        <v>5.3156709671020508</v>
      </c>
      <c r="Z146" s="108">
        <v>3.8367271423339844</v>
      </c>
      <c r="AA146" s="108">
        <v>5.8005304336547852</v>
      </c>
      <c r="AB146" s="108">
        <v>3.6600069999694824</v>
      </c>
      <c r="AC146" s="108">
        <v>4.6864428520202637</v>
      </c>
      <c r="AD146" s="108">
        <v>5.3474321365356445</v>
      </c>
      <c r="AE146" s="108">
        <v>5.2175369262695313</v>
      </c>
      <c r="AF146" s="108">
        <v>5.4822134971618652</v>
      </c>
      <c r="AG146" s="108">
        <v>4.2843303680419922</v>
      </c>
      <c r="AH146" s="108">
        <v>4.9355649948120117</v>
      </c>
      <c r="AI146" s="108">
        <v>4.2267341613769531</v>
      </c>
      <c r="AJ146" s="108">
        <v>4.1038999557495117</v>
      </c>
      <c r="AK146" s="108">
        <v>5.6998906135559082</v>
      </c>
      <c r="AL146" s="108">
        <v>3.0077774524688721</v>
      </c>
      <c r="AM146" s="108">
        <v>3.644329309463501</v>
      </c>
      <c r="AN146" s="108">
        <v>4.5493102073669434</v>
      </c>
      <c r="AO146" s="108">
        <v>4.5222411155700684</v>
      </c>
      <c r="AP146" s="108">
        <v>3.5963194370269775</v>
      </c>
      <c r="AQ146" s="108">
        <v>5.3986067771911621</v>
      </c>
      <c r="AR146" s="108">
        <v>6.9030141830444336</v>
      </c>
      <c r="AS146" s="108">
        <v>5.8291525840759277</v>
      </c>
      <c r="AT146" s="108">
        <v>3.8390138149261475</v>
      </c>
      <c r="AU146" s="108">
        <v>3.9218084812164307</v>
      </c>
      <c r="AV146" s="108">
        <v>4.337165355682373</v>
      </c>
      <c r="AW146" s="108">
        <v>4.0700664520263672</v>
      </c>
      <c r="AX146" s="108">
        <v>3.3543524742126465</v>
      </c>
      <c r="AY146" s="108">
        <v>3.8671021461486816</v>
      </c>
      <c r="AZ146" s="108">
        <v>5.9342126846313477</v>
      </c>
      <c r="BA146" s="108">
        <v>5.544914722442627</v>
      </c>
      <c r="BB146" s="108">
        <v>5.0861763954162598</v>
      </c>
      <c r="BC146" s="108">
        <v>5.6670031547546387</v>
      </c>
      <c r="BD146" s="108">
        <v>5.4595680236816406</v>
      </c>
      <c r="BE146" s="108">
        <v>5.9312396049499512</v>
      </c>
      <c r="BF146" s="108">
        <v>4.710167407989502</v>
      </c>
      <c r="BG146" s="108">
        <v>3.9637956619262695</v>
      </c>
      <c r="BH146" s="108">
        <v>5.1279654502868652</v>
      </c>
      <c r="BI146" s="108">
        <v>6.352604866027832</v>
      </c>
      <c r="BJ146" s="108">
        <v>4.9561357498168945</v>
      </c>
      <c r="BK146" s="108">
        <v>4.6559309959411621</v>
      </c>
      <c r="BL146" s="108">
        <v>3.7898216247558594</v>
      </c>
    </row>
    <row r="147" spans="1:64" x14ac:dyDescent="0.2">
      <c r="A147" t="s">
        <v>329</v>
      </c>
      <c r="B147" s="108">
        <v>4.161837100982666</v>
      </c>
      <c r="C147" s="108">
        <v>4.1860241889953613</v>
      </c>
      <c r="D147" s="108">
        <v>4.0267515182495117</v>
      </c>
      <c r="E147" s="108">
        <v>4.0523271560668945</v>
      </c>
      <c r="F147" s="108">
        <v>4.1127943992614746</v>
      </c>
      <c r="G147" s="108">
        <v>3.8474993705749512</v>
      </c>
      <c r="H147" s="108">
        <v>3.7741634845733643</v>
      </c>
      <c r="I147" s="108">
        <v>4.0257658958435059</v>
      </c>
      <c r="J147" s="108">
        <v>4.0454154014587402</v>
      </c>
      <c r="K147" s="108">
        <v>4.1382293701171875</v>
      </c>
      <c r="L147" s="108">
        <v>4.0256233215332031</v>
      </c>
      <c r="M147" s="108">
        <v>4.1809468269348145</v>
      </c>
      <c r="N147" s="108">
        <v>4.1033353805541992</v>
      </c>
      <c r="O147" s="108">
        <v>4.3135371208190918</v>
      </c>
      <c r="P147" s="109">
        <v>4.4572033882141113</v>
      </c>
      <c r="Q147" s="108">
        <v>4.3227696418762207</v>
      </c>
      <c r="R147" s="108">
        <v>4.3361673355102539</v>
      </c>
      <c r="S147" s="109">
        <v>4.3928556442260742</v>
      </c>
      <c r="T147" s="108">
        <v>4.1083989143371582</v>
      </c>
      <c r="U147" s="108">
        <v>4.0959358215332031</v>
      </c>
      <c r="V147" s="108">
        <v>4.1494102478027344</v>
      </c>
      <c r="W147" s="108">
        <v>4.0975813865661621</v>
      </c>
      <c r="X147" s="108">
        <v>4.1037869453430176</v>
      </c>
      <c r="Y147" s="108">
        <v>4.4366359710693359</v>
      </c>
      <c r="Z147" s="108">
        <v>4.2595815658569336</v>
      </c>
      <c r="AA147" s="108">
        <v>4.2989516258239746</v>
      </c>
      <c r="AB147" s="108">
        <v>4.1552248001098633</v>
      </c>
      <c r="AC147" s="108">
        <v>4.0440702438354492</v>
      </c>
      <c r="AD147" s="108">
        <v>4.2457036972045898</v>
      </c>
      <c r="AE147" s="108">
        <v>4.0335869789123535</v>
      </c>
      <c r="AF147" s="108">
        <v>4.2438087463378906</v>
      </c>
      <c r="AG147" s="108">
        <v>4.076934814453125</v>
      </c>
      <c r="AH147" s="108">
        <v>4.187678337097168</v>
      </c>
      <c r="AI147" s="108">
        <v>4.128288745880127</v>
      </c>
      <c r="AJ147" s="108">
        <v>3.969264030456543</v>
      </c>
      <c r="AK147" s="108">
        <v>4.2752575874328613</v>
      </c>
      <c r="AL147" s="108">
        <v>4.214667797088623</v>
      </c>
      <c r="AM147" s="108">
        <v>4.4727573394775391</v>
      </c>
      <c r="AN147" s="108">
        <v>4.3662419319152832</v>
      </c>
      <c r="AO147" s="108">
        <v>4.0903124809265137</v>
      </c>
      <c r="AP147" s="108">
        <v>3.8833024501800537</v>
      </c>
      <c r="AQ147" s="108">
        <v>4.3294425010681152</v>
      </c>
      <c r="AR147" s="108">
        <v>3.8959910869598389</v>
      </c>
      <c r="AS147" s="108">
        <v>4.1548213958740234</v>
      </c>
      <c r="AT147" s="108">
        <v>4.3059229850769043</v>
      </c>
      <c r="AU147" s="108">
        <v>4.110140323638916</v>
      </c>
      <c r="AV147" s="108">
        <v>4.4124069213867188</v>
      </c>
      <c r="AW147" s="108">
        <v>4.1999626159667969</v>
      </c>
      <c r="AX147" s="108">
        <v>4.0343513488769531</v>
      </c>
      <c r="AY147" s="108">
        <v>4.253511905670166</v>
      </c>
      <c r="AZ147" s="108">
        <v>3.9906325340270996</v>
      </c>
      <c r="BA147" s="108">
        <v>4.298497200012207</v>
      </c>
      <c r="BB147" s="108">
        <v>4.304389476776123</v>
      </c>
      <c r="BC147" s="108">
        <v>4.2485141754150391</v>
      </c>
      <c r="BD147" s="108">
        <v>4.4396061897277832</v>
      </c>
      <c r="BE147" s="108">
        <v>4.23406982421875</v>
      </c>
      <c r="BF147" s="108">
        <v>4.2549419403076172</v>
      </c>
      <c r="BG147" s="108">
        <v>4.3184337615966797</v>
      </c>
      <c r="BH147" s="108">
        <v>4.2458128929138184</v>
      </c>
      <c r="BI147" s="108">
        <v>4.3365707397460938</v>
      </c>
      <c r="BJ147" s="108">
        <v>4.2685399055480957</v>
      </c>
      <c r="BK147" s="108">
        <v>4.4835224151611328</v>
      </c>
      <c r="BL147" s="108">
        <v>4.2803335189819336</v>
      </c>
    </row>
    <row r="148" spans="1:64" x14ac:dyDescent="0.2">
      <c r="A148" t="s">
        <v>331</v>
      </c>
      <c r="B148" s="108">
        <v>4.861872673034668</v>
      </c>
      <c r="C148" s="108">
        <v>4.741325855255127</v>
      </c>
      <c r="D148" s="108">
        <v>4.5324029922485352</v>
      </c>
      <c r="E148" s="108">
        <v>4.9248933792114258</v>
      </c>
      <c r="F148" s="108">
        <v>5.7216372489929199</v>
      </c>
      <c r="G148" s="108">
        <v>4.9536194801330566</v>
      </c>
      <c r="H148" s="108">
        <v>4.413853645324707</v>
      </c>
      <c r="I148" s="108">
        <v>4.7405014038085938</v>
      </c>
      <c r="J148" s="108">
        <v>5.2994146347045898</v>
      </c>
      <c r="K148" s="108">
        <v>4.9622282981872559</v>
      </c>
      <c r="L148" s="108">
        <v>4.2186107635498047</v>
      </c>
      <c r="M148" s="108">
        <v>5.8005080223083496</v>
      </c>
      <c r="N148" s="108">
        <v>4.9715409278869629</v>
      </c>
      <c r="O148" s="108">
        <v>5.4294610023498535</v>
      </c>
      <c r="P148" s="109">
        <v>6.2817091941833496</v>
      </c>
      <c r="Q148" s="108">
        <v>5.719573974609375</v>
      </c>
      <c r="R148" s="108">
        <v>5.5285968780517578</v>
      </c>
      <c r="S148" s="109">
        <v>4.8550853729248047</v>
      </c>
      <c r="T148" s="108">
        <v>5.8312249183654785</v>
      </c>
      <c r="U148" s="108">
        <v>5.3215427398681641</v>
      </c>
      <c r="V148" s="108">
        <v>5.4479422569274902</v>
      </c>
      <c r="W148" s="108">
        <v>5.4464311599731445</v>
      </c>
      <c r="X148" s="108">
        <v>5.1419062614440918</v>
      </c>
      <c r="Y148" s="108">
        <v>4.7509617805480957</v>
      </c>
      <c r="Z148" s="108">
        <v>4.3298673629760742</v>
      </c>
      <c r="AA148" s="108">
        <v>5.0030879974365234</v>
      </c>
      <c r="AB148" s="108">
        <v>4.9574823379516602</v>
      </c>
      <c r="AC148" s="108">
        <v>4.6433601379394531</v>
      </c>
      <c r="AD148" s="108">
        <v>5.4521722793579102</v>
      </c>
      <c r="AE148" s="108">
        <v>5.1087594032287598</v>
      </c>
      <c r="AF148" s="108">
        <v>4.8142294883728027</v>
      </c>
      <c r="AG148" s="108">
        <v>4.6175732612609863</v>
      </c>
      <c r="AH148" s="108">
        <v>4.936741828918457</v>
      </c>
      <c r="AI148" s="108">
        <v>4.2382221221923828</v>
      </c>
      <c r="AJ148" s="108">
        <v>5.3583335876464844</v>
      </c>
      <c r="AK148" s="108">
        <v>5.0406465530395508</v>
      </c>
      <c r="AL148" s="108">
        <v>4.9741511344909668</v>
      </c>
      <c r="AM148" s="108">
        <v>4.7784743309020996</v>
      </c>
      <c r="AN148" s="108">
        <v>3.6000063419342041</v>
      </c>
      <c r="AO148" s="108">
        <v>4.9012084007263184</v>
      </c>
      <c r="AP148" s="108">
        <v>4.7978014945983887</v>
      </c>
      <c r="AQ148" s="108">
        <v>4.5342612266540527</v>
      </c>
      <c r="AR148" s="108">
        <v>4.350832462310791</v>
      </c>
      <c r="AS148" s="108">
        <v>4.8655967712402344</v>
      </c>
      <c r="AT148" s="108">
        <v>3.2147259712219238</v>
      </c>
      <c r="AU148" s="108">
        <v>4.3869051933288574</v>
      </c>
      <c r="AV148" s="108">
        <v>4.9820766448974609</v>
      </c>
      <c r="AW148" s="108">
        <v>4.4142870903015137</v>
      </c>
      <c r="AX148" s="108">
        <v>3.8757693767547607</v>
      </c>
      <c r="AY148" s="108">
        <v>4.8394303321838379</v>
      </c>
      <c r="AZ148" s="108">
        <v>3.8792333602905273</v>
      </c>
      <c r="BA148" s="108">
        <v>4.5351510047912598</v>
      </c>
      <c r="BB148" s="108">
        <v>4.194490909576416</v>
      </c>
      <c r="BC148" s="108">
        <v>5.5852847099304199</v>
      </c>
      <c r="BD148" s="108">
        <v>4.2772941589355469</v>
      </c>
      <c r="BE148" s="108">
        <v>3.423109769821167</v>
      </c>
      <c r="BF148" s="108">
        <v>4.7433538436889648</v>
      </c>
      <c r="BG148" s="108">
        <v>4.1685986518859863</v>
      </c>
      <c r="BH148" s="108">
        <v>4.750004768371582</v>
      </c>
      <c r="BI148" s="108">
        <v>4.3524394035339355</v>
      </c>
      <c r="BJ148" s="108">
        <v>4.0718479156494141</v>
      </c>
      <c r="BK148" s="108">
        <v>5.0689711570739746</v>
      </c>
      <c r="BL148" s="108">
        <v>5.2152957916259766</v>
      </c>
    </row>
    <row r="149" spans="1:64" x14ac:dyDescent="0.2">
      <c r="A149" t="s">
        <v>336</v>
      </c>
      <c r="B149" s="108">
        <v>0.99636709690093994</v>
      </c>
      <c r="C149" s="108">
        <v>0.98490786552429199</v>
      </c>
      <c r="D149" s="108">
        <v>0.86007577180862427</v>
      </c>
      <c r="E149" s="108">
        <v>0.99281728267669678</v>
      </c>
      <c r="F149" s="108">
        <v>1</v>
      </c>
      <c r="G149" s="108">
        <v>0.97953331470489502</v>
      </c>
      <c r="H149" s="108">
        <v>0.86659872531890869</v>
      </c>
      <c r="I149" s="108">
        <v>0.99453985691070557</v>
      </c>
      <c r="J149" s="108">
        <v>0.99253404140472412</v>
      </c>
      <c r="K149" s="108">
        <v>0.99275046586990356</v>
      </c>
      <c r="L149" s="108">
        <v>0.99283915758132935</v>
      </c>
      <c r="M149" s="108">
        <v>0.99549680948257446</v>
      </c>
      <c r="N149" s="108">
        <v>1</v>
      </c>
      <c r="O149" s="108">
        <v>1</v>
      </c>
      <c r="P149" s="109">
        <v>0.99841433763504028</v>
      </c>
      <c r="Q149" s="108">
        <v>1</v>
      </c>
      <c r="R149" s="108">
        <v>0.999184250831604</v>
      </c>
      <c r="S149" s="109">
        <v>1</v>
      </c>
      <c r="T149" s="108">
        <v>0.99298262596130371</v>
      </c>
      <c r="U149" s="108">
        <v>1</v>
      </c>
      <c r="V149" s="108">
        <v>1</v>
      </c>
      <c r="W149" s="108">
        <v>0.99909734725952148</v>
      </c>
      <c r="X149" s="108">
        <v>1</v>
      </c>
      <c r="Y149" s="108">
        <v>1</v>
      </c>
      <c r="Z149" s="108">
        <v>1</v>
      </c>
      <c r="AA149" s="108">
        <v>1</v>
      </c>
      <c r="AB149" s="108">
        <v>1</v>
      </c>
      <c r="AC149" s="108">
        <v>0.97754824161529541</v>
      </c>
      <c r="AD149" s="108">
        <v>0.96839755773544312</v>
      </c>
      <c r="AE149" s="108">
        <v>0.94133543968200684</v>
      </c>
      <c r="AF149" s="108">
        <v>0.97805899381637573</v>
      </c>
      <c r="AG149" s="108">
        <v>0.99883264303207397</v>
      </c>
      <c r="AH149" s="108">
        <v>1</v>
      </c>
      <c r="AI149" s="108">
        <v>0.99823653697967529</v>
      </c>
      <c r="AJ149" s="108">
        <v>0.98630374670028687</v>
      </c>
      <c r="AK149" s="108">
        <v>0.95772171020507813</v>
      </c>
      <c r="AL149" s="108">
        <v>0.99676257371902466</v>
      </c>
      <c r="AM149" s="108">
        <v>1</v>
      </c>
      <c r="AN149" s="108">
        <v>0.99298012256622314</v>
      </c>
      <c r="AO149" s="108">
        <v>1</v>
      </c>
      <c r="AP149" s="108">
        <v>0.98581081628799438</v>
      </c>
      <c r="AQ149" s="108">
        <v>1</v>
      </c>
      <c r="AR149" s="108">
        <v>0.9669032096862793</v>
      </c>
      <c r="AS149" s="108">
        <v>1</v>
      </c>
      <c r="AT149" s="108">
        <v>1</v>
      </c>
      <c r="AU149" s="108">
        <v>0.97088795900344849</v>
      </c>
      <c r="AV149" s="108">
        <v>1</v>
      </c>
      <c r="AW149" s="108">
        <v>0.98102319240570068</v>
      </c>
      <c r="AX149" s="108">
        <v>0.99227440357208252</v>
      </c>
      <c r="AY149" s="108">
        <v>0.99561518430709839</v>
      </c>
      <c r="AZ149" s="108">
        <v>0.98555880784988403</v>
      </c>
      <c r="BA149" s="108">
        <v>0.98566347360610962</v>
      </c>
      <c r="BB149" s="108">
        <v>0.97780513763427734</v>
      </c>
      <c r="BC149" s="108">
        <v>1</v>
      </c>
      <c r="BD149" s="108">
        <v>0.98624849319458008</v>
      </c>
      <c r="BE149" s="108">
        <v>0.96875</v>
      </c>
      <c r="BF149" s="108">
        <v>0.99702960252761841</v>
      </c>
      <c r="BG149" s="108">
        <v>0.9721713662147522</v>
      </c>
      <c r="BH149" s="108">
        <v>0.99533522129058838</v>
      </c>
      <c r="BI149" s="108">
        <v>0.9855307936668396</v>
      </c>
      <c r="BJ149" s="108">
        <v>1</v>
      </c>
      <c r="BK149" s="108">
        <v>0.98610389232635498</v>
      </c>
      <c r="BL149" s="108">
        <v>0.98610776662826538</v>
      </c>
    </row>
    <row r="150" spans="1:64" x14ac:dyDescent="0.2">
      <c r="A150" t="s">
        <v>338</v>
      </c>
      <c r="B150" s="108">
        <v>0.64797627925872803</v>
      </c>
      <c r="C150" s="108">
        <v>0.54993700981140137</v>
      </c>
      <c r="D150" s="108">
        <v>0.44392400979995728</v>
      </c>
      <c r="E150" s="108">
        <v>0.47781422734260559</v>
      </c>
      <c r="F150" s="108">
        <v>0.38448873162269592</v>
      </c>
      <c r="G150" s="108">
        <v>0.49452489614486694</v>
      </c>
      <c r="H150" s="108">
        <v>0.37901318073272705</v>
      </c>
      <c r="I150" s="108">
        <v>0.5469214916229248</v>
      </c>
      <c r="J150" s="108">
        <v>0.4383513331413269</v>
      </c>
      <c r="K150" s="108">
        <v>0.55858296155929565</v>
      </c>
      <c r="L150" s="108">
        <v>0.47203415632247925</v>
      </c>
      <c r="M150" s="108">
        <v>0.20663069188594818</v>
      </c>
      <c r="N150" s="108">
        <v>0.35307013988494873</v>
      </c>
      <c r="O150" s="108">
        <v>0.53333312273025513</v>
      </c>
      <c r="P150" s="109">
        <v>0.32280683517456055</v>
      </c>
      <c r="Q150" s="108">
        <v>0.2214529812335968</v>
      </c>
      <c r="R150" s="108">
        <v>0.42348676919937134</v>
      </c>
      <c r="S150" s="109">
        <v>0.48457711935043335</v>
      </c>
      <c r="T150" s="108">
        <v>0.31541410088539124</v>
      </c>
      <c r="U150" s="108">
        <v>0.43721213936805725</v>
      </c>
      <c r="V150" s="108">
        <v>0.30905067920684814</v>
      </c>
      <c r="W150" s="108">
        <v>0.2853236198425293</v>
      </c>
      <c r="X150" s="108">
        <v>0.30499926209449768</v>
      </c>
      <c r="Y150" s="108">
        <v>0.35715386271476746</v>
      </c>
      <c r="Z150" s="108">
        <v>0.48804020881652832</v>
      </c>
      <c r="AA150" s="108">
        <v>0.45700868964195251</v>
      </c>
      <c r="AB150" s="108">
        <v>0.19617454707622528</v>
      </c>
      <c r="AC150" s="108">
        <v>0.36528930068016052</v>
      </c>
      <c r="AD150" s="108">
        <v>0.6842271089553833</v>
      </c>
      <c r="AE150" s="108">
        <v>0.39602220058441162</v>
      </c>
      <c r="AF150" s="108">
        <v>0.54299187660217285</v>
      </c>
      <c r="AG150" s="108">
        <v>0.2738611102104187</v>
      </c>
      <c r="AH150" s="108">
        <v>7.276858389377594E-2</v>
      </c>
      <c r="AI150" s="108">
        <v>0.38444060087203979</v>
      </c>
      <c r="AJ150" s="108">
        <v>0.37330964207649231</v>
      </c>
      <c r="AK150" s="108">
        <v>0.65410298109054565</v>
      </c>
      <c r="AL150" s="108">
        <v>0.41540011763572693</v>
      </c>
      <c r="AM150" s="108">
        <v>0.37370645999908447</v>
      </c>
      <c r="AN150" s="108">
        <v>0.23980969190597534</v>
      </c>
      <c r="AO150" s="108">
        <v>0.40618628263473511</v>
      </c>
      <c r="AP150" s="108">
        <v>0.34822601079940796</v>
      </c>
      <c r="AQ150" s="108">
        <v>0.4084799587726593</v>
      </c>
      <c r="AR150" s="108">
        <v>0.5344855785369873</v>
      </c>
      <c r="AS150" s="108">
        <v>0.29252412915229797</v>
      </c>
      <c r="AT150" s="108">
        <v>0.4995364248752594</v>
      </c>
      <c r="AU150" s="108">
        <v>0.24631080031394958</v>
      </c>
      <c r="AV150" s="108">
        <v>0.17616462707519531</v>
      </c>
      <c r="AW150" s="108">
        <v>0.25231227278709412</v>
      </c>
      <c r="AX150" s="108">
        <v>0.1595367044210434</v>
      </c>
      <c r="AY150" s="108">
        <v>0.52908039093017578</v>
      </c>
      <c r="AZ150" s="108">
        <v>0.20524291694164276</v>
      </c>
      <c r="BA150" s="108">
        <v>0.1110004261136055</v>
      </c>
      <c r="BB150" s="108">
        <v>0.12786857783794403</v>
      </c>
      <c r="BC150" s="108">
        <v>0.12584242224693298</v>
      </c>
      <c r="BD150" s="108">
        <v>0.17134639620780945</v>
      </c>
      <c r="BE150" s="108">
        <v>0.26078346371650696</v>
      </c>
      <c r="BF150" s="108">
        <v>9.6041858196258545E-2</v>
      </c>
      <c r="BG150" s="108">
        <v>7.8039154410362244E-2</v>
      </c>
      <c r="BH150" s="108">
        <v>0.22638872265815735</v>
      </c>
      <c r="BI150" s="108">
        <v>0.15916365385055542</v>
      </c>
      <c r="BJ150" s="108">
        <v>0.197628453373909</v>
      </c>
      <c r="BK150" s="108">
        <v>0.12939734756946564</v>
      </c>
      <c r="BL150" s="108">
        <v>0.13577763736248016</v>
      </c>
    </row>
    <row r="151" spans="1:64" x14ac:dyDescent="0.2">
      <c r="A151" t="s">
        <v>340</v>
      </c>
      <c r="B151" s="108">
        <v>3.3949837684631348</v>
      </c>
      <c r="C151" s="108">
        <v>3.1154122352600098</v>
      </c>
      <c r="D151" s="108">
        <v>2.3625321388244629</v>
      </c>
      <c r="E151" s="108">
        <v>3.3221282958984375</v>
      </c>
      <c r="F151" s="108">
        <v>3.3756880760192871</v>
      </c>
      <c r="G151" s="108">
        <v>3.1120798587799072</v>
      </c>
      <c r="H151" s="108">
        <v>2.7187514305114746</v>
      </c>
      <c r="I151" s="108">
        <v>3.1033415794372559</v>
      </c>
      <c r="J151" s="108">
        <v>3.013862133026123</v>
      </c>
      <c r="K151" s="108">
        <v>3.1131629943847656</v>
      </c>
      <c r="L151" s="108">
        <v>3.1136445999145508</v>
      </c>
      <c r="M151" s="108">
        <v>3.3445866107940674</v>
      </c>
      <c r="N151" s="108">
        <v>3.0560448169708252</v>
      </c>
      <c r="O151" s="108">
        <v>3.2561402320861816</v>
      </c>
      <c r="P151" s="109">
        <v>3.2327404022216797</v>
      </c>
      <c r="Q151" s="108">
        <v>3.2703447341918945</v>
      </c>
      <c r="R151" s="108">
        <v>3.5204005241394043</v>
      </c>
      <c r="S151" s="109">
        <v>3.481034517288208</v>
      </c>
      <c r="T151" s="108">
        <v>3.3857524394989014</v>
      </c>
      <c r="U151" s="108">
        <v>3.5242164134979248</v>
      </c>
      <c r="V151" s="108">
        <v>3.3762943744659424</v>
      </c>
      <c r="W151" s="108">
        <v>3.4691762924194336</v>
      </c>
      <c r="X151" s="108">
        <v>3.3379385471343994</v>
      </c>
      <c r="Y151" s="108">
        <v>3.4066245555877686</v>
      </c>
      <c r="Z151" s="108">
        <v>3.4375643730163574</v>
      </c>
      <c r="AA151" s="108">
        <v>3.3370959758758545</v>
      </c>
      <c r="AB151" s="108">
        <v>3.2423207759857178</v>
      </c>
      <c r="AC151" s="108">
        <v>3.2961089611053467</v>
      </c>
      <c r="AD151" s="108">
        <v>3.2266044616699219</v>
      </c>
      <c r="AE151" s="108">
        <v>3.2115323543548584</v>
      </c>
      <c r="AF151" s="108">
        <v>3.5388596057891846</v>
      </c>
      <c r="AG151" s="108">
        <v>3.5028963088989258</v>
      </c>
      <c r="AH151" s="108">
        <v>3.3365976810455322</v>
      </c>
      <c r="AI151" s="108">
        <v>3.072777271270752</v>
      </c>
      <c r="AJ151" s="108">
        <v>3.353184700012207</v>
      </c>
      <c r="AK151" s="108">
        <v>3.2631752490997314</v>
      </c>
      <c r="AL151" s="108">
        <v>3.1666605472564697</v>
      </c>
      <c r="AM151" s="108">
        <v>2.7314872741699219</v>
      </c>
      <c r="AN151" s="108">
        <v>3.1718771457672119</v>
      </c>
      <c r="AO151" s="108">
        <v>3.2053325176239014</v>
      </c>
      <c r="AP151" s="108">
        <v>3.2929048538208008</v>
      </c>
      <c r="AQ151" s="108">
        <v>3.434795618057251</v>
      </c>
      <c r="AR151" s="108">
        <v>3.1309230327606201</v>
      </c>
      <c r="AS151" s="108">
        <v>3.4467310905456543</v>
      </c>
      <c r="AT151" s="108">
        <v>3.3865935802459717</v>
      </c>
      <c r="AU151" s="108">
        <v>3.4773259162902832</v>
      </c>
      <c r="AV151" s="108">
        <v>3.6176140308380127</v>
      </c>
      <c r="AW151" s="108">
        <v>3.4506087303161621</v>
      </c>
      <c r="AX151" s="108">
        <v>3.6442835330963135</v>
      </c>
      <c r="AY151" s="108">
        <v>3.6453421115875244</v>
      </c>
      <c r="AZ151" s="108">
        <v>3.1423332691192627</v>
      </c>
      <c r="BA151" s="108">
        <v>3.1798410415649414</v>
      </c>
      <c r="BB151" s="108">
        <v>3.2434494495391846</v>
      </c>
      <c r="BC151" s="108">
        <v>3.3996891975402832</v>
      </c>
      <c r="BD151" s="108">
        <v>3.5980935096740723</v>
      </c>
      <c r="BE151" s="108">
        <v>3.4690957069396973</v>
      </c>
      <c r="BF151" s="108">
        <v>3.5831711292266846</v>
      </c>
      <c r="BG151" s="108">
        <v>3.2087030410766602</v>
      </c>
      <c r="BH151" s="108">
        <v>3.2812197208404541</v>
      </c>
      <c r="BI151" s="108">
        <v>3.2644708156585693</v>
      </c>
      <c r="BJ151" s="108">
        <v>3.2900047302246094</v>
      </c>
      <c r="BK151" s="108">
        <v>3.3949737548828125</v>
      </c>
      <c r="BL151" s="108">
        <v>3.3521096706390381</v>
      </c>
    </row>
    <row r="152" spans="1:64" x14ac:dyDescent="0.2">
      <c r="A152" t="s">
        <v>343</v>
      </c>
      <c r="B152" s="108">
        <v>3.7792377471923828</v>
      </c>
      <c r="C152" s="108">
        <v>2.0652117729187012</v>
      </c>
      <c r="D152" s="108">
        <v>1.7508310079574585</v>
      </c>
      <c r="E152" s="108">
        <v>1.5686743259429932</v>
      </c>
      <c r="F152" s="108">
        <v>2.9722690582275391</v>
      </c>
      <c r="G152" s="108">
        <v>2.4697515964508057</v>
      </c>
      <c r="H152" s="108">
        <v>1.688773512840271</v>
      </c>
      <c r="I152" s="108">
        <v>2.22377610206604</v>
      </c>
      <c r="J152" s="108">
        <v>2.4281275272369385</v>
      </c>
      <c r="K152" s="108">
        <v>1.8041104078292847</v>
      </c>
      <c r="L152" s="108">
        <v>2.0976204872131348</v>
      </c>
      <c r="M152" s="108">
        <v>2.8152728080749512</v>
      </c>
      <c r="N152" s="108">
        <v>2.5043518543243408</v>
      </c>
      <c r="O152" s="108">
        <v>3.8511536121368408</v>
      </c>
      <c r="P152" s="109">
        <v>2.5893790721893311</v>
      </c>
      <c r="Q152" s="108">
        <v>2.7843751907348633</v>
      </c>
      <c r="R152" s="108">
        <v>3.5515167713165283</v>
      </c>
      <c r="S152" s="109">
        <v>3.7138116359710693</v>
      </c>
      <c r="T152" s="108">
        <v>2.7562150955200195</v>
      </c>
      <c r="U152" s="108">
        <v>3.6628689765930176</v>
      </c>
      <c r="V152" s="108">
        <v>3.0470123291015625</v>
      </c>
      <c r="W152" s="108">
        <v>3.4989962577819824</v>
      </c>
      <c r="X152" s="108">
        <v>2.622291088104248</v>
      </c>
      <c r="Y152" s="108">
        <v>2.7000365257263184</v>
      </c>
      <c r="Z152" s="108">
        <v>2.7147490978240967</v>
      </c>
      <c r="AA152" s="108">
        <v>2.7471015453338623</v>
      </c>
      <c r="AB152" s="108">
        <v>2.6203277111053467</v>
      </c>
      <c r="AC152" s="108">
        <v>2.5922181606292725</v>
      </c>
      <c r="AD152" s="108">
        <v>2.8838081359863281</v>
      </c>
      <c r="AE152" s="108">
        <v>2.5604641437530518</v>
      </c>
      <c r="AF152" s="108">
        <v>3.0709538459777832</v>
      </c>
      <c r="AG152" s="108">
        <v>3.754845142364502</v>
      </c>
      <c r="AH152" s="108">
        <v>2.8978948593139648</v>
      </c>
      <c r="AI152" s="108">
        <v>1.5134755373001099</v>
      </c>
      <c r="AJ152" s="108">
        <v>2.2174797058105469</v>
      </c>
      <c r="AK152" s="108">
        <v>2.2194840908050537</v>
      </c>
      <c r="AL152" s="108">
        <v>2.9064309597015381</v>
      </c>
      <c r="AM152" s="108">
        <v>2.4350810050964355</v>
      </c>
      <c r="AN152" s="108">
        <v>1.6468051671981812</v>
      </c>
      <c r="AO152" s="108">
        <v>2.1910538673400879</v>
      </c>
      <c r="AP152" s="108">
        <v>1.7722396850585938</v>
      </c>
      <c r="AQ152" s="108">
        <v>1.7476671934127808</v>
      </c>
      <c r="AR152" s="108">
        <v>1.5469152927398682</v>
      </c>
      <c r="AS152" s="108">
        <v>2.4111247062683105</v>
      </c>
      <c r="AT152" s="108">
        <v>2.5864157676696777</v>
      </c>
      <c r="AU152" s="108">
        <v>2.3681323528289795</v>
      </c>
      <c r="AV152" s="108">
        <v>3.1584784984588623</v>
      </c>
      <c r="AW152" s="108">
        <v>2.6544106006622314</v>
      </c>
      <c r="AX152" s="108">
        <v>3.0652859210968018</v>
      </c>
      <c r="AY152" s="108">
        <v>3.345379114151001</v>
      </c>
      <c r="AZ152" s="108">
        <v>2.4966874122619629</v>
      </c>
      <c r="BA152" s="108">
        <v>2.5012421607971191</v>
      </c>
      <c r="BB152" s="108">
        <v>1.960781455039978</v>
      </c>
      <c r="BC152" s="108">
        <v>2.802131175994873</v>
      </c>
      <c r="BD152" s="108">
        <v>3.3924939632415771</v>
      </c>
      <c r="BE152" s="108">
        <v>2.2566807270050049</v>
      </c>
      <c r="BF152" s="108">
        <v>3.5908105373382568</v>
      </c>
      <c r="BG152" s="108">
        <v>1.8028489351272583</v>
      </c>
      <c r="BH152" s="108">
        <v>1.6516518592834473</v>
      </c>
      <c r="BI152" s="108">
        <v>2.3432722091674805</v>
      </c>
      <c r="BJ152" s="108">
        <v>2.3542530536651611</v>
      </c>
      <c r="BK152" s="108">
        <v>1.7365003824234009</v>
      </c>
      <c r="BL152" s="108">
        <v>2.1412997245788574</v>
      </c>
    </row>
    <row r="153" spans="1:64" x14ac:dyDescent="0.2">
      <c r="A153" t="s">
        <v>345</v>
      </c>
      <c r="B153" s="108">
        <v>0.92983293533325195</v>
      </c>
      <c r="C153" s="108">
        <v>0.51043158769607544</v>
      </c>
      <c r="D153" s="108">
        <v>0.37402331829071045</v>
      </c>
      <c r="E153" s="108">
        <v>0.43107244372367859</v>
      </c>
      <c r="F153" s="108">
        <v>0.47194644808769226</v>
      </c>
      <c r="G153" s="108">
        <v>0.6185716986656189</v>
      </c>
      <c r="H153" s="108">
        <v>0.14030300080776215</v>
      </c>
      <c r="I153" s="108">
        <v>0.45966035127639771</v>
      </c>
      <c r="J153" s="108">
        <v>0.42773628234863281</v>
      </c>
      <c r="K153" s="108">
        <v>0.35932523012161255</v>
      </c>
      <c r="L153" s="108">
        <v>0.19082178175449371</v>
      </c>
      <c r="M153" s="108">
        <v>0.36102399230003357</v>
      </c>
      <c r="N153" s="108">
        <v>0.51595211029052734</v>
      </c>
      <c r="O153" s="108">
        <v>0.68328523635864258</v>
      </c>
      <c r="P153" s="109">
        <v>0.68852448463439941</v>
      </c>
      <c r="Q153" s="108">
        <v>0.61624681949615479</v>
      </c>
      <c r="R153" s="108">
        <v>0.8515932559967041</v>
      </c>
      <c r="S153" s="109">
        <v>0.79304826259613037</v>
      </c>
      <c r="T153" s="108">
        <v>0.76842683553695679</v>
      </c>
      <c r="U153" s="108">
        <v>0.89872163534164429</v>
      </c>
      <c r="V153" s="108">
        <v>0.77686190605163574</v>
      </c>
      <c r="W153" s="108">
        <v>0.94926446676254272</v>
      </c>
      <c r="X153" s="108">
        <v>0.5274808406829834</v>
      </c>
      <c r="Y153" s="108">
        <v>0.64439654350280762</v>
      </c>
      <c r="Z153" s="108">
        <v>0.70936232805252075</v>
      </c>
      <c r="AA153" s="108">
        <v>0.58473223447799683</v>
      </c>
      <c r="AB153" s="108">
        <v>0.42537334561347961</v>
      </c>
      <c r="AC153" s="108">
        <v>0.775482177734375</v>
      </c>
      <c r="AD153" s="108">
        <v>0.52524113655090332</v>
      </c>
      <c r="AE153" s="108">
        <v>0.48224666714668274</v>
      </c>
      <c r="AF153" s="108">
        <v>0.87229949235916138</v>
      </c>
      <c r="AG153" s="108">
        <v>0.97298151254653931</v>
      </c>
      <c r="AH153" s="108">
        <v>0.60553103685379028</v>
      </c>
      <c r="AI153" s="108">
        <v>0.25631570816040039</v>
      </c>
      <c r="AJ153" s="108">
        <v>0.29361245036125183</v>
      </c>
      <c r="AK153" s="108">
        <v>0.60570526123046875</v>
      </c>
      <c r="AL153" s="108">
        <v>0.77083027362823486</v>
      </c>
      <c r="AM153" s="108">
        <v>0.96900618076324463</v>
      </c>
      <c r="AN153" s="108">
        <v>0.70131272077560425</v>
      </c>
      <c r="AO153" s="108">
        <v>0.15034402906894684</v>
      </c>
      <c r="AP153" s="108">
        <v>0.14797258377075195</v>
      </c>
      <c r="AQ153" s="108">
        <v>0.14583146572113037</v>
      </c>
      <c r="AR153" s="108">
        <v>0.15896093845367432</v>
      </c>
      <c r="AS153" s="108">
        <v>0.20845142006874084</v>
      </c>
      <c r="AT153" s="108">
        <v>0.28104743361473083</v>
      </c>
      <c r="AU153" s="108">
        <v>0.20362913608551025</v>
      </c>
      <c r="AV153" s="108">
        <v>0.76975357532501221</v>
      </c>
      <c r="AW153" s="108">
        <v>0.63203895092010498</v>
      </c>
      <c r="AX153" s="108">
        <v>0.79744982719421387</v>
      </c>
      <c r="AY153" s="108">
        <v>0.92679733037948608</v>
      </c>
      <c r="AZ153" s="108">
        <v>0.29012662172317505</v>
      </c>
      <c r="BA153" s="108">
        <v>0.83910501003265381</v>
      </c>
      <c r="BB153" s="108">
        <v>0.57699120044708252</v>
      </c>
      <c r="BC153" s="108">
        <v>0.71693044900894165</v>
      </c>
      <c r="BD153" s="108">
        <v>0.90373939275741577</v>
      </c>
      <c r="BE153" s="108">
        <v>0.85623115301132202</v>
      </c>
      <c r="BF153" s="108">
        <v>0.88118398189544678</v>
      </c>
      <c r="BG153" s="108">
        <v>0.51254671812057495</v>
      </c>
      <c r="BH153" s="108">
        <v>0.81403261423110962</v>
      </c>
      <c r="BI153" s="108">
        <v>0.62942224740982056</v>
      </c>
      <c r="BJ153" s="108">
        <v>0.62156820297241211</v>
      </c>
      <c r="BK153" s="108">
        <v>0.78117746114730835</v>
      </c>
      <c r="BL153" s="108">
        <v>0.57673555612564087</v>
      </c>
    </row>
    <row r="154" spans="1:64" x14ac:dyDescent="0.2">
      <c r="A154" t="s">
        <v>347</v>
      </c>
      <c r="B154" s="108">
        <v>7.2657926939427853E-3</v>
      </c>
      <c r="C154" s="108">
        <v>9.0552955865859985E-2</v>
      </c>
      <c r="D154" s="108">
        <v>7.3644313961267471E-3</v>
      </c>
      <c r="E154" s="108">
        <v>0</v>
      </c>
      <c r="F154" s="108">
        <v>0</v>
      </c>
      <c r="G154" s="108">
        <v>6.8222279660403728E-3</v>
      </c>
      <c r="H154" s="108">
        <v>0</v>
      </c>
      <c r="I154" s="108">
        <v>5.4601444862782955E-3</v>
      </c>
      <c r="J154" s="108">
        <v>2.3784052580595016E-2</v>
      </c>
      <c r="K154" s="108">
        <v>0</v>
      </c>
      <c r="L154" s="108">
        <v>5.0126083195209503E-2</v>
      </c>
      <c r="M154" s="108">
        <v>4.5032077468931675E-3</v>
      </c>
      <c r="N154" s="108">
        <v>3.125E-2</v>
      </c>
      <c r="O154" s="108">
        <v>4.5244969427585602E-2</v>
      </c>
      <c r="P154" s="109">
        <v>7.4160834774374962E-3</v>
      </c>
      <c r="Q154" s="108">
        <v>2.1581828594207764E-2</v>
      </c>
      <c r="R154" s="108">
        <v>1.413397304713726E-2</v>
      </c>
      <c r="S154" s="109">
        <v>3.3284932374954224E-2</v>
      </c>
      <c r="T154" s="108">
        <v>5.6138947606086731E-2</v>
      </c>
      <c r="U154" s="108">
        <v>5.0639186054468155E-2</v>
      </c>
      <c r="V154" s="108">
        <v>9.6793919801712036E-2</v>
      </c>
      <c r="W154" s="108">
        <v>2.8991717845201492E-2</v>
      </c>
      <c r="X154" s="108">
        <v>0.37456703186035156</v>
      </c>
      <c r="Y154" s="108">
        <v>0.35560342669487</v>
      </c>
      <c r="Z154" s="108">
        <v>0.1307869553565979</v>
      </c>
      <c r="AA154" s="108">
        <v>2.9661981388926506E-2</v>
      </c>
      <c r="AB154" s="108">
        <v>0.18353621661663055</v>
      </c>
      <c r="AC154" s="108">
        <v>8.232320100069046E-2</v>
      </c>
      <c r="AD154" s="108">
        <v>6.9817476905882359E-3</v>
      </c>
      <c r="AE154" s="108">
        <v>6.455935537815094E-2</v>
      </c>
      <c r="AF154" s="108">
        <v>0</v>
      </c>
      <c r="AG154" s="108">
        <v>0</v>
      </c>
      <c r="AH154" s="108">
        <v>0</v>
      </c>
      <c r="AI154" s="108">
        <v>0</v>
      </c>
      <c r="AJ154" s="108">
        <v>0</v>
      </c>
      <c r="AK154" s="108">
        <v>0</v>
      </c>
      <c r="AL154" s="108">
        <v>0</v>
      </c>
      <c r="AM154" s="108">
        <v>0</v>
      </c>
      <c r="AN154" s="108">
        <v>2.1059688180685043E-2</v>
      </c>
      <c r="AO154" s="108">
        <v>0</v>
      </c>
      <c r="AP154" s="108">
        <v>7.0946067571640015E-3</v>
      </c>
      <c r="AQ154" s="108">
        <v>3.2658778131008148E-2</v>
      </c>
      <c r="AR154" s="108">
        <v>5.8500855229794979E-3</v>
      </c>
      <c r="AS154" s="108">
        <v>0</v>
      </c>
      <c r="AT154" s="108">
        <v>7.2545991279184818E-3</v>
      </c>
      <c r="AU154" s="108">
        <v>0</v>
      </c>
      <c r="AV154" s="108">
        <v>0</v>
      </c>
      <c r="AW154" s="108">
        <v>4.3138903565704823E-3</v>
      </c>
      <c r="AX154" s="108">
        <v>0</v>
      </c>
      <c r="AY154" s="108">
        <v>0</v>
      </c>
      <c r="AZ154" s="108">
        <v>1.8737904727458954E-2</v>
      </c>
      <c r="BA154" s="108">
        <v>4.3009497225284576E-2</v>
      </c>
      <c r="BB154" s="108">
        <v>0.27373665571212769</v>
      </c>
      <c r="BC154" s="108">
        <v>1.5726085752248764E-2</v>
      </c>
      <c r="BD154" s="108">
        <v>2.0627269521355629E-2</v>
      </c>
      <c r="BE154" s="108">
        <v>8.4884639363735914E-4</v>
      </c>
      <c r="BF154" s="108">
        <v>8.9112007990479469E-3</v>
      </c>
      <c r="BG154" s="108">
        <v>0.20871485769748688</v>
      </c>
      <c r="BH154" s="108">
        <v>8.396591991186142E-2</v>
      </c>
      <c r="BI154" s="108">
        <v>6.350553035736084E-2</v>
      </c>
      <c r="BJ154" s="108">
        <v>7.6060250401496887E-2</v>
      </c>
      <c r="BK154" s="108">
        <v>5.9916682541370392E-2</v>
      </c>
      <c r="BL154" s="108">
        <v>7.1085475385189056E-2</v>
      </c>
    </row>
    <row r="155" spans="1:64" x14ac:dyDescent="0.2">
      <c r="A155" s="104" t="s">
        <v>361</v>
      </c>
      <c r="B155" s="110">
        <v>2.9338438510894775</v>
      </c>
      <c r="C155" s="110">
        <v>3.4070343971252441</v>
      </c>
      <c r="D155" s="110">
        <v>3.3074367046356201</v>
      </c>
      <c r="E155" s="110">
        <v>3.3577826023101807</v>
      </c>
      <c r="F155" s="110">
        <v>3.5237131118774414</v>
      </c>
      <c r="G155" s="110">
        <v>3.097465991973877</v>
      </c>
      <c r="H155" s="110">
        <v>3.8075313568115234</v>
      </c>
      <c r="I155" s="110">
        <v>3.7025070190429688</v>
      </c>
      <c r="J155" s="110">
        <v>3.4020705223083496</v>
      </c>
      <c r="K155" s="110">
        <v>3.4248044490814209</v>
      </c>
      <c r="L155" s="110">
        <v>3.425501823425293</v>
      </c>
      <c r="M155" s="110">
        <v>3.0424830913543701</v>
      </c>
      <c r="N155" s="110">
        <v>3.4365346431732178</v>
      </c>
      <c r="O155" s="110">
        <v>4.121368408203125</v>
      </c>
      <c r="P155" s="109">
        <v>4.2021245956420898</v>
      </c>
      <c r="Q155" s="110">
        <v>3.390373706817627</v>
      </c>
      <c r="R155" s="110">
        <v>3.0371861457824707</v>
      </c>
      <c r="S155" s="109">
        <v>3.7651064395904541</v>
      </c>
      <c r="T155" s="110">
        <v>2.8194525241851807</v>
      </c>
      <c r="U155" s="110">
        <v>3.3740978240966797</v>
      </c>
      <c r="V155" s="110">
        <v>3.3398995399475098</v>
      </c>
      <c r="W155" s="110">
        <v>3.0780808925628662</v>
      </c>
      <c r="X155" s="110">
        <v>3.3729515075683594</v>
      </c>
      <c r="Y155" s="110">
        <v>3.3993537425994873</v>
      </c>
      <c r="Z155" s="110">
        <v>3.4722006320953369</v>
      </c>
      <c r="AA155" s="110">
        <v>3.653627872467041</v>
      </c>
      <c r="AB155" s="110">
        <v>3.5745954513549805</v>
      </c>
      <c r="AC155" s="110">
        <v>3.4548671245574951</v>
      </c>
      <c r="AD155" s="110">
        <v>3.5246858596801758</v>
      </c>
      <c r="AE155" s="110">
        <v>3.4237380027770996</v>
      </c>
      <c r="AF155" s="110">
        <v>4.0340089797973633</v>
      </c>
      <c r="AG155" s="110">
        <v>3.1666641235351563</v>
      </c>
      <c r="AH155" s="110">
        <v>3.2182512283325195</v>
      </c>
      <c r="AI155" s="110">
        <v>3.4405572414398193</v>
      </c>
      <c r="AJ155" s="110">
        <v>3.3643603324890137</v>
      </c>
      <c r="AK155" s="110">
        <v>3.5093333721160889</v>
      </c>
      <c r="AL155" s="110">
        <v>3.4284279346466064</v>
      </c>
      <c r="AM155" s="110">
        <v>3.7320575714111328</v>
      </c>
      <c r="AN155" s="110">
        <v>3.3535516262054443</v>
      </c>
      <c r="AO155" s="110">
        <v>3.2518341541290283</v>
      </c>
      <c r="AP155" s="110">
        <v>3.0916309356689453</v>
      </c>
      <c r="AQ155" s="110">
        <v>2.983391284942627</v>
      </c>
      <c r="AR155" s="110">
        <v>3.4648630619049072</v>
      </c>
      <c r="AS155" s="110">
        <v>3.0538578033447266</v>
      </c>
      <c r="AT155" s="110">
        <v>2.9016163349151611</v>
      </c>
      <c r="AU155" s="110">
        <v>2.9814994335174561</v>
      </c>
      <c r="AV155" s="110">
        <v>3.4685208797454834</v>
      </c>
      <c r="AW155" s="110">
        <v>2.8300046920776367</v>
      </c>
      <c r="AX155" s="110">
        <v>3.1973371505737305</v>
      </c>
      <c r="AY155" s="110">
        <v>2.9737110137939453</v>
      </c>
      <c r="AZ155" s="110">
        <v>3.1518628597259521</v>
      </c>
      <c r="BA155" s="110">
        <v>4.1798210144042969</v>
      </c>
      <c r="BB155" s="110">
        <v>3.2557671070098877</v>
      </c>
      <c r="BC155" s="110">
        <v>3.1573424339294434</v>
      </c>
      <c r="BD155" s="110">
        <v>3.6535098552703857</v>
      </c>
      <c r="BE155" s="110">
        <v>4.6263718605041504</v>
      </c>
      <c r="BF155" s="110">
        <v>4.1011533737182617</v>
      </c>
      <c r="BG155" s="110">
        <v>3.8778781890869141</v>
      </c>
      <c r="BH155" s="110">
        <v>4.0716800689697266</v>
      </c>
      <c r="BI155" s="110">
        <v>4.3719363212585449</v>
      </c>
      <c r="BJ155" s="110">
        <v>3.8119652271270752</v>
      </c>
      <c r="BK155" s="110">
        <v>3.6757824420928955</v>
      </c>
      <c r="BL155" s="110">
        <v>3.4748649597167969</v>
      </c>
    </row>
    <row r="156" spans="1:64" x14ac:dyDescent="0.2">
      <c r="A156" t="s">
        <v>542</v>
      </c>
      <c r="B156" s="108">
        <v>2.90965735912323E-2</v>
      </c>
      <c r="C156" s="108">
        <v>2.155303955078125E-2</v>
      </c>
      <c r="D156" s="108">
        <v>7.912847213447094E-3</v>
      </c>
      <c r="E156" s="108">
        <v>2.6753067504614592E-3</v>
      </c>
      <c r="F156" s="108">
        <v>3.1813306268304586E-3</v>
      </c>
      <c r="G156" s="108">
        <v>1.1937272734940052E-2</v>
      </c>
      <c r="H156" s="108">
        <v>5.3511757403612137E-2</v>
      </c>
      <c r="I156" s="108">
        <v>6.7092836834490299E-3</v>
      </c>
      <c r="J156" s="108">
        <v>4.6836314722895622E-3</v>
      </c>
      <c r="K156" s="108">
        <v>2.9145751614123583E-3</v>
      </c>
      <c r="L156" s="108">
        <v>5.3443592041730881E-2</v>
      </c>
      <c r="M156" s="108">
        <v>1.3156987261027098E-3</v>
      </c>
      <c r="N156" s="108">
        <v>1.6840338706970215E-2</v>
      </c>
      <c r="O156" s="108">
        <v>2.226558979600668E-3</v>
      </c>
      <c r="P156" s="109">
        <v>1.705552265048027E-2</v>
      </c>
      <c r="Q156" s="108">
        <v>2.8845951892435551E-3</v>
      </c>
      <c r="R156" s="108">
        <v>4.2622555047273636E-2</v>
      </c>
      <c r="S156" s="109">
        <v>3.3049043267965317E-3</v>
      </c>
      <c r="T156" s="108">
        <v>4.1456885635852814E-2</v>
      </c>
      <c r="U156" s="108">
        <v>3.489150432869792E-3</v>
      </c>
      <c r="V156" s="108">
        <v>3.7340879440307617E-2</v>
      </c>
      <c r="W156" s="108">
        <v>3.2900408841669559E-3</v>
      </c>
      <c r="X156" s="108">
        <v>2.6256667450070381E-2</v>
      </c>
      <c r="Y156" s="108">
        <v>5.9329913929104805E-3</v>
      </c>
      <c r="Z156" s="108">
        <v>1.8274618312716484E-2</v>
      </c>
      <c r="AA156" s="108">
        <v>5.3137275390326977E-3</v>
      </c>
      <c r="AB156" s="108">
        <v>4.1652917861938477E-3</v>
      </c>
      <c r="AC156" s="108">
        <v>1.0615024948492646E-3</v>
      </c>
      <c r="AD156" s="108">
        <v>4.7330912202596664E-3</v>
      </c>
      <c r="AE156" s="108">
        <v>3.3421214669942856E-2</v>
      </c>
      <c r="AF156" s="108">
        <v>3.4040205180644989E-2</v>
      </c>
      <c r="AG156" s="108">
        <v>2.6117011904716492E-2</v>
      </c>
      <c r="AH156" s="108">
        <v>2.9603760689496994E-2</v>
      </c>
      <c r="AI156" s="108">
        <v>2.3588217794895172E-2</v>
      </c>
      <c r="AJ156" s="108">
        <v>2.9840853065252304E-2</v>
      </c>
      <c r="AK156" s="108">
        <v>2.798083983361721E-2</v>
      </c>
      <c r="AL156" s="108">
        <v>2.5915404781699181E-2</v>
      </c>
      <c r="AM156" s="108">
        <v>0.13585036993026733</v>
      </c>
      <c r="AN156" s="108">
        <v>5.3848527371883392E-2</v>
      </c>
      <c r="AO156" s="108">
        <v>4.1735144332051277E-3</v>
      </c>
      <c r="AP156" s="108">
        <v>1.6822425648570061E-2</v>
      </c>
      <c r="AQ156" s="108">
        <v>2.764054574072361E-2</v>
      </c>
      <c r="AR156" s="108">
        <v>4.4334162026643753E-2</v>
      </c>
      <c r="AS156" s="108">
        <v>3.8824532181024551E-2</v>
      </c>
      <c r="AT156" s="108">
        <v>2.7806127443909645E-2</v>
      </c>
      <c r="AU156" s="108">
        <v>2.3193510249257088E-2</v>
      </c>
      <c r="AV156" s="108">
        <v>1.3095841743052006E-2</v>
      </c>
      <c r="AW156" s="108">
        <v>3.9438069798052311E-3</v>
      </c>
      <c r="AX156" s="108">
        <v>9.0009808540344238E-2</v>
      </c>
      <c r="AY156" s="108">
        <v>2.3256612475961447E-3</v>
      </c>
      <c r="AZ156" s="108">
        <v>1.2733669718727469E-3</v>
      </c>
      <c r="BA156" s="108">
        <v>7.7773653902113438E-3</v>
      </c>
      <c r="BB156" s="108">
        <v>1.3644090853631496E-2</v>
      </c>
      <c r="BC156" s="108">
        <v>3.3722829539328814E-3</v>
      </c>
      <c r="BD156" s="108">
        <v>2.185232937335968E-2</v>
      </c>
      <c r="BE156" s="108">
        <v>2.4987796321511269E-2</v>
      </c>
      <c r="BF156" s="108">
        <v>2.5141358375549316E-2</v>
      </c>
      <c r="BG156" s="108">
        <v>7.0311808958649635E-3</v>
      </c>
      <c r="BH156" s="108">
        <v>2.7586384676396847E-3</v>
      </c>
      <c r="BI156" s="108">
        <v>5.1180329173803329E-2</v>
      </c>
      <c r="BJ156" s="108"/>
      <c r="BK156" s="108"/>
      <c r="BL156" s="108"/>
    </row>
    <row r="157" spans="1:64" x14ac:dyDescent="0.2">
      <c r="A157" t="s">
        <v>543</v>
      </c>
      <c r="B157" s="108">
        <v>1102</v>
      </c>
      <c r="C157" s="108">
        <v>193</v>
      </c>
      <c r="D157" s="108">
        <v>192</v>
      </c>
      <c r="E157" s="108">
        <v>195</v>
      </c>
      <c r="F157" s="108">
        <v>194</v>
      </c>
      <c r="G157" s="108">
        <v>197</v>
      </c>
      <c r="H157" s="108">
        <v>192</v>
      </c>
      <c r="I157" s="108">
        <v>294</v>
      </c>
      <c r="J157" s="108">
        <v>192</v>
      </c>
      <c r="K157" s="108">
        <v>193</v>
      </c>
      <c r="L157" s="108">
        <v>195</v>
      </c>
      <c r="M157" s="108">
        <v>300</v>
      </c>
      <c r="N157" s="108">
        <v>192</v>
      </c>
      <c r="O157" s="108">
        <v>203</v>
      </c>
      <c r="P157" s="109">
        <v>192</v>
      </c>
      <c r="Q157" s="108">
        <v>192</v>
      </c>
      <c r="R157" s="108">
        <v>199</v>
      </c>
      <c r="S157" s="109">
        <v>314</v>
      </c>
      <c r="T157" s="108">
        <v>198</v>
      </c>
      <c r="U157" s="108">
        <v>200</v>
      </c>
      <c r="V157" s="108">
        <v>192</v>
      </c>
      <c r="W157" s="108">
        <v>194</v>
      </c>
      <c r="X157" s="108">
        <v>197</v>
      </c>
      <c r="Y157" s="108">
        <v>192</v>
      </c>
      <c r="Z157" s="108">
        <v>192</v>
      </c>
      <c r="AA157" s="108">
        <v>395</v>
      </c>
      <c r="AB157" s="108">
        <v>391</v>
      </c>
      <c r="AC157" s="108">
        <v>192</v>
      </c>
      <c r="AD157" s="108">
        <v>196</v>
      </c>
      <c r="AE157" s="108">
        <v>192</v>
      </c>
      <c r="AF157" s="108">
        <v>197</v>
      </c>
      <c r="AG157" s="108">
        <v>300</v>
      </c>
      <c r="AH157" s="108">
        <v>206</v>
      </c>
      <c r="AI157" s="108">
        <v>201</v>
      </c>
      <c r="AJ157" s="108">
        <v>193</v>
      </c>
      <c r="AK157" s="108">
        <v>192</v>
      </c>
      <c r="AL157" s="108">
        <v>192</v>
      </c>
      <c r="AM157" s="108">
        <v>200</v>
      </c>
      <c r="AN157" s="108">
        <v>192</v>
      </c>
      <c r="AO157" s="108">
        <v>200</v>
      </c>
      <c r="AP157" s="108">
        <v>192</v>
      </c>
      <c r="AQ157" s="108">
        <v>204</v>
      </c>
      <c r="AR157" s="108">
        <v>295</v>
      </c>
      <c r="AS157" s="108">
        <v>197</v>
      </c>
      <c r="AT157" s="108">
        <v>194</v>
      </c>
      <c r="AU157" s="108">
        <v>194</v>
      </c>
      <c r="AV157" s="108">
        <v>319</v>
      </c>
      <c r="AW157" s="108">
        <v>593</v>
      </c>
      <c r="AX157" s="108">
        <v>428</v>
      </c>
      <c r="AY157" s="108">
        <v>1024</v>
      </c>
      <c r="AZ157" s="108">
        <v>289</v>
      </c>
      <c r="BA157" s="108">
        <v>194</v>
      </c>
      <c r="BB157" s="108">
        <v>195</v>
      </c>
      <c r="BC157" s="108">
        <v>192</v>
      </c>
      <c r="BD157" s="108">
        <v>202</v>
      </c>
      <c r="BE157" s="108">
        <v>192</v>
      </c>
      <c r="BF157" s="108">
        <v>390</v>
      </c>
      <c r="BG157" s="108">
        <v>198</v>
      </c>
      <c r="BH157" s="108">
        <v>313</v>
      </c>
      <c r="BI157" s="108">
        <v>196</v>
      </c>
      <c r="BJ157" s="108">
        <v>194</v>
      </c>
      <c r="BK157" s="108">
        <v>197</v>
      </c>
      <c r="BL157" s="108">
        <v>193</v>
      </c>
    </row>
    <row r="158" spans="1:64" x14ac:dyDescent="0.2">
      <c r="A158" t="s">
        <v>363</v>
      </c>
      <c r="B158" s="108">
        <v>0.89827799797058105</v>
      </c>
      <c r="C158" s="108">
        <v>0.88144361972808838</v>
      </c>
      <c r="D158" s="108">
        <v>0.77283000946044922</v>
      </c>
      <c r="E158" s="108">
        <v>0.79655879735946655</v>
      </c>
      <c r="F158" s="108">
        <v>0.98520916700363159</v>
      </c>
      <c r="G158" s="108">
        <v>0.72581744194030762</v>
      </c>
      <c r="H158" s="108">
        <v>0.75208532810211182</v>
      </c>
      <c r="I158" s="108">
        <v>0.8317338228225708</v>
      </c>
      <c r="J158" s="108">
        <v>0.879494309425354</v>
      </c>
      <c r="K158" s="108">
        <v>0.9636802077293396</v>
      </c>
      <c r="L158" s="108">
        <v>0.91230839490890503</v>
      </c>
      <c r="M158" s="108">
        <v>0.91094589233398438</v>
      </c>
      <c r="N158" s="108">
        <v>0.96289467811584473</v>
      </c>
      <c r="O158" s="108">
        <v>1.2234944105148315</v>
      </c>
      <c r="P158" s="109">
        <v>1.3215136528015137</v>
      </c>
      <c r="Q158" s="108">
        <v>0.96550470590591431</v>
      </c>
      <c r="R158" s="108">
        <v>0.93316489458084106</v>
      </c>
      <c r="S158" s="109">
        <v>1.1697560548782349</v>
      </c>
      <c r="T158" s="108">
        <v>0.83979123830795288</v>
      </c>
      <c r="U158" s="108">
        <v>1.0749346017837524</v>
      </c>
      <c r="V158" s="108">
        <v>0.90989094972610474</v>
      </c>
      <c r="W158" s="108">
        <v>0.84798800945281982</v>
      </c>
      <c r="X158" s="108">
        <v>0.95835524797439575</v>
      </c>
      <c r="Y158" s="108">
        <v>0.8738289475440979</v>
      </c>
      <c r="Z158" s="108">
        <v>0.97014307975769043</v>
      </c>
      <c r="AA158" s="108">
        <v>1.0357593297958374</v>
      </c>
      <c r="AB158" s="108">
        <v>1.053169846534729</v>
      </c>
      <c r="AC158" s="108">
        <v>0.93671113252639771</v>
      </c>
      <c r="AD158" s="108">
        <v>1.0759298801422119</v>
      </c>
      <c r="AE158" s="108">
        <v>0.95068055391311646</v>
      </c>
      <c r="AF158" s="108">
        <v>1.0827826261520386</v>
      </c>
      <c r="AG158" s="108">
        <v>0.94415497779846191</v>
      </c>
      <c r="AH158" s="108">
        <v>0.96729648113250732</v>
      </c>
      <c r="AI158" s="108">
        <v>1.0392613410949707</v>
      </c>
      <c r="AJ158" s="108">
        <v>1.065814733505249</v>
      </c>
      <c r="AK158" s="108">
        <v>0.92478311061859131</v>
      </c>
      <c r="AL158" s="108">
        <v>0.99374222755432129</v>
      </c>
      <c r="AM158" s="108">
        <v>1.0626693964004517</v>
      </c>
      <c r="AN158" s="108">
        <v>1.010027289390564</v>
      </c>
      <c r="AO158" s="108">
        <v>0.79076123237609863</v>
      </c>
      <c r="AP158" s="108">
        <v>0.77006572484970093</v>
      </c>
      <c r="AQ158" s="108">
        <v>0.90984922647476196</v>
      </c>
      <c r="AR158" s="108">
        <v>0.87775969505310059</v>
      </c>
      <c r="AS158" s="108">
        <v>0.89204740524291992</v>
      </c>
      <c r="AT158" s="108">
        <v>0.96798580884933472</v>
      </c>
      <c r="AU158" s="108">
        <v>0.82879513502120972</v>
      </c>
      <c r="AV158" s="108">
        <v>1.212091326713562</v>
      </c>
      <c r="AW158" s="108">
        <v>0.85271435976028442</v>
      </c>
      <c r="AX158" s="108">
        <v>1.0330663919448853</v>
      </c>
      <c r="AY158" s="108">
        <v>0.90048432350158691</v>
      </c>
      <c r="AZ158" s="108">
        <v>0.86823534965515137</v>
      </c>
      <c r="BA158" s="108">
        <v>1.2097439765930176</v>
      </c>
      <c r="BB158" s="108">
        <v>1.007599949836731</v>
      </c>
      <c r="BC158" s="108">
        <v>0.94669842720031738</v>
      </c>
      <c r="BD158" s="108">
        <v>0.98031651973724365</v>
      </c>
      <c r="BE158" s="108">
        <v>0.98746556043624878</v>
      </c>
      <c r="BF158" s="108">
        <v>0.97854816913604736</v>
      </c>
      <c r="BG158" s="108">
        <v>1.0127719640731812</v>
      </c>
      <c r="BH158" s="108">
        <v>1.0167237520217896</v>
      </c>
      <c r="BI158" s="108">
        <v>1.1482001543045044</v>
      </c>
      <c r="BJ158" s="108">
        <v>1.2286390066146851</v>
      </c>
      <c r="BK158" s="108">
        <v>1.1242616176605225</v>
      </c>
      <c r="BL158" s="108">
        <v>1.0395975112915039</v>
      </c>
    </row>
    <row r="159" spans="1:64" x14ac:dyDescent="0.2">
      <c r="A159" t="s">
        <v>373</v>
      </c>
      <c r="B159" s="108">
        <v>1.6826380491256714</v>
      </c>
      <c r="C159" s="108">
        <v>1.9994082450866699</v>
      </c>
      <c r="D159" s="108">
        <v>1.8497158288955688</v>
      </c>
      <c r="E159" s="108">
        <v>1.8375442028045654</v>
      </c>
      <c r="F159" s="108">
        <v>1.9636963605880737</v>
      </c>
      <c r="G159" s="108">
        <v>1.8921533823013306</v>
      </c>
      <c r="H159" s="108">
        <v>2.1129779815673828</v>
      </c>
      <c r="I159" s="108">
        <v>2.0696806907653809</v>
      </c>
      <c r="J159" s="108">
        <v>1.8511958122253418</v>
      </c>
      <c r="K159" s="108">
        <v>1.9312019348144531</v>
      </c>
      <c r="L159" s="108">
        <v>1.9166508913040161</v>
      </c>
      <c r="M159" s="108">
        <v>1.7385933399200439</v>
      </c>
      <c r="N159" s="108">
        <v>1.9024653434753418</v>
      </c>
      <c r="O159" s="108">
        <v>2.474050760269165</v>
      </c>
      <c r="P159" s="109">
        <v>2.27689528465271</v>
      </c>
      <c r="Q159" s="108">
        <v>1.9206689596176147</v>
      </c>
      <c r="R159" s="108">
        <v>1.7318150997161865</v>
      </c>
      <c r="S159" s="109">
        <v>2.0850005149841309</v>
      </c>
      <c r="T159" s="108">
        <v>1.5699982643127441</v>
      </c>
      <c r="U159" s="108">
        <v>1.844326376914978</v>
      </c>
      <c r="V159" s="108">
        <v>1.9606162309646606</v>
      </c>
      <c r="W159" s="108">
        <v>1.8433159589767456</v>
      </c>
      <c r="X159" s="108">
        <v>1.778484582901001</v>
      </c>
      <c r="Y159" s="108">
        <v>2.0615615844726563</v>
      </c>
      <c r="Z159" s="108">
        <v>1.9587191343307495</v>
      </c>
      <c r="AA159" s="108">
        <v>2.089202880859375</v>
      </c>
      <c r="AB159" s="108">
        <v>1.9808739423751831</v>
      </c>
      <c r="AC159" s="108">
        <v>2.1174671649932861</v>
      </c>
      <c r="AD159" s="108">
        <v>1.88710618019104</v>
      </c>
      <c r="AE159" s="108">
        <v>1.7185611724853516</v>
      </c>
      <c r="AF159" s="108">
        <v>2.0033040046691895</v>
      </c>
      <c r="AG159" s="108">
        <v>1.8365292549133301</v>
      </c>
      <c r="AH159" s="108">
        <v>1.8676143884658813</v>
      </c>
      <c r="AI159" s="108">
        <v>1.8388779163360596</v>
      </c>
      <c r="AJ159" s="108">
        <v>1.8660192489624023</v>
      </c>
      <c r="AK159" s="108">
        <v>1.9788576364517212</v>
      </c>
      <c r="AL159" s="108">
        <v>1.9801521301269531</v>
      </c>
      <c r="AM159" s="108">
        <v>2.0658960342407227</v>
      </c>
      <c r="AN159" s="108">
        <v>1.9476909637451172</v>
      </c>
      <c r="AO159" s="108">
        <v>1.8782491683959961</v>
      </c>
      <c r="AP159" s="108">
        <v>1.8902587890625</v>
      </c>
      <c r="AQ159" s="108">
        <v>1.7059074640274048</v>
      </c>
      <c r="AR159" s="108">
        <v>2.066706657409668</v>
      </c>
      <c r="AS159" s="108">
        <v>1.74659264087677</v>
      </c>
      <c r="AT159" s="108">
        <v>1.5268620252609253</v>
      </c>
      <c r="AU159" s="108">
        <v>1.7529282569885254</v>
      </c>
      <c r="AV159" s="108">
        <v>1.9030214548110962</v>
      </c>
      <c r="AW159" s="108">
        <v>1.6156975030899048</v>
      </c>
      <c r="AX159" s="108">
        <v>1.7255966663360596</v>
      </c>
      <c r="AY159" s="108">
        <v>1.7309117317199707</v>
      </c>
      <c r="AZ159" s="108">
        <v>1.8446975946426392</v>
      </c>
      <c r="BA159" s="108">
        <v>1.9576057195663452</v>
      </c>
      <c r="BB159" s="108">
        <v>1.6849719285964966</v>
      </c>
      <c r="BC159" s="108">
        <v>1.7737312316894531</v>
      </c>
      <c r="BD159" s="108">
        <v>1.8710626363754272</v>
      </c>
      <c r="BE159" s="108">
        <v>1.8892940282821655</v>
      </c>
      <c r="BF159" s="108">
        <v>1.9392721652984619</v>
      </c>
      <c r="BG159" s="108">
        <v>1.8404450416564941</v>
      </c>
      <c r="BH159" s="108">
        <v>1.9332188367843628</v>
      </c>
      <c r="BI159" s="108">
        <v>1.7947491407394409</v>
      </c>
      <c r="BJ159" s="108">
        <v>1.9742370843887329</v>
      </c>
      <c r="BK159" s="108">
        <v>1.9399925470352173</v>
      </c>
      <c r="BL159" s="108">
        <v>1.7652716636657715</v>
      </c>
    </row>
    <row r="160" spans="1:64" x14ac:dyDescent="0.2">
      <c r="A160" t="s">
        <v>381</v>
      </c>
      <c r="B160" s="108">
        <v>0.35292771458625793</v>
      </c>
      <c r="C160" s="108">
        <v>0.52618247270584106</v>
      </c>
      <c r="D160" s="108">
        <v>0.68489068746566772</v>
      </c>
      <c r="E160" s="108">
        <v>0.72367960214614868</v>
      </c>
      <c r="F160" s="108">
        <v>0.57480758428573608</v>
      </c>
      <c r="G160" s="108">
        <v>0.47949525713920593</v>
      </c>
      <c r="H160" s="108">
        <v>0.94246798753738403</v>
      </c>
      <c r="I160" s="108">
        <v>0.80109238624572754</v>
      </c>
      <c r="J160" s="108">
        <v>0.67138028144836426</v>
      </c>
      <c r="K160" s="108">
        <v>0.52992242574691772</v>
      </c>
      <c r="L160" s="108">
        <v>0.59654247760772705</v>
      </c>
      <c r="M160" s="108">
        <v>0.39294373989105225</v>
      </c>
      <c r="N160" s="108">
        <v>0.57117468118667603</v>
      </c>
      <c r="O160" s="108">
        <v>0.42382329702377319</v>
      </c>
      <c r="P160" s="109">
        <v>0.60371536016464233</v>
      </c>
      <c r="Q160" s="108">
        <v>0.50419998168945313</v>
      </c>
      <c r="R160" s="108">
        <v>0.37220606207847595</v>
      </c>
      <c r="S160" s="109">
        <v>0.5103498101234436</v>
      </c>
      <c r="T160" s="108">
        <v>0.40966302156448364</v>
      </c>
      <c r="U160" s="108">
        <v>0.45483687520027161</v>
      </c>
      <c r="V160" s="108">
        <v>0.46939244866371155</v>
      </c>
      <c r="W160" s="108">
        <v>0.38677677512168884</v>
      </c>
      <c r="X160" s="108">
        <v>0.63611149787902832</v>
      </c>
      <c r="Y160" s="108">
        <v>0.46396318078041077</v>
      </c>
      <c r="Z160" s="108">
        <v>0.54333841800689697</v>
      </c>
      <c r="AA160" s="108">
        <v>0.52866566181182861</v>
      </c>
      <c r="AB160" s="108">
        <v>0.54055166244506836</v>
      </c>
      <c r="AC160" s="108">
        <v>0.40068867802619934</v>
      </c>
      <c r="AD160" s="108">
        <v>0.5616498589515686</v>
      </c>
      <c r="AE160" s="108">
        <v>0.75449645519256592</v>
      </c>
      <c r="AF160" s="108">
        <v>0.9479222297668457</v>
      </c>
      <c r="AG160" s="108">
        <v>0.38597977161407471</v>
      </c>
      <c r="AH160" s="108">
        <v>0.3833402693271637</v>
      </c>
      <c r="AI160" s="108">
        <v>0.56241792440414429</v>
      </c>
      <c r="AJ160" s="108">
        <v>0.43252632021903992</v>
      </c>
      <c r="AK160" s="108">
        <v>0.60569256544113159</v>
      </c>
      <c r="AL160" s="108">
        <v>0.45453366637229919</v>
      </c>
      <c r="AM160" s="108">
        <v>0.60349208116531372</v>
      </c>
      <c r="AN160" s="108">
        <v>0.3958333432674408</v>
      </c>
      <c r="AO160" s="108">
        <v>0.58282363414764404</v>
      </c>
      <c r="AP160" s="108">
        <v>0.43130636215209961</v>
      </c>
      <c r="AQ160" s="108">
        <v>0.36763450503349304</v>
      </c>
      <c r="AR160" s="108">
        <v>0.52039682865142822</v>
      </c>
      <c r="AS160" s="108">
        <v>0.41521766781806946</v>
      </c>
      <c r="AT160" s="108">
        <v>0.40676844120025635</v>
      </c>
      <c r="AU160" s="108">
        <v>0.39977595210075378</v>
      </c>
      <c r="AV160" s="108">
        <v>0.35340812802314758</v>
      </c>
      <c r="AW160" s="108">
        <v>0.36159273982048035</v>
      </c>
      <c r="AX160" s="108">
        <v>0.4386742115020752</v>
      </c>
      <c r="AY160" s="108">
        <v>0.34231498837471008</v>
      </c>
      <c r="AZ160" s="108">
        <v>0.43892979621887207</v>
      </c>
      <c r="BA160" s="108">
        <v>1.0124711990356445</v>
      </c>
      <c r="BB160" s="108">
        <v>0.56319528818130493</v>
      </c>
      <c r="BC160" s="108">
        <v>0.43691271543502808</v>
      </c>
      <c r="BD160" s="108">
        <v>0.80213057994842529</v>
      </c>
      <c r="BE160" s="108">
        <v>1.7496120929718018</v>
      </c>
      <c r="BF160" s="108">
        <v>1.1833330392837524</v>
      </c>
      <c r="BG160" s="108">
        <v>1.0246611833572388</v>
      </c>
      <c r="BH160" s="108">
        <v>1.1217374801635742</v>
      </c>
      <c r="BI160" s="108">
        <v>1.4289870262145996</v>
      </c>
      <c r="BJ160" s="108">
        <v>0.60908913612365723</v>
      </c>
      <c r="BK160" s="108">
        <v>0.61152821779251099</v>
      </c>
      <c r="BL160" s="108">
        <v>0.66999584436416626</v>
      </c>
    </row>
    <row r="161" spans="1:64" x14ac:dyDescent="0.2">
      <c r="A161" t="s">
        <v>365</v>
      </c>
      <c r="B161" s="108">
        <v>0.48078575730323792</v>
      </c>
      <c r="C161" s="108">
        <v>0.47709944844245911</v>
      </c>
      <c r="D161" s="108">
        <v>0.39050120115280151</v>
      </c>
      <c r="E161" s="108">
        <v>0.41801801323890686</v>
      </c>
      <c r="F161" s="108">
        <v>0.55170482397079468</v>
      </c>
      <c r="G161" s="108">
        <v>0.39280790090560913</v>
      </c>
      <c r="H161" s="108">
        <v>0.38241118192672729</v>
      </c>
      <c r="I161" s="108">
        <v>0.43368971347808838</v>
      </c>
      <c r="J161" s="108">
        <v>0.515625</v>
      </c>
      <c r="K161" s="108">
        <v>0.53902053833007813</v>
      </c>
      <c r="L161" s="108">
        <v>0.52158033847808838</v>
      </c>
      <c r="M161" s="108">
        <v>0.47392547130584717</v>
      </c>
      <c r="N161" s="108">
        <v>0.54134833812713623</v>
      </c>
      <c r="O161" s="108">
        <v>0.70009249448776245</v>
      </c>
      <c r="P161" s="109">
        <v>0.77145540714263916</v>
      </c>
      <c r="Q161" s="108">
        <v>0.515625</v>
      </c>
      <c r="R161" s="108">
        <v>0.50122362375259399</v>
      </c>
      <c r="S161" s="109">
        <v>0.66560566425323486</v>
      </c>
      <c r="T161" s="108">
        <v>0.48091757297515869</v>
      </c>
      <c r="U161" s="108">
        <v>0.60471552610397339</v>
      </c>
      <c r="V161" s="108">
        <v>0.46857219934463501</v>
      </c>
      <c r="W161" s="108">
        <v>0.47647771239280701</v>
      </c>
      <c r="X161" s="108">
        <v>0.53572505712509155</v>
      </c>
      <c r="Y161" s="108">
        <v>0.46319714188575745</v>
      </c>
      <c r="Z161" s="108">
        <v>0.51234567165374756</v>
      </c>
      <c r="AA161" s="108">
        <v>0.55091357231140137</v>
      </c>
      <c r="AB161" s="108">
        <v>0.59324824810028076</v>
      </c>
      <c r="AC161" s="108">
        <v>0.52796429395675659</v>
      </c>
      <c r="AD161" s="108">
        <v>0.62689661979675293</v>
      </c>
      <c r="AE161" s="108">
        <v>0.58018434047698975</v>
      </c>
      <c r="AF161" s="108">
        <v>0.60539865493774414</v>
      </c>
      <c r="AG161" s="108">
        <v>0.53473615646362305</v>
      </c>
      <c r="AH161" s="108">
        <v>0.53103888034820557</v>
      </c>
      <c r="AI161" s="108">
        <v>0.57401573657989502</v>
      </c>
      <c r="AJ161" s="108">
        <v>0.6250307559967041</v>
      </c>
      <c r="AK161" s="108">
        <v>0.48774212598800659</v>
      </c>
      <c r="AL161" s="108">
        <v>0.53955674171447754</v>
      </c>
      <c r="AM161" s="108">
        <v>0.57670336961746216</v>
      </c>
      <c r="AN161" s="108">
        <v>0.57359647750854492</v>
      </c>
      <c r="AO161" s="108">
        <v>0.42474517226219177</v>
      </c>
      <c r="AP161" s="108">
        <v>0.40219563245773315</v>
      </c>
      <c r="AQ161" s="108">
        <v>0.50970333814620972</v>
      </c>
      <c r="AR161" s="108">
        <v>0.46994704008102417</v>
      </c>
      <c r="AS161" s="108">
        <v>0.46127310395240784</v>
      </c>
      <c r="AT161" s="108">
        <v>0.51554012298583984</v>
      </c>
      <c r="AU161" s="108">
        <v>0.46514412760734558</v>
      </c>
      <c r="AV161" s="108">
        <v>0.69682526588439941</v>
      </c>
      <c r="AW161" s="108">
        <v>0.47789916396141052</v>
      </c>
      <c r="AX161" s="108">
        <v>0.60785353183746338</v>
      </c>
      <c r="AY161" s="108">
        <v>0.48738959431648254</v>
      </c>
      <c r="AZ161" s="108">
        <v>0.50074887275695801</v>
      </c>
      <c r="BA161" s="108">
        <v>0.74293917417526245</v>
      </c>
      <c r="BB161" s="108">
        <v>0.58177685737609863</v>
      </c>
      <c r="BC161" s="108">
        <v>0.52732211351394653</v>
      </c>
      <c r="BD161" s="108">
        <v>0.54049474000930786</v>
      </c>
      <c r="BE161" s="108">
        <v>0.54602617025375366</v>
      </c>
      <c r="BF161" s="108">
        <v>0.541087806224823</v>
      </c>
      <c r="BG161" s="108">
        <v>0.57864564657211304</v>
      </c>
      <c r="BH161" s="108">
        <v>0.58457982540130615</v>
      </c>
      <c r="BI161" s="108">
        <v>0.67926043272018433</v>
      </c>
      <c r="BJ161" s="108">
        <v>0.71160131692886353</v>
      </c>
      <c r="BK161" s="108">
        <v>0.64257144927978516</v>
      </c>
      <c r="BL161" s="108">
        <v>0.5622904896736145</v>
      </c>
    </row>
    <row r="162" spans="1:64" x14ac:dyDescent="0.2">
      <c r="A162" t="s">
        <v>367</v>
      </c>
      <c r="B162" s="108">
        <v>0.77882188558578491</v>
      </c>
      <c r="C162" s="108">
        <v>0.69678395986557007</v>
      </c>
      <c r="D162" s="108">
        <v>0.48761090636253357</v>
      </c>
      <c r="E162" s="108">
        <v>0.65271419286727905</v>
      </c>
      <c r="F162" s="108">
        <v>0.81188106536865234</v>
      </c>
      <c r="G162" s="108">
        <v>0.6867939829826355</v>
      </c>
      <c r="H162" s="108">
        <v>0.40908566117286682</v>
      </c>
      <c r="I162" s="108">
        <v>0.6344752311706543</v>
      </c>
      <c r="J162" s="108">
        <v>0.61561292409896851</v>
      </c>
      <c r="K162" s="108">
        <v>0.71860277652740479</v>
      </c>
      <c r="L162" s="108">
        <v>0.70292168855667114</v>
      </c>
      <c r="M162" s="108">
        <v>0.77713006734848022</v>
      </c>
      <c r="N162" s="108">
        <v>0.74778932332992554</v>
      </c>
      <c r="O162" s="108">
        <v>0.82012921571731567</v>
      </c>
      <c r="P162" s="109">
        <v>0.77859091758728027</v>
      </c>
      <c r="Q162" s="108">
        <v>0.765625</v>
      </c>
      <c r="R162" s="108">
        <v>0.75536894798278809</v>
      </c>
      <c r="S162" s="109">
        <v>0.86377352476119995</v>
      </c>
      <c r="T162" s="108">
        <v>0.81516718864440918</v>
      </c>
      <c r="U162" s="108">
        <v>0.77541905641555786</v>
      </c>
      <c r="V162" s="108">
        <v>0.76942992210388184</v>
      </c>
      <c r="W162" s="108">
        <v>0.78171306848526001</v>
      </c>
      <c r="X162" s="108">
        <v>0.71875470876693726</v>
      </c>
      <c r="Y162" s="108">
        <v>0.77510339021682739</v>
      </c>
      <c r="Z162" s="108">
        <v>0.76273149251937866</v>
      </c>
      <c r="AA162" s="108">
        <v>0.76310378313064575</v>
      </c>
      <c r="AB162" s="108">
        <v>0.76082783937454224</v>
      </c>
      <c r="AC162" s="108">
        <v>0.73017680644989014</v>
      </c>
      <c r="AD162" s="108">
        <v>0.66009330749511719</v>
      </c>
      <c r="AE162" s="108">
        <v>0.69850867986679077</v>
      </c>
      <c r="AF162" s="108">
        <v>0.74190443754196167</v>
      </c>
      <c r="AG162" s="108">
        <v>0.70254784822463989</v>
      </c>
      <c r="AH162" s="108">
        <v>0.70057916641235352</v>
      </c>
      <c r="AI162" s="108">
        <v>0.68857449293136597</v>
      </c>
      <c r="AJ162" s="108">
        <v>0.63290929794311523</v>
      </c>
      <c r="AK162" s="108">
        <v>0.68413287401199341</v>
      </c>
      <c r="AL162" s="108">
        <v>0.64203059673309326</v>
      </c>
      <c r="AM162" s="108">
        <v>0.70286250114440918</v>
      </c>
      <c r="AN162" s="108">
        <v>0.73369592428207397</v>
      </c>
      <c r="AO162" s="108">
        <v>0.5740697979927063</v>
      </c>
      <c r="AP162" s="108">
        <v>0.65481418371200562</v>
      </c>
      <c r="AQ162" s="108">
        <v>0.65691304206848145</v>
      </c>
      <c r="AR162" s="108">
        <v>0.65458130836486816</v>
      </c>
      <c r="AS162" s="108">
        <v>0.67415511608123779</v>
      </c>
      <c r="AT162" s="108">
        <v>0.73556172847747803</v>
      </c>
      <c r="AU162" s="108">
        <v>0.62456625699996948</v>
      </c>
      <c r="AV162" s="108">
        <v>0.76099592447280884</v>
      </c>
      <c r="AW162" s="108">
        <v>0.69589084386825562</v>
      </c>
      <c r="AX162" s="108">
        <v>0.66088682413101196</v>
      </c>
      <c r="AY162" s="108">
        <v>0.62993007898330688</v>
      </c>
      <c r="AZ162" s="108">
        <v>0.57700186967849731</v>
      </c>
      <c r="BA162" s="108">
        <v>0.59240597486495972</v>
      </c>
      <c r="BB162" s="108">
        <v>0.63910418748855591</v>
      </c>
      <c r="BC162" s="108">
        <v>0.71228528022766113</v>
      </c>
      <c r="BD162" s="108">
        <v>0.68398898839950562</v>
      </c>
      <c r="BE162" s="108">
        <v>0.58092308044433594</v>
      </c>
      <c r="BF162" s="108">
        <v>0.59158790111541748</v>
      </c>
      <c r="BG162" s="108">
        <v>0.71234214305877686</v>
      </c>
      <c r="BH162" s="108">
        <v>0.56066125631332397</v>
      </c>
      <c r="BI162" s="108">
        <v>0.63424456119537354</v>
      </c>
      <c r="BJ162" s="108">
        <v>0.64326459169387817</v>
      </c>
      <c r="BK162" s="108">
        <v>0.69491255283355713</v>
      </c>
      <c r="BL162" s="108">
        <v>0.66513460874557495</v>
      </c>
    </row>
    <row r="163" spans="1:64" x14ac:dyDescent="0.2">
      <c r="A163" t="s">
        <v>369</v>
      </c>
      <c r="B163" s="108">
        <v>0.89974194765090942</v>
      </c>
      <c r="C163" s="108">
        <v>0.81349146366119385</v>
      </c>
      <c r="D163" s="108">
        <v>0.67878365516662598</v>
      </c>
      <c r="E163" s="108">
        <v>0.85531061887741089</v>
      </c>
      <c r="F163" s="108">
        <v>0.85921633243560791</v>
      </c>
      <c r="G163" s="108">
        <v>0.78768080472946167</v>
      </c>
      <c r="H163" s="108">
        <v>0.74257171154022217</v>
      </c>
      <c r="I163" s="108">
        <v>0.8067125678062439</v>
      </c>
      <c r="J163" s="108">
        <v>0.81071752309799194</v>
      </c>
      <c r="K163" s="108">
        <v>0.86821401119232178</v>
      </c>
      <c r="L163" s="108">
        <v>0.88404768705368042</v>
      </c>
      <c r="M163" s="108">
        <v>0.90951555967330933</v>
      </c>
      <c r="N163" s="108">
        <v>0.89961802959442139</v>
      </c>
      <c r="O163" s="108">
        <v>0.84717881679534912</v>
      </c>
      <c r="P163" s="109">
        <v>0.98690277338027954</v>
      </c>
      <c r="Q163" s="108">
        <v>0.94221723079681396</v>
      </c>
      <c r="R163" s="108">
        <v>0.78343981504440308</v>
      </c>
      <c r="S163" s="109">
        <v>0.94698596000671387</v>
      </c>
      <c r="T163" s="108">
        <v>0.65536916255950928</v>
      </c>
      <c r="U163" s="108">
        <v>0.84011662006378174</v>
      </c>
      <c r="V163" s="108">
        <v>0.92912012338638306</v>
      </c>
      <c r="W163" s="108">
        <v>0.85789775848388672</v>
      </c>
      <c r="X163" s="108">
        <v>0.72743397951126099</v>
      </c>
      <c r="Y163" s="108">
        <v>0.83751076459884644</v>
      </c>
      <c r="Z163" s="108">
        <v>0.92312091588973999</v>
      </c>
      <c r="AA163" s="108">
        <v>0.8882257342338562</v>
      </c>
      <c r="AB163" s="108">
        <v>0.88341003656387329</v>
      </c>
      <c r="AC163" s="108">
        <v>0.90752732753753662</v>
      </c>
      <c r="AD163" s="108">
        <v>0.83574783802032471</v>
      </c>
      <c r="AE163" s="108">
        <v>0.82936888933181763</v>
      </c>
      <c r="AF163" s="108">
        <v>0.93579781055450439</v>
      </c>
      <c r="AG163" s="108">
        <v>0.86523687839508057</v>
      </c>
      <c r="AH163" s="108">
        <v>0.96350985765457153</v>
      </c>
      <c r="AI163" s="108">
        <v>0.79370659589767456</v>
      </c>
      <c r="AJ163" s="108">
        <v>0.86617952585220337</v>
      </c>
      <c r="AK163" s="108">
        <v>0.89904022216796875</v>
      </c>
      <c r="AL163" s="108">
        <v>0.90545666217803955</v>
      </c>
      <c r="AM163" s="108">
        <v>0.83713990449905396</v>
      </c>
      <c r="AN163" s="108">
        <v>0.75832682847976685</v>
      </c>
      <c r="AO163" s="108">
        <v>0.68095457553863525</v>
      </c>
      <c r="AP163" s="108">
        <v>0.68736833333969116</v>
      </c>
      <c r="AQ163" s="108">
        <v>0.75866645574569702</v>
      </c>
      <c r="AR163" s="108">
        <v>0.8578650951385498</v>
      </c>
      <c r="AS163" s="108">
        <v>0.82890331745147705</v>
      </c>
      <c r="AT163" s="108">
        <v>0.82227134704589844</v>
      </c>
      <c r="AU163" s="108">
        <v>0.88850343227386475</v>
      </c>
      <c r="AV163" s="108">
        <v>0.98076063394546509</v>
      </c>
      <c r="AW163" s="108">
        <v>0.72941124439239502</v>
      </c>
      <c r="AX163" s="108">
        <v>0.69059520959854126</v>
      </c>
      <c r="AY163" s="108">
        <v>0.9005589485168457</v>
      </c>
      <c r="AZ163" s="108">
        <v>0.83102303743362427</v>
      </c>
      <c r="BA163" s="108">
        <v>0.89069980382919312</v>
      </c>
      <c r="BB163" s="108">
        <v>0.82923388481140137</v>
      </c>
      <c r="BC163" s="108">
        <v>0.81019240617752075</v>
      </c>
      <c r="BD163" s="108">
        <v>0.87146735191345215</v>
      </c>
      <c r="BE163" s="108">
        <v>0.88934904336929321</v>
      </c>
      <c r="BF163" s="108">
        <v>0.72818297147750854</v>
      </c>
      <c r="BG163" s="108">
        <v>0.71954083442687988</v>
      </c>
      <c r="BH163" s="108">
        <v>0.7168692946434021</v>
      </c>
      <c r="BI163" s="108">
        <v>0.87189269065856934</v>
      </c>
      <c r="BJ163" s="108">
        <v>0.74099093675613403</v>
      </c>
      <c r="BK163" s="108">
        <v>0.8682437539100647</v>
      </c>
      <c r="BL163" s="108">
        <v>0.9725455641746521</v>
      </c>
    </row>
    <row r="164" spans="1:64" x14ac:dyDescent="0.2">
      <c r="A164" t="s">
        <v>371</v>
      </c>
      <c r="B164" s="108">
        <v>0.57263165712356567</v>
      </c>
      <c r="C164" s="108">
        <v>0.6227649450302124</v>
      </c>
      <c r="D164" s="108">
        <v>0.72471100091934204</v>
      </c>
      <c r="E164" s="108">
        <v>0.44715267419815063</v>
      </c>
      <c r="F164" s="108">
        <v>0.54054117202758789</v>
      </c>
      <c r="G164" s="108">
        <v>0.40918636322021484</v>
      </c>
      <c r="H164" s="108">
        <v>0.54160505533218384</v>
      </c>
      <c r="I164" s="108">
        <v>0.52852070331573486</v>
      </c>
      <c r="J164" s="108">
        <v>0.40340891480445862</v>
      </c>
      <c r="K164" s="108">
        <v>0.5094638466835022</v>
      </c>
      <c r="L164" s="108">
        <v>0.51804530620574951</v>
      </c>
      <c r="M164" s="108">
        <v>0.5831722617149353</v>
      </c>
      <c r="N164" s="108">
        <v>0.62526535987854004</v>
      </c>
      <c r="O164" s="108">
        <v>0.67070120573043823</v>
      </c>
      <c r="P164" s="109">
        <v>0.81278645992279053</v>
      </c>
      <c r="Q164" s="108">
        <v>0.64348536729812622</v>
      </c>
      <c r="R164" s="108">
        <v>0.51219981908798218</v>
      </c>
      <c r="S164" s="109">
        <v>0.78946506977081299</v>
      </c>
      <c r="T164" s="108">
        <v>0.345206618309021</v>
      </c>
      <c r="U164" s="108">
        <v>0.63806217908859253</v>
      </c>
      <c r="V164" s="108">
        <v>0.69830089807510376</v>
      </c>
      <c r="W164" s="108">
        <v>0.50299221277236938</v>
      </c>
      <c r="X164" s="108">
        <v>0.54321318864822388</v>
      </c>
      <c r="Y164" s="108">
        <v>0.5</v>
      </c>
      <c r="Z164" s="108">
        <v>0.62313896417617798</v>
      </c>
      <c r="AA164" s="108">
        <v>0.65813982486724854</v>
      </c>
      <c r="AB164" s="108">
        <v>0.59286218881607056</v>
      </c>
      <c r="AC164" s="108">
        <v>0.63071531057357788</v>
      </c>
      <c r="AD164" s="108">
        <v>0.68027210235595703</v>
      </c>
      <c r="AE164" s="108">
        <v>0.38344940543174744</v>
      </c>
      <c r="AF164" s="108">
        <v>0.6733088493347168</v>
      </c>
      <c r="AG164" s="108">
        <v>0.42436656355857849</v>
      </c>
      <c r="AH164" s="108">
        <v>0.51351392269134521</v>
      </c>
      <c r="AI164" s="108">
        <v>0.73579877614974976</v>
      </c>
      <c r="AJ164" s="108">
        <v>0.51583582162857056</v>
      </c>
      <c r="AK164" s="108">
        <v>0.57100671529769897</v>
      </c>
      <c r="AL164" s="108">
        <v>0.59848350286483765</v>
      </c>
      <c r="AM164" s="108">
        <v>0.83484905958175659</v>
      </c>
      <c r="AN164" s="108">
        <v>0.53378576040267944</v>
      </c>
      <c r="AO164" s="108">
        <v>0.41537946462631226</v>
      </c>
      <c r="AP164" s="108">
        <v>0.53215932846069336</v>
      </c>
      <c r="AQ164" s="108">
        <v>0.49982506036758423</v>
      </c>
      <c r="AR164" s="108">
        <v>0.53651720285415649</v>
      </c>
      <c r="AS164" s="108">
        <v>0.65293216705322266</v>
      </c>
      <c r="AT164" s="108">
        <v>0.60058075189590454</v>
      </c>
      <c r="AU164" s="108">
        <v>0.33091863989830017</v>
      </c>
      <c r="AV164" s="108">
        <v>0.67729312181472778</v>
      </c>
      <c r="AW164" s="108">
        <v>0.36539256572723389</v>
      </c>
      <c r="AX164" s="108">
        <v>0.47429993748664856</v>
      </c>
      <c r="AY164" s="108">
        <v>0.53306782245635986</v>
      </c>
      <c r="AZ164" s="108">
        <v>0.54184210300445557</v>
      </c>
      <c r="BA164" s="108">
        <v>0.48081174492835999</v>
      </c>
      <c r="BB164" s="108">
        <v>0.4284588098526001</v>
      </c>
      <c r="BC164" s="108">
        <v>0.53156012296676636</v>
      </c>
      <c r="BD164" s="108">
        <v>0.57475113868713379</v>
      </c>
      <c r="BE164" s="108">
        <v>0.62947964668273926</v>
      </c>
      <c r="BF164" s="108">
        <v>0.69125938415527344</v>
      </c>
      <c r="BG164" s="108">
        <v>0.41213420033454895</v>
      </c>
      <c r="BH164" s="108">
        <v>0.3194834291934967</v>
      </c>
      <c r="BI164" s="108">
        <v>0.69517767429351807</v>
      </c>
      <c r="BJ164" s="108">
        <v>0.75493955612182617</v>
      </c>
      <c r="BK164" s="108">
        <v>0.77886390686035156</v>
      </c>
      <c r="BL164" s="108">
        <v>0.70738756656646729</v>
      </c>
    </row>
    <row r="165" spans="1:64" x14ac:dyDescent="0.2">
      <c r="A165" t="s">
        <v>375</v>
      </c>
      <c r="B165" s="108">
        <v>0.17301423847675323</v>
      </c>
      <c r="C165" s="108">
        <v>0.37815219163894653</v>
      </c>
      <c r="D165" s="108">
        <v>0.3524932861328125</v>
      </c>
      <c r="E165" s="108">
        <v>0.30057996511459351</v>
      </c>
      <c r="F165" s="108">
        <v>0.23102311789989471</v>
      </c>
      <c r="G165" s="108">
        <v>0.3675830066204071</v>
      </c>
      <c r="H165" s="108">
        <v>0.38741445541381836</v>
      </c>
      <c r="I165" s="108">
        <v>0.396563321352005</v>
      </c>
      <c r="J165" s="108">
        <v>0.28125</v>
      </c>
      <c r="K165" s="108">
        <v>0.2938709557056427</v>
      </c>
      <c r="L165" s="108">
        <v>0.28236889839172363</v>
      </c>
      <c r="M165" s="108">
        <v>0.14887800812721252</v>
      </c>
      <c r="N165" s="108">
        <v>0.26278647780418396</v>
      </c>
      <c r="O165" s="108">
        <v>0.48217746615409851</v>
      </c>
      <c r="P165" s="109">
        <v>0.44067132472991943</v>
      </c>
      <c r="Q165" s="108">
        <v>0.21728414297103882</v>
      </c>
      <c r="R165" s="108">
        <v>0.20684888958930969</v>
      </c>
      <c r="S165" s="109">
        <v>0.29157909750938416</v>
      </c>
      <c r="T165" s="108">
        <v>0.26407590508460999</v>
      </c>
      <c r="U165" s="108">
        <v>0.16418895125389099</v>
      </c>
      <c r="V165" s="108">
        <v>0.28505489230155945</v>
      </c>
      <c r="W165" s="108">
        <v>0.25816395878791809</v>
      </c>
      <c r="X165" s="108">
        <v>0.18329316377639771</v>
      </c>
      <c r="Y165" s="108">
        <v>0.303021639585495</v>
      </c>
      <c r="Z165" s="108">
        <v>0.28960904479026794</v>
      </c>
      <c r="AA165" s="108">
        <v>0.20264074206352234</v>
      </c>
      <c r="AB165" s="108">
        <v>0.28626319766044617</v>
      </c>
      <c r="AC165" s="108">
        <v>0.31735533475875854</v>
      </c>
      <c r="AD165" s="108">
        <v>0.16339960694313049</v>
      </c>
      <c r="AE165" s="108">
        <v>0.13089478015899658</v>
      </c>
      <c r="AF165" s="108">
        <v>0.20593754947185516</v>
      </c>
      <c r="AG165" s="108">
        <v>0.17238274216651917</v>
      </c>
      <c r="AH165" s="108">
        <v>0.13546706736087799</v>
      </c>
      <c r="AI165" s="108">
        <v>0.21575622260570526</v>
      </c>
      <c r="AJ165" s="108">
        <v>0.18779920041561127</v>
      </c>
      <c r="AK165" s="108">
        <v>0.22518157958984375</v>
      </c>
      <c r="AL165" s="108">
        <v>0.23169979453086853</v>
      </c>
      <c r="AM165" s="108">
        <v>0.23644337058067322</v>
      </c>
      <c r="AN165" s="108">
        <v>0.12047145515680313</v>
      </c>
      <c r="AO165" s="108">
        <v>0.29661059379577637</v>
      </c>
      <c r="AP165" s="108">
        <v>0.30101370811462402</v>
      </c>
      <c r="AQ165" s="108">
        <v>0.17161893844604492</v>
      </c>
      <c r="AR165" s="108">
        <v>0.37847569584846497</v>
      </c>
      <c r="AS165" s="108">
        <v>0.18150164186954498</v>
      </c>
      <c r="AT165" s="108">
        <v>7.418234646320343E-2</v>
      </c>
      <c r="AU165" s="108">
        <v>9.3920081853866577E-2</v>
      </c>
      <c r="AV165" s="108">
        <v>0.13390932977199554</v>
      </c>
      <c r="AW165" s="108">
        <v>0.12530830502510071</v>
      </c>
      <c r="AX165" s="108">
        <v>0.12006618827581406</v>
      </c>
      <c r="AY165" s="108">
        <v>0.10244198888540268</v>
      </c>
      <c r="AZ165" s="108">
        <v>0.11082444339990616</v>
      </c>
      <c r="BA165" s="108">
        <v>0.14684167504310608</v>
      </c>
      <c r="BB165" s="108">
        <v>8.7711811065673828E-2</v>
      </c>
      <c r="BC165" s="108">
        <v>7.4948035180568695E-2</v>
      </c>
      <c r="BD165" s="108">
        <v>0.14028050005435944</v>
      </c>
      <c r="BE165" s="108">
        <v>0.15625</v>
      </c>
      <c r="BF165" s="108">
        <v>0.12079411000013351</v>
      </c>
      <c r="BG165" s="108">
        <v>8.877815306186676E-2</v>
      </c>
      <c r="BH165" s="108">
        <v>0.16354110836982727</v>
      </c>
      <c r="BI165" s="108">
        <v>0.14710670709609985</v>
      </c>
      <c r="BJ165" s="108">
        <v>0.11851832270622253</v>
      </c>
      <c r="BK165" s="108">
        <v>0.1131574809551239</v>
      </c>
      <c r="BL165" s="108">
        <v>0.11186369508504868</v>
      </c>
    </row>
    <row r="166" spans="1:64" x14ac:dyDescent="0.2">
      <c r="A166" t="s">
        <v>377</v>
      </c>
      <c r="B166" s="108">
        <v>0.82079017162322998</v>
      </c>
      <c r="C166" s="108">
        <v>0.88575953245162964</v>
      </c>
      <c r="D166" s="108">
        <v>0.79523152112960815</v>
      </c>
      <c r="E166" s="108">
        <v>0.90421813726425171</v>
      </c>
      <c r="F166" s="108">
        <v>0.91694176197052002</v>
      </c>
      <c r="G166" s="108">
        <v>0.8602447509765625</v>
      </c>
      <c r="H166" s="108">
        <v>0.90365463495254517</v>
      </c>
      <c r="I166" s="108">
        <v>0.86596590280532837</v>
      </c>
      <c r="J166" s="108">
        <v>0.80380606651306152</v>
      </c>
      <c r="K166" s="108">
        <v>0.91098034381866455</v>
      </c>
      <c r="L166" s="108">
        <v>0.87865293025970459</v>
      </c>
      <c r="M166" s="108">
        <v>0.87033051252365112</v>
      </c>
      <c r="N166" s="108">
        <v>0.890625</v>
      </c>
      <c r="O166" s="108">
        <v>0.94829148054122925</v>
      </c>
      <c r="P166" s="109">
        <v>0.94729459285736084</v>
      </c>
      <c r="Q166" s="108">
        <v>0.87128865718841553</v>
      </c>
      <c r="R166" s="108">
        <v>0.75564372539520264</v>
      </c>
      <c r="S166" s="109">
        <v>0.91227000951766968</v>
      </c>
      <c r="T166" s="108">
        <v>0.62089747190475464</v>
      </c>
      <c r="U166" s="108">
        <v>0.82422113418579102</v>
      </c>
      <c r="V166" s="108">
        <v>0.91596496105194092</v>
      </c>
      <c r="W166" s="108">
        <v>0.90670633316040039</v>
      </c>
      <c r="X166" s="108">
        <v>0.85581988096237183</v>
      </c>
      <c r="Y166" s="108">
        <v>0.921875</v>
      </c>
      <c r="Z166" s="108">
        <v>0.88773149251937866</v>
      </c>
      <c r="AA166" s="108">
        <v>0.93279093503952026</v>
      </c>
      <c r="AB166" s="108">
        <v>0.90722423791885376</v>
      </c>
      <c r="AC166" s="108">
        <v>0.89193928241729736</v>
      </c>
      <c r="AD166" s="108">
        <v>0.90188640356063843</v>
      </c>
      <c r="AE166" s="108">
        <v>0.81093823909759521</v>
      </c>
      <c r="AF166" s="108">
        <v>0.96708852052688599</v>
      </c>
      <c r="AG166" s="108">
        <v>0.95042115449905396</v>
      </c>
      <c r="AH166" s="108">
        <v>0.95633882284164429</v>
      </c>
      <c r="AI166" s="108">
        <v>0.92447507381439209</v>
      </c>
      <c r="AJ166" s="108">
        <v>0.91969180107116699</v>
      </c>
      <c r="AK166" s="108">
        <v>0.94301414489746094</v>
      </c>
      <c r="AL166" s="108">
        <v>0.94101858139038086</v>
      </c>
      <c r="AM166" s="108">
        <v>0.93555968999862671</v>
      </c>
      <c r="AN166" s="108">
        <v>0.91417604684829712</v>
      </c>
      <c r="AO166" s="108">
        <v>0.86627167463302612</v>
      </c>
      <c r="AP166" s="108">
        <v>0.91199314594268799</v>
      </c>
      <c r="AQ166" s="108">
        <v>0.83831077814102173</v>
      </c>
      <c r="AR166" s="108">
        <v>0.94235533475875854</v>
      </c>
      <c r="AS166" s="108">
        <v>0.92060583829879761</v>
      </c>
      <c r="AT166" s="108">
        <v>0.85860621929168701</v>
      </c>
      <c r="AU166" s="108">
        <v>0.88167077302932739</v>
      </c>
      <c r="AV166" s="108">
        <v>0.95366871356964111</v>
      </c>
      <c r="AW166" s="108">
        <v>0.83650767803192139</v>
      </c>
      <c r="AX166" s="108">
        <v>0.84955435991287231</v>
      </c>
      <c r="AY166" s="108">
        <v>0.90565329790115356</v>
      </c>
      <c r="AZ166" s="108">
        <v>0.92224931716918945</v>
      </c>
      <c r="BA166" s="108">
        <v>0.95990079641342163</v>
      </c>
      <c r="BB166" s="108">
        <v>0.82746535539627075</v>
      </c>
      <c r="BC166" s="108">
        <v>0.9158291220664978</v>
      </c>
      <c r="BD166" s="108">
        <v>0.94437104463577271</v>
      </c>
      <c r="BE166" s="108">
        <v>0.91278922557830811</v>
      </c>
      <c r="BF166" s="108">
        <v>0.93910843133926392</v>
      </c>
      <c r="BG166" s="108">
        <v>0.90804654359817505</v>
      </c>
      <c r="BH166" s="108">
        <v>0.92808079719543457</v>
      </c>
      <c r="BI166" s="108">
        <v>0.90192961692810059</v>
      </c>
      <c r="BJ166" s="108">
        <v>0.93933874368667603</v>
      </c>
      <c r="BK166" s="108">
        <v>0.95803940296173096</v>
      </c>
      <c r="BL166" s="108">
        <v>0.89995509386062622</v>
      </c>
    </row>
    <row r="167" spans="1:64" x14ac:dyDescent="0.2">
      <c r="A167" t="s">
        <v>379</v>
      </c>
      <c r="B167" s="108">
        <v>0.35550037026405334</v>
      </c>
      <c r="C167" s="108">
        <v>0.4021632969379425</v>
      </c>
      <c r="D167" s="108">
        <v>0.36865776777267456</v>
      </c>
      <c r="E167" s="108">
        <v>0.29941284656524658</v>
      </c>
      <c r="F167" s="108">
        <v>0.48239815235137939</v>
      </c>
      <c r="G167" s="108">
        <v>0.33099231123924255</v>
      </c>
      <c r="H167" s="108">
        <v>0.48857563734054565</v>
      </c>
      <c r="I167" s="108">
        <v>0.47381821274757385</v>
      </c>
      <c r="J167" s="108">
        <v>0.43280646204948425</v>
      </c>
      <c r="K167" s="108">
        <v>0.39301735162734985</v>
      </c>
      <c r="L167" s="108">
        <v>0.42229577898979187</v>
      </c>
      <c r="M167" s="108">
        <v>0.38605150580406189</v>
      </c>
      <c r="N167" s="108">
        <v>0.41572049260139465</v>
      </c>
      <c r="O167" s="108">
        <v>0.71024858951568604</v>
      </c>
      <c r="P167" s="109">
        <v>0.55559617280960083</v>
      </c>
      <c r="Q167" s="108">
        <v>0.49876287579536438</v>
      </c>
      <c r="R167" s="108">
        <v>0.43598923087120056</v>
      </c>
      <c r="S167" s="109">
        <v>0.54781818389892578</v>
      </c>
      <c r="T167" s="108">
        <v>0.35169157385826111</v>
      </c>
      <c r="U167" s="108">
        <v>0.52258294820785522</v>
      </c>
      <c r="V167" s="108">
        <v>0.42626309394836426</v>
      </c>
      <c r="W167" s="108">
        <v>0.34511232376098633</v>
      </c>
      <c r="X167" s="108">
        <v>0.40603825449943542</v>
      </c>
      <c r="Y167" s="108">
        <v>0.50333172082901001</v>
      </c>
      <c r="Z167" s="108">
        <v>0.4480452835559845</v>
      </c>
      <c r="AA167" s="108">
        <v>0.62043792009353638</v>
      </c>
      <c r="AB167" s="108">
        <v>0.45405319333076477</v>
      </c>
      <c r="AC167" s="108">
        <v>0.57483929395675659</v>
      </c>
      <c r="AD167" s="108">
        <v>0.48848679661750793</v>
      </c>
      <c r="AE167" s="108">
        <v>0.44339478015899658</v>
      </c>
      <c r="AF167" s="108">
        <v>0.49694463610649109</v>
      </c>
      <c r="AG167" s="108">
        <v>0.38039207458496094</v>
      </c>
      <c r="AH167" s="108">
        <v>0.44247514009475708</v>
      </c>
      <c r="AI167" s="108">
        <v>0.36531335115432739</v>
      </c>
      <c r="AJ167" s="108">
        <v>0.42519488930702209</v>
      </c>
      <c r="AK167" s="108">
        <v>0.47732862830162048</v>
      </c>
      <c r="AL167" s="108">
        <v>0.47410041093826294</v>
      </c>
      <c r="AM167" s="108">
        <v>0.56055968999862671</v>
      </c>
      <c r="AN167" s="108">
        <v>0.57971018552780151</v>
      </c>
      <c r="AO167" s="108">
        <v>0.38203364610671997</v>
      </c>
      <c r="AP167" s="108">
        <v>0.34391865134239197</v>
      </c>
      <c r="AQ167" s="108">
        <v>0.3626444935798645</v>
      </c>
      <c r="AR167" s="108">
        <v>0.4125421941280365</v>
      </c>
      <c r="AS167" s="108">
        <v>0.31115183234214783</v>
      </c>
      <c r="AT167" s="108">
        <v>0.26074007153511047</v>
      </c>
      <c r="AU167" s="108">
        <v>0.44400408864021301</v>
      </c>
      <c r="AV167" s="108">
        <v>0.48211011290550232</v>
      </c>
      <c r="AW167" s="108">
        <v>0.32054826617240906</v>
      </c>
      <c r="AX167" s="108">
        <v>0.42264279723167419</v>
      </c>
      <c r="AY167" s="108">
        <v>0.38948318362236023</v>
      </c>
      <c r="AZ167" s="108">
        <v>0.47829058766365051</v>
      </c>
      <c r="BA167" s="108">
        <v>0.51752996444702148</v>
      </c>
      <c r="BB167" s="108">
        <v>0.43646138906478882</v>
      </c>
      <c r="BC167" s="108">
        <v>0.44962072372436523</v>
      </c>
      <c r="BD167" s="108">
        <v>0.45307782292366028</v>
      </c>
      <c r="BE167" s="108">
        <v>0.48692154884338379</v>
      </c>
      <c r="BF167" s="108">
        <v>0.54603630304336548</v>
      </c>
      <c r="BG167" s="108">
        <v>0.51028704643249512</v>
      </c>
      <c r="BH167" s="108">
        <v>0.50826364755630493</v>
      </c>
      <c r="BI167" s="108">
        <v>0.41237947344779968</v>
      </c>
      <c r="BJ167" s="108">
        <v>0.58304667472839355</v>
      </c>
      <c r="BK167" s="108">
        <v>0.53546237945556641</v>
      </c>
      <c r="BL167" s="108">
        <v>0.42011955380439758</v>
      </c>
    </row>
    <row r="168" spans="1:64" x14ac:dyDescent="0.2">
      <c r="A168" t="s">
        <v>383</v>
      </c>
      <c r="B168" s="108">
        <v>1.6149001894518733E-3</v>
      </c>
      <c r="C168" s="108">
        <v>3.0708961188793182E-2</v>
      </c>
      <c r="D168" s="108">
        <v>7.6015837490558624E-2</v>
      </c>
      <c r="E168" s="108">
        <v>6.1071295291185379E-2</v>
      </c>
      <c r="F168" s="108">
        <v>4.0154077112674713E-2</v>
      </c>
      <c r="G168" s="108">
        <v>3.4111138433218002E-2</v>
      </c>
      <c r="H168" s="108">
        <v>0.15643744170665741</v>
      </c>
      <c r="I168" s="108">
        <v>7.992822676897049E-2</v>
      </c>
      <c r="J168" s="108">
        <v>7.5352579355239868E-2</v>
      </c>
      <c r="K168" s="108">
        <v>3.2036121934652328E-2</v>
      </c>
      <c r="L168" s="108">
        <v>4.4900406152009964E-2</v>
      </c>
      <c r="M168" s="108">
        <v>4.5032077468931675E-3</v>
      </c>
      <c r="N168" s="108">
        <v>1.1053313501179218E-3</v>
      </c>
      <c r="O168" s="108">
        <v>0</v>
      </c>
      <c r="P168" s="109">
        <v>3.125E-2</v>
      </c>
      <c r="Q168" s="108">
        <v>3.2487113028764725E-2</v>
      </c>
      <c r="R168" s="108">
        <v>1.0329989716410637E-2</v>
      </c>
      <c r="S168" s="109">
        <v>2.5882937014102936E-2</v>
      </c>
      <c r="T168" s="108">
        <v>7.0173684507608414E-3</v>
      </c>
      <c r="U168" s="108">
        <v>3.0375886708498001E-2</v>
      </c>
      <c r="V168" s="108">
        <v>2.2296030074357986E-2</v>
      </c>
      <c r="W168" s="108">
        <v>2.2646430879831314E-2</v>
      </c>
      <c r="X168" s="108">
        <v>2.7104346081614494E-2</v>
      </c>
      <c r="Y168" s="108">
        <v>2.1771639585494995E-2</v>
      </c>
      <c r="Z168" s="108">
        <v>7.265942171216011E-3</v>
      </c>
      <c r="AA168" s="108">
        <v>2.4380495771765709E-2</v>
      </c>
      <c r="AB168" s="108">
        <v>1.1841046623885632E-2</v>
      </c>
      <c r="AC168" s="108">
        <v>7.4839270673692226E-3</v>
      </c>
      <c r="AD168" s="108">
        <v>2.0945243537425995E-2</v>
      </c>
      <c r="AE168" s="108">
        <v>5.0212834030389786E-2</v>
      </c>
      <c r="AF168" s="108">
        <v>7.1404516696929932E-2</v>
      </c>
      <c r="AG168" s="108">
        <v>0</v>
      </c>
      <c r="AH168" s="108">
        <v>6.2071846332401037E-4</v>
      </c>
      <c r="AI168" s="108">
        <v>4.5816913247108459E-2</v>
      </c>
      <c r="AJ168" s="108">
        <v>1.3696254231035709E-2</v>
      </c>
      <c r="AK168" s="108">
        <v>3.5231910645961761E-2</v>
      </c>
      <c r="AL168" s="108">
        <v>9.4312243163585663E-3</v>
      </c>
      <c r="AM168" s="108">
        <v>2.1048922091722488E-2</v>
      </c>
      <c r="AN168" s="108">
        <v>0</v>
      </c>
      <c r="AO168" s="108">
        <v>4.8897810280323029E-2</v>
      </c>
      <c r="AP168" s="108">
        <v>1.5625E-2</v>
      </c>
      <c r="AQ168" s="108">
        <v>6.5317554399371147E-3</v>
      </c>
      <c r="AR168" s="108">
        <v>2.8770813718438148E-2</v>
      </c>
      <c r="AS168" s="108">
        <v>6.8236947990953922E-3</v>
      </c>
      <c r="AT168" s="108">
        <v>7.2545991279184818E-3</v>
      </c>
      <c r="AU168" s="108">
        <v>1.4556010253727436E-2</v>
      </c>
      <c r="AV168" s="108">
        <v>7.9575862037017941E-4</v>
      </c>
      <c r="AW168" s="108">
        <v>5.4288813844323158E-3</v>
      </c>
      <c r="AX168" s="108">
        <v>1.5451142564415932E-2</v>
      </c>
      <c r="AY168" s="108">
        <v>1.5322692925110459E-3</v>
      </c>
      <c r="AZ168" s="108">
        <v>6.0561592690646648E-3</v>
      </c>
      <c r="BA168" s="108">
        <v>7.1682496927678585E-3</v>
      </c>
      <c r="BB168" s="108">
        <v>2.2194864228367805E-2</v>
      </c>
      <c r="BC168" s="108">
        <v>7.3985266499221325E-3</v>
      </c>
      <c r="BD168" s="108">
        <v>2.7503024786710739E-2</v>
      </c>
      <c r="BE168" s="108">
        <v>0.21280807256698608</v>
      </c>
      <c r="BF168" s="108">
        <v>0.12326998263597488</v>
      </c>
      <c r="BG168" s="108">
        <v>2.0871486514806747E-2</v>
      </c>
      <c r="BH168" s="108">
        <v>5.9316400438547134E-2</v>
      </c>
      <c r="BI168" s="108">
        <v>3.7781238555908203E-2</v>
      </c>
      <c r="BJ168" s="108">
        <v>7.2321332991123199E-3</v>
      </c>
      <c r="BK168" s="108">
        <v>2.9236316680908203E-2</v>
      </c>
      <c r="BL168" s="108">
        <v>6.9461259990930557E-3</v>
      </c>
    </row>
    <row r="169" spans="1:64" x14ac:dyDescent="0.2">
      <c r="A169" t="s">
        <v>385</v>
      </c>
      <c r="B169" s="108">
        <v>5.9387483634054661E-3</v>
      </c>
      <c r="C169" s="108">
        <v>7.7034726738929749E-2</v>
      </c>
      <c r="D169" s="108">
        <v>0.16295339167118073</v>
      </c>
      <c r="E169" s="108">
        <v>0.1664421558380127</v>
      </c>
      <c r="F169" s="108">
        <v>8.5258550941944122E-2</v>
      </c>
      <c r="G169" s="108">
        <v>6.2847606837749481E-2</v>
      </c>
      <c r="H169" s="108">
        <v>0.25599333643913269</v>
      </c>
      <c r="I169" s="108">
        <v>0.17743268609046936</v>
      </c>
      <c r="J169" s="108">
        <v>0.16494393348693848</v>
      </c>
      <c r="K169" s="108">
        <v>9.7281873226165771E-2</v>
      </c>
      <c r="L169" s="108">
        <v>0.11321861296892166</v>
      </c>
      <c r="M169" s="108">
        <v>2.1608682349324226E-2</v>
      </c>
      <c r="N169" s="108">
        <v>0.11836801469326019</v>
      </c>
      <c r="O169" s="108">
        <v>1.9390702247619629E-2</v>
      </c>
      <c r="P169" s="109">
        <v>0.10275174677371979</v>
      </c>
      <c r="Q169" s="108">
        <v>5.6543171405792236E-2</v>
      </c>
      <c r="R169" s="108">
        <v>3.263002960011363E-3</v>
      </c>
      <c r="S169" s="109">
        <v>6.1004616320133209E-2</v>
      </c>
      <c r="T169" s="108">
        <v>3.1147472560405731E-2</v>
      </c>
      <c r="U169" s="108">
        <v>3.7969857454299927E-2</v>
      </c>
      <c r="V169" s="108">
        <v>6.0217060148715973E-2</v>
      </c>
      <c r="W169" s="108">
        <v>2.1743789315223694E-2</v>
      </c>
      <c r="X169" s="108">
        <v>0.14538471400737762</v>
      </c>
      <c r="Y169" s="108">
        <v>5.8057703077793121E-2</v>
      </c>
      <c r="Z169" s="108">
        <v>7.4845656752586365E-2</v>
      </c>
      <c r="AA169" s="108">
        <v>7.1477115154266357E-2</v>
      </c>
      <c r="AB169" s="108">
        <v>7.104627788066864E-2</v>
      </c>
      <c r="AC169" s="108">
        <v>1.4967854134738445E-2</v>
      </c>
      <c r="AD169" s="108">
        <v>5.5853981524705887E-2</v>
      </c>
      <c r="AE169" s="108">
        <v>0.17343676090240479</v>
      </c>
      <c r="AF169" s="108">
        <v>0.25270655751228333</v>
      </c>
      <c r="AG169" s="108">
        <v>2.3294359445571899E-2</v>
      </c>
      <c r="AH169" s="108">
        <v>7.5872172601521015E-3</v>
      </c>
      <c r="AI169" s="108">
        <v>8.5088558495044708E-2</v>
      </c>
      <c r="AJ169" s="108">
        <v>3.5900238901376724E-2</v>
      </c>
      <c r="AK169" s="108">
        <v>8.4556587040424347E-2</v>
      </c>
      <c r="AL169" s="108">
        <v>4.6593882143497467E-2</v>
      </c>
      <c r="AM169" s="108">
        <v>0.10163290053606033</v>
      </c>
      <c r="AN169" s="108">
        <v>2.2644896060228348E-2</v>
      </c>
      <c r="AO169" s="108">
        <v>0.10618629306554794</v>
      </c>
      <c r="AP169" s="108">
        <v>3.6908820271492004E-2</v>
      </c>
      <c r="AQ169" s="108">
        <v>1.3063510879874229E-2</v>
      </c>
      <c r="AR169" s="108">
        <v>7.7156580984592438E-2</v>
      </c>
      <c r="AS169" s="108">
        <v>1.3647389598190784E-2</v>
      </c>
      <c r="AT169" s="108">
        <v>2.9018396511673927E-2</v>
      </c>
      <c r="AU169" s="108">
        <v>7.278005126863718E-3</v>
      </c>
      <c r="AV169" s="108">
        <v>8.4458757191896439E-3</v>
      </c>
      <c r="AW169" s="108">
        <v>1.1972754262387753E-2</v>
      </c>
      <c r="AX169" s="108">
        <v>3.5287898033857346E-2</v>
      </c>
      <c r="AY169" s="108">
        <v>2.9938772786408663E-3</v>
      </c>
      <c r="AZ169" s="108">
        <v>3.5923972725868225E-2</v>
      </c>
      <c r="BA169" s="108">
        <v>0.28779447078704834</v>
      </c>
      <c r="BB169" s="108">
        <v>8.3755157887935638E-2</v>
      </c>
      <c r="BC169" s="108">
        <v>0</v>
      </c>
      <c r="BD169" s="108">
        <v>0.22538039088249207</v>
      </c>
      <c r="BE169" s="108">
        <v>0.58780807256698608</v>
      </c>
      <c r="BF169" s="108">
        <v>0.35841310024261475</v>
      </c>
      <c r="BG169" s="108">
        <v>0.26860591769218445</v>
      </c>
      <c r="BH169" s="108">
        <v>0.32113829255104065</v>
      </c>
      <c r="BI169" s="108">
        <v>0.51687818765640259</v>
      </c>
      <c r="BJ169" s="108">
        <v>7.2321332991123199E-2</v>
      </c>
      <c r="BK169" s="108">
        <v>4.3132450431585312E-2</v>
      </c>
      <c r="BL169" s="108">
        <v>6.9461263716220856E-2</v>
      </c>
    </row>
    <row r="170" spans="1:64" x14ac:dyDescent="0.2">
      <c r="A170" t="s">
        <v>387</v>
      </c>
      <c r="B170" s="108">
        <v>1.2040716595947742E-2</v>
      </c>
      <c r="C170" s="108">
        <v>8.5105448961257935E-2</v>
      </c>
      <c r="D170" s="108">
        <v>0.11258813738822937</v>
      </c>
      <c r="E170" s="108">
        <v>0.16283279657363892</v>
      </c>
      <c r="F170" s="108">
        <v>0.11606162786483765</v>
      </c>
      <c r="G170" s="108">
        <v>4.9203153699636459E-2</v>
      </c>
      <c r="H170" s="108">
        <v>0.19670389592647552</v>
      </c>
      <c r="I170" s="108">
        <v>0.21039813756942749</v>
      </c>
      <c r="J170" s="108">
        <v>9.775041788816452E-2</v>
      </c>
      <c r="K170" s="108">
        <v>6.7271091043949127E-2</v>
      </c>
      <c r="L170" s="108">
        <v>0.10509014874696732</v>
      </c>
      <c r="M170" s="108">
        <v>3.3498495817184448E-2</v>
      </c>
      <c r="N170" s="108">
        <v>0.11836801469326019</v>
      </c>
      <c r="O170" s="108">
        <v>7.1099236607551575E-2</v>
      </c>
      <c r="P170" s="109">
        <v>0.13638025522232056</v>
      </c>
      <c r="Q170" s="108">
        <v>8.1836342811584473E-2</v>
      </c>
      <c r="R170" s="108">
        <v>2.5279713794589043E-2</v>
      </c>
      <c r="S170" s="109">
        <v>9.0128928422927856E-2</v>
      </c>
      <c r="T170" s="108">
        <v>3.8164842873811722E-2</v>
      </c>
      <c r="U170" s="108">
        <v>5.3157802671194077E-2</v>
      </c>
      <c r="V170" s="108">
        <v>5.3546030074357986E-2</v>
      </c>
      <c r="W170" s="108">
        <v>9.0532153844833374E-3</v>
      </c>
      <c r="X170" s="108">
        <v>0.13028909265995026</v>
      </c>
      <c r="Y170" s="108">
        <v>5.0800491124391556E-2</v>
      </c>
      <c r="Z170" s="108">
        <v>0.12789347767829895</v>
      </c>
      <c r="AA170" s="108">
        <v>9.9474713206291199E-2</v>
      </c>
      <c r="AB170" s="108">
        <v>0.12433099001646042</v>
      </c>
      <c r="AC170" s="108">
        <v>4.4903561472892761E-2</v>
      </c>
      <c r="AD170" s="108">
        <v>0.15151728689670563</v>
      </c>
      <c r="AE170" s="108">
        <v>0.19751350581645966</v>
      </c>
      <c r="AF170" s="108">
        <v>0.29047781229019165</v>
      </c>
      <c r="AG170" s="108">
        <v>2.9352059587836266E-2</v>
      </c>
      <c r="AH170" s="108">
        <v>4.1798993945121765E-2</v>
      </c>
      <c r="AI170" s="108">
        <v>9.8179101943969727E-2</v>
      </c>
      <c r="AJ170" s="108">
        <v>4.9596492201089859E-2</v>
      </c>
      <c r="AK170" s="108">
        <v>0.15257072448730469</v>
      </c>
      <c r="AL170" s="108">
        <v>6.517520546913147E-2</v>
      </c>
      <c r="AM170" s="108">
        <v>0.14747689664363861</v>
      </c>
      <c r="AN170" s="108">
        <v>3.9855103939771652E-2</v>
      </c>
      <c r="AO170" s="108">
        <v>9.4406217336654663E-2</v>
      </c>
      <c r="AP170" s="108">
        <v>4.5439213514328003E-2</v>
      </c>
      <c r="AQ170" s="108">
        <v>1.4705882407724857E-2</v>
      </c>
      <c r="AR170" s="108">
        <v>8.1136114895343781E-2</v>
      </c>
      <c r="AS170" s="108">
        <v>6.1413250863552094E-2</v>
      </c>
      <c r="AT170" s="108">
        <v>3.7162091583013535E-2</v>
      </c>
      <c r="AU170" s="108">
        <v>4.4608604162931442E-2</v>
      </c>
      <c r="AV170" s="108">
        <v>1.0833151638507843E-2</v>
      </c>
      <c r="AW170" s="108">
        <v>1.0857762768864632E-2</v>
      </c>
      <c r="AX170" s="108">
        <v>5.4601825773715973E-2</v>
      </c>
      <c r="AY170" s="108">
        <v>4.4554849155247211E-3</v>
      </c>
      <c r="AZ170" s="108">
        <v>6.3616327941417694E-2</v>
      </c>
      <c r="BA170" s="108">
        <v>0.38417521119117737</v>
      </c>
      <c r="BB170" s="108">
        <v>0.12391192466020584</v>
      </c>
      <c r="BC170" s="108">
        <v>9.6180848777294159E-2</v>
      </c>
      <c r="BD170" s="108">
        <v>0.21591381728649139</v>
      </c>
      <c r="BE170" s="108">
        <v>0.61566269397735596</v>
      </c>
      <c r="BF170" s="108">
        <v>0.36831659078598022</v>
      </c>
      <c r="BG170" s="108">
        <v>0.40185046195983887</v>
      </c>
      <c r="BH170" s="108">
        <v>0.40794941782951355</v>
      </c>
      <c r="BI170" s="108">
        <v>0.54099428653717041</v>
      </c>
      <c r="BJ170" s="108">
        <v>0.19620232284069061</v>
      </c>
      <c r="BK170" s="108">
        <v>0.20582608878612518</v>
      </c>
      <c r="BL170" s="108">
        <v>0.26025509834289551</v>
      </c>
    </row>
    <row r="171" spans="1:64" x14ac:dyDescent="0.2">
      <c r="A171" s="104" t="s">
        <v>389</v>
      </c>
      <c r="B171" s="110">
        <v>3.6577632427215576</v>
      </c>
      <c r="C171" s="110">
        <v>2.5864214897155762</v>
      </c>
      <c r="D171" s="110">
        <v>2.1665620803833008</v>
      </c>
      <c r="E171" s="110">
        <v>2.883094310760498</v>
      </c>
      <c r="F171" s="110">
        <v>3.1172375679016113</v>
      </c>
      <c r="G171" s="110">
        <v>2.853792667388916</v>
      </c>
      <c r="H171" s="110">
        <v>2.4509773254394531</v>
      </c>
      <c r="I171" s="110">
        <v>2.8810124397277832</v>
      </c>
      <c r="J171" s="110">
        <v>2.3281631469726563</v>
      </c>
      <c r="K171" s="110">
        <v>2.8121626377105713</v>
      </c>
      <c r="L171" s="110">
        <v>2.5879666805267334</v>
      </c>
      <c r="M171" s="110">
        <v>3.3167250156402588</v>
      </c>
      <c r="N171" s="110">
        <v>2.9756402969360352</v>
      </c>
      <c r="O171" s="110">
        <v>3.7098767757415771</v>
      </c>
      <c r="P171" s="109">
        <v>3.4342727661132813</v>
      </c>
      <c r="Q171" s="110">
        <v>3.2918863296508789</v>
      </c>
      <c r="R171" s="110">
        <v>3.4671733379364014</v>
      </c>
      <c r="S171" s="109"/>
      <c r="T171" s="110">
        <v>3.1223115921020508</v>
      </c>
      <c r="U171" s="110">
        <v>3.027573823928833</v>
      </c>
      <c r="V171" s="110">
        <v>3.2392687797546387</v>
      </c>
      <c r="W171" s="110">
        <v>3.1159839630126953</v>
      </c>
      <c r="X171" s="110">
        <v>3.0166566371917725</v>
      </c>
      <c r="Y171" s="110">
        <v>2.8973312377929688</v>
      </c>
      <c r="Z171" s="110">
        <v>3.2076272964477539</v>
      </c>
      <c r="AA171" s="110">
        <v>3.0905830860137939</v>
      </c>
      <c r="AB171" s="110">
        <v>3.0682888031005859</v>
      </c>
      <c r="AC171" s="110">
        <v>3.1910977363586426</v>
      </c>
      <c r="AD171" s="110">
        <v>2.7667441368103027</v>
      </c>
      <c r="AE171" s="110">
        <v>3.0320584774017334</v>
      </c>
      <c r="AF171" s="110">
        <v>3.1190128326416016</v>
      </c>
      <c r="AG171" s="110">
        <v>3.6941053867340088</v>
      </c>
      <c r="AH171" s="110">
        <v>3.0102460384368896</v>
      </c>
      <c r="AI171" s="110">
        <v>3.1907041072845459</v>
      </c>
      <c r="AJ171" s="110">
        <v>2.8702120780944824</v>
      </c>
      <c r="AK171" s="110">
        <v>2.8096189498901367</v>
      </c>
      <c r="AL171" s="110">
        <v>3.478623628616333</v>
      </c>
      <c r="AM171" s="110">
        <v>3.5325374603271484</v>
      </c>
      <c r="AN171" s="110">
        <v>3.2896878719329834</v>
      </c>
      <c r="AO171" s="110">
        <v>2.6106979846954346</v>
      </c>
      <c r="AP171" s="110">
        <v>2.8888888359069824</v>
      </c>
      <c r="AQ171" s="110">
        <v>2.8874721527099609</v>
      </c>
      <c r="AR171" s="110">
        <v>3.1218764781951904</v>
      </c>
      <c r="AS171" s="110">
        <v>3.0928089618682861</v>
      </c>
      <c r="AT171" s="110">
        <v>3.398012638092041</v>
      </c>
      <c r="AU171" s="110">
        <v>3.0884077548980713</v>
      </c>
      <c r="AV171" s="110">
        <v>3.6564061641693115</v>
      </c>
      <c r="AW171" s="110">
        <v>3.1487810611724854</v>
      </c>
      <c r="AX171" s="110">
        <v>3.1476590633392334</v>
      </c>
      <c r="AY171" s="110">
        <v>3.3164093494415283</v>
      </c>
      <c r="AZ171" s="110">
        <v>2.8080840110778809</v>
      </c>
      <c r="BA171" s="110">
        <v>2.3002169132232666</v>
      </c>
      <c r="BB171" s="110">
        <v>2.6326088905334473</v>
      </c>
      <c r="BC171" s="110">
        <v>2.6677224636077881</v>
      </c>
      <c r="BD171" s="110">
        <v>2.9327933788299561</v>
      </c>
      <c r="BE171" s="110">
        <v>2.7613134384155273</v>
      </c>
      <c r="BF171" s="110">
        <v>2.5922713279724121</v>
      </c>
      <c r="BG171" s="110">
        <v>2.5970406532287598</v>
      </c>
      <c r="BH171" s="110">
        <v>2.623971700668335</v>
      </c>
      <c r="BI171" s="110">
        <v>2.9474306106567383</v>
      </c>
      <c r="BJ171" s="110">
        <v>3.0187807083129883</v>
      </c>
      <c r="BK171" s="110">
        <v>3.0855555534362793</v>
      </c>
      <c r="BL171" s="110">
        <v>3.0694475173950195</v>
      </c>
    </row>
    <row r="172" spans="1:64" x14ac:dyDescent="0.2">
      <c r="A172" t="s">
        <v>544</v>
      </c>
      <c r="B172" s="108">
        <v>2.4530675262212753E-2</v>
      </c>
      <c r="C172" s="108">
        <v>6.1417454853653908E-3</v>
      </c>
      <c r="D172" s="108">
        <v>8.5679870098829269E-3</v>
      </c>
      <c r="E172" s="108">
        <v>4.9933847039937973E-2</v>
      </c>
      <c r="F172" s="108">
        <v>2.8692983090877533E-2</v>
      </c>
      <c r="G172" s="108">
        <v>1.1628126725554466E-2</v>
      </c>
      <c r="H172" s="108">
        <v>4.4512990862131119E-2</v>
      </c>
      <c r="I172" s="108">
        <v>1.5686178579926491E-2</v>
      </c>
      <c r="J172" s="108">
        <v>0.12475767731666565</v>
      </c>
      <c r="K172" s="108">
        <v>5.3010426461696625E-2</v>
      </c>
      <c r="L172" s="108">
        <v>8.5074342787265778E-3</v>
      </c>
      <c r="M172" s="108">
        <v>3.8831480778753757E-3</v>
      </c>
      <c r="N172" s="108">
        <v>1.6129227355122566E-2</v>
      </c>
      <c r="O172" s="108">
        <v>6.2189251184463501E-2</v>
      </c>
      <c r="P172" s="109">
        <v>1.8562920391559601E-2</v>
      </c>
      <c r="Q172" s="108">
        <v>6.0031921602785587E-3</v>
      </c>
      <c r="R172" s="108">
        <v>1.0101145133376122E-2</v>
      </c>
      <c r="S172" s="109"/>
      <c r="T172" s="108">
        <v>2.1949042566120625E-3</v>
      </c>
      <c r="U172" s="108">
        <v>4.3711297214031219E-2</v>
      </c>
      <c r="V172" s="108">
        <v>3.2882003579288721E-3</v>
      </c>
      <c r="W172" s="108">
        <v>5.6850474327802658E-2</v>
      </c>
      <c r="X172" s="108">
        <v>6.6782096400856972E-3</v>
      </c>
      <c r="Y172" s="108">
        <v>4.5040366239845753E-3</v>
      </c>
      <c r="Z172" s="108">
        <v>1.713893748819828E-2</v>
      </c>
      <c r="AA172" s="108">
        <v>4.3961657211184502E-3</v>
      </c>
      <c r="AB172" s="108">
        <v>1.6250310465693474E-2</v>
      </c>
      <c r="AC172" s="108">
        <v>1.018846221268177E-2</v>
      </c>
      <c r="AD172" s="108">
        <v>1.5185089781880379E-2</v>
      </c>
      <c r="AE172" s="108">
        <v>8.851250633597374E-3</v>
      </c>
      <c r="AF172" s="108">
        <v>1.0361040942370892E-2</v>
      </c>
      <c r="AG172" s="108">
        <v>1.4482368715107441E-2</v>
      </c>
      <c r="AH172" s="108">
        <v>0.20950496196746826</v>
      </c>
      <c r="AI172" s="108">
        <v>8.5397940129041672E-3</v>
      </c>
      <c r="AJ172" s="108">
        <v>4.6538282185792923E-2</v>
      </c>
      <c r="AK172" s="108">
        <v>7.3245860636234283E-2</v>
      </c>
      <c r="AL172" s="108">
        <v>5.4018422961235046E-3</v>
      </c>
      <c r="AM172" s="108">
        <v>7.0293180644512177E-2</v>
      </c>
      <c r="AN172" s="108">
        <v>3.447279566898942E-3</v>
      </c>
      <c r="AO172" s="108">
        <v>1.9342359155416489E-2</v>
      </c>
      <c r="AP172" s="108">
        <v>6.6805943846702576E-2</v>
      </c>
      <c r="AQ172" s="108">
        <v>0.41535192728042603</v>
      </c>
      <c r="AR172" s="108">
        <v>1.3755605556070805E-2</v>
      </c>
      <c r="AS172" s="108">
        <v>1.0524437762796879E-2</v>
      </c>
      <c r="AT172" s="108">
        <v>6.3594281673431396E-2</v>
      </c>
      <c r="AU172" s="108">
        <v>2.2097791079431772E-3</v>
      </c>
      <c r="AV172" s="108">
        <v>2.1765308920294046E-3</v>
      </c>
      <c r="AW172" s="108">
        <v>3.3498895354568958E-3</v>
      </c>
      <c r="AX172" s="108">
        <v>1.3875982724130154E-2</v>
      </c>
      <c r="AY172" s="108">
        <v>3.8775787688791752E-3</v>
      </c>
      <c r="AZ172" s="108">
        <v>8.3259465172886848E-3</v>
      </c>
      <c r="BA172" s="108">
        <v>7.377239316701889E-2</v>
      </c>
      <c r="BB172" s="108">
        <v>2.9615258798003197E-2</v>
      </c>
      <c r="BC172" s="108">
        <v>2.0555468276143074E-2</v>
      </c>
      <c r="BD172" s="108">
        <v>7.0658707991242409E-3</v>
      </c>
      <c r="BE172" s="108">
        <v>2.2921990603208542E-3</v>
      </c>
      <c r="BF172" s="108">
        <v>8.6319306865334511E-3</v>
      </c>
      <c r="BG172" s="108">
        <v>4.9098385497927666E-3</v>
      </c>
      <c r="BH172" s="108">
        <v>2.3378850892186165E-2</v>
      </c>
      <c r="BI172" s="108">
        <v>1.1259250342845917E-2</v>
      </c>
      <c r="BJ172" s="108"/>
      <c r="BK172" s="108"/>
      <c r="BL172" s="108"/>
    </row>
    <row r="173" spans="1:64" x14ac:dyDescent="0.2">
      <c r="A173" t="s">
        <v>545</v>
      </c>
      <c r="B173" s="108">
        <v>1102</v>
      </c>
      <c r="C173" s="108">
        <v>193</v>
      </c>
      <c r="D173" s="108">
        <v>192</v>
      </c>
      <c r="E173" s="108">
        <v>195</v>
      </c>
      <c r="F173" s="108">
        <v>194</v>
      </c>
      <c r="G173" s="108">
        <v>197</v>
      </c>
      <c r="H173" s="108">
        <v>192</v>
      </c>
      <c r="I173" s="108">
        <v>294</v>
      </c>
      <c r="J173" s="108">
        <v>192</v>
      </c>
      <c r="K173" s="108">
        <v>193</v>
      </c>
      <c r="L173" s="108">
        <v>195</v>
      </c>
      <c r="M173" s="108">
        <v>300</v>
      </c>
      <c r="N173" s="108">
        <v>192</v>
      </c>
      <c r="O173" s="108">
        <v>203</v>
      </c>
      <c r="P173" s="109">
        <v>192</v>
      </c>
      <c r="Q173" s="108">
        <v>192</v>
      </c>
      <c r="R173" s="108">
        <v>199</v>
      </c>
      <c r="S173" s="109"/>
      <c r="T173" s="108">
        <v>198</v>
      </c>
      <c r="U173" s="108">
        <v>200</v>
      </c>
      <c r="V173" s="108">
        <v>192</v>
      </c>
      <c r="W173" s="108">
        <v>194</v>
      </c>
      <c r="X173" s="108">
        <v>197</v>
      </c>
      <c r="Y173" s="108">
        <v>192</v>
      </c>
      <c r="Z173" s="108">
        <v>192</v>
      </c>
      <c r="AA173" s="108">
        <v>395</v>
      </c>
      <c r="AB173" s="108">
        <v>391</v>
      </c>
      <c r="AC173" s="108">
        <v>192</v>
      </c>
      <c r="AD173" s="108">
        <v>196</v>
      </c>
      <c r="AE173" s="108">
        <v>192</v>
      </c>
      <c r="AF173" s="108">
        <v>197</v>
      </c>
      <c r="AG173" s="108">
        <v>300</v>
      </c>
      <c r="AH173" s="108">
        <v>206</v>
      </c>
      <c r="AI173" s="108">
        <v>201</v>
      </c>
      <c r="AJ173" s="108">
        <v>193</v>
      </c>
      <c r="AK173" s="108">
        <v>192</v>
      </c>
      <c r="AL173" s="108">
        <v>192</v>
      </c>
      <c r="AM173" s="108">
        <v>200</v>
      </c>
      <c r="AN173" s="108">
        <v>192</v>
      </c>
      <c r="AO173" s="108">
        <v>200</v>
      </c>
      <c r="AP173" s="108">
        <v>192</v>
      </c>
      <c r="AQ173" s="108">
        <v>204</v>
      </c>
      <c r="AR173" s="108">
        <v>295</v>
      </c>
      <c r="AS173" s="108">
        <v>197</v>
      </c>
      <c r="AT173" s="108">
        <v>194</v>
      </c>
      <c r="AU173" s="108">
        <v>194</v>
      </c>
      <c r="AV173" s="108">
        <v>319</v>
      </c>
      <c r="AW173" s="108">
        <v>593</v>
      </c>
      <c r="AX173" s="108">
        <v>428</v>
      </c>
      <c r="AY173" s="108">
        <v>1024</v>
      </c>
      <c r="AZ173" s="108">
        <v>289</v>
      </c>
      <c r="BA173" s="108">
        <v>194</v>
      </c>
      <c r="BB173" s="108">
        <v>195</v>
      </c>
      <c r="BC173" s="108">
        <v>192</v>
      </c>
      <c r="BD173" s="108">
        <v>202</v>
      </c>
      <c r="BE173" s="108">
        <v>192</v>
      </c>
      <c r="BF173" s="108">
        <v>390</v>
      </c>
      <c r="BG173" s="108">
        <v>198</v>
      </c>
      <c r="BH173" s="108">
        <v>313</v>
      </c>
      <c r="BI173" s="108">
        <v>196</v>
      </c>
      <c r="BJ173" s="108">
        <v>194</v>
      </c>
      <c r="BK173" s="108">
        <v>197</v>
      </c>
      <c r="BL173" s="108">
        <v>193</v>
      </c>
    </row>
    <row r="174" spans="1:64" x14ac:dyDescent="0.2">
      <c r="A174" t="s">
        <v>391</v>
      </c>
      <c r="B174" s="108">
        <v>0.49929377436637878</v>
      </c>
      <c r="C174" s="108">
        <v>0.42354291677474976</v>
      </c>
      <c r="D174" s="108">
        <v>0.36243751645088196</v>
      </c>
      <c r="E174" s="108">
        <v>0.48647573590278625</v>
      </c>
      <c r="F174" s="108">
        <v>0.4247526228427887</v>
      </c>
      <c r="G174" s="108">
        <v>0.41381481289863586</v>
      </c>
      <c r="H174" s="108">
        <v>0.41776648163795471</v>
      </c>
      <c r="I174" s="108">
        <v>0.4089016318321228</v>
      </c>
      <c r="J174" s="108">
        <v>0.37252417206764221</v>
      </c>
      <c r="K174" s="108">
        <v>0.44493573904037476</v>
      </c>
      <c r="L174" s="108">
        <v>0.42225554585456848</v>
      </c>
      <c r="M174" s="108">
        <v>0.47518235445022583</v>
      </c>
      <c r="N174" s="108">
        <v>0.4460156261920929</v>
      </c>
      <c r="O174" s="108">
        <v>0.52964568138122559</v>
      </c>
      <c r="P174" s="109">
        <v>0.47392818331718445</v>
      </c>
      <c r="Q174" s="108">
        <v>0.43349552154541016</v>
      </c>
      <c r="R174" s="108">
        <v>0.44907340407371521</v>
      </c>
      <c r="S174" s="109"/>
      <c r="T174" s="108">
        <v>0.40014281868934631</v>
      </c>
      <c r="U174" s="108">
        <v>0.3847823441028595</v>
      </c>
      <c r="V174" s="108">
        <v>0.39535319805145264</v>
      </c>
      <c r="W174" s="108">
        <v>0.36765125393867493</v>
      </c>
      <c r="X174" s="108">
        <v>0.35470902919769287</v>
      </c>
      <c r="Y174" s="108">
        <v>0.41698315739631653</v>
      </c>
      <c r="Z174" s="108">
        <v>0.41202259063720703</v>
      </c>
      <c r="AA174" s="108">
        <v>0.43173873424530029</v>
      </c>
      <c r="AB174" s="108">
        <v>0.40622821450233459</v>
      </c>
      <c r="AC174" s="108">
        <v>0.51269745826721191</v>
      </c>
      <c r="AD174" s="108">
        <v>0.43731763958930969</v>
      </c>
      <c r="AE174" s="108">
        <v>0.44411709904670715</v>
      </c>
      <c r="AF174" s="108">
        <v>0.47876438498497009</v>
      </c>
      <c r="AG174" s="108">
        <v>0.45402884483337402</v>
      </c>
      <c r="AH174" s="108">
        <v>0.39668035507202148</v>
      </c>
      <c r="AI174" s="108">
        <v>0.46683144569396973</v>
      </c>
      <c r="AJ174" s="108">
        <v>0.4135088324546814</v>
      </c>
      <c r="AK174" s="108">
        <v>0.3914208710193634</v>
      </c>
      <c r="AL174" s="108">
        <v>0.44643309712409973</v>
      </c>
      <c r="AM174" s="108">
        <v>0.44026240706443787</v>
      </c>
      <c r="AN174" s="108">
        <v>0.46585631370544434</v>
      </c>
      <c r="AO174" s="108">
        <v>0.37089994549751282</v>
      </c>
      <c r="AP174" s="108">
        <v>0.44175136089324951</v>
      </c>
      <c r="AQ174" s="108">
        <v>0.38587108254432678</v>
      </c>
      <c r="AR174" s="108">
        <v>0.44628697633743286</v>
      </c>
      <c r="AS174" s="108">
        <v>0.38185054063796997</v>
      </c>
      <c r="AT174" s="108">
        <v>0.4065212607383728</v>
      </c>
      <c r="AU174" s="108">
        <v>0.36521703004837036</v>
      </c>
      <c r="AV174" s="108">
        <v>0.45598167181015015</v>
      </c>
      <c r="AW174" s="108">
        <v>0.38241443037986755</v>
      </c>
      <c r="AX174" s="108">
        <v>0.40612387657165527</v>
      </c>
      <c r="AY174" s="108">
        <v>0.41224411129951477</v>
      </c>
      <c r="AZ174" s="108">
        <v>0.362823486328125</v>
      </c>
      <c r="BA174" s="108">
        <v>0.34854874014854431</v>
      </c>
      <c r="BB174" s="108">
        <v>0.33235025405883789</v>
      </c>
      <c r="BC174" s="108">
        <v>0.36163091659545898</v>
      </c>
      <c r="BD174" s="108">
        <v>0.41101822257041931</v>
      </c>
      <c r="BE174" s="108">
        <v>0.40339100360870361</v>
      </c>
      <c r="BF174" s="108">
        <v>0.37631356716156006</v>
      </c>
      <c r="BG174" s="108">
        <v>0.36413773894309998</v>
      </c>
      <c r="BH174" s="108">
        <v>0.37308177351951599</v>
      </c>
      <c r="BI174" s="108">
        <v>0.43504911661148071</v>
      </c>
      <c r="BJ174" s="108">
        <v>0.40934225916862488</v>
      </c>
      <c r="BK174" s="108">
        <v>0.4292941689491272</v>
      </c>
      <c r="BL174" s="108">
        <v>0.43489477038383484</v>
      </c>
    </row>
    <row r="175" spans="1:64" x14ac:dyDescent="0.2">
      <c r="A175" t="s">
        <v>399</v>
      </c>
      <c r="B175" s="108">
        <v>2.6395814418792725</v>
      </c>
      <c r="C175" s="108">
        <v>1.6458333730697632</v>
      </c>
      <c r="D175" s="108">
        <v>1.4479870796203613</v>
      </c>
      <c r="E175" s="108">
        <v>2.0337941646575928</v>
      </c>
      <c r="F175" s="108">
        <v>2.2658908367156982</v>
      </c>
      <c r="G175" s="108">
        <v>2.0108935832977295</v>
      </c>
      <c r="H175" s="108">
        <v>1.5408519506454468</v>
      </c>
      <c r="I175" s="108">
        <v>1.9819639921188354</v>
      </c>
      <c r="J175" s="108">
        <v>1.5725866556167603</v>
      </c>
      <c r="K175" s="108">
        <v>1.921222448348999</v>
      </c>
      <c r="L175" s="108">
        <v>1.779934287071228</v>
      </c>
      <c r="M175" s="108">
        <v>2.4301700592041016</v>
      </c>
      <c r="N175" s="108">
        <v>2.1386880874633789</v>
      </c>
      <c r="O175" s="108">
        <v>2.7923846244812012</v>
      </c>
      <c r="P175" s="109">
        <v>2.5570833683013916</v>
      </c>
      <c r="Q175" s="108">
        <v>2.4595158100128174</v>
      </c>
      <c r="R175" s="108">
        <v>2.577883243560791</v>
      </c>
      <c r="S175" s="109"/>
      <c r="T175" s="108">
        <v>2.3609063625335693</v>
      </c>
      <c r="U175" s="108">
        <v>2.2413907051086426</v>
      </c>
      <c r="V175" s="108">
        <v>2.3913500308990479</v>
      </c>
      <c r="W175" s="108">
        <v>2.3462576866149902</v>
      </c>
      <c r="X175" s="108">
        <v>2.2825703620910645</v>
      </c>
      <c r="Y175" s="108">
        <v>2.070887565612793</v>
      </c>
      <c r="Z175" s="108">
        <v>2.4080643653869629</v>
      </c>
      <c r="AA175" s="108">
        <v>2.2783057689666748</v>
      </c>
      <c r="AB175" s="108">
        <v>2.264761209487915</v>
      </c>
      <c r="AC175" s="108">
        <v>2.2484874725341797</v>
      </c>
      <c r="AD175" s="108">
        <v>1.8904908895492554</v>
      </c>
      <c r="AE175" s="108">
        <v>2.0267839431762695</v>
      </c>
      <c r="AF175" s="108">
        <v>2.2754406929016113</v>
      </c>
      <c r="AG175" s="108">
        <v>2.8426444530487061</v>
      </c>
      <c r="AH175" s="108">
        <v>2.2320854663848877</v>
      </c>
      <c r="AI175" s="108">
        <v>2.2468461990356445</v>
      </c>
      <c r="AJ175" s="108">
        <v>2.0815322399139404</v>
      </c>
      <c r="AK175" s="108">
        <v>2.0206539630889893</v>
      </c>
      <c r="AL175" s="108">
        <v>2.5572843551635742</v>
      </c>
      <c r="AM175" s="108">
        <v>2.6763687133789063</v>
      </c>
      <c r="AN175" s="108">
        <v>2.4122307300567627</v>
      </c>
      <c r="AO175" s="108">
        <v>1.8686060905456543</v>
      </c>
      <c r="AP175" s="108">
        <v>2.0704848766326904</v>
      </c>
      <c r="AQ175" s="108">
        <v>2.1283321380615234</v>
      </c>
      <c r="AR175" s="108">
        <v>2.2741315364837646</v>
      </c>
      <c r="AS175" s="108">
        <v>2.3055391311645508</v>
      </c>
      <c r="AT175" s="108">
        <v>2.4968223571777344</v>
      </c>
      <c r="AU175" s="108">
        <v>2.2494425773620605</v>
      </c>
      <c r="AV175" s="108">
        <v>2.8112072944641113</v>
      </c>
      <c r="AW175" s="108">
        <v>2.3881680965423584</v>
      </c>
      <c r="AX175" s="108">
        <v>2.3843123912811279</v>
      </c>
      <c r="AY175" s="108">
        <v>2.5142571926116943</v>
      </c>
      <c r="AZ175" s="108">
        <v>2.0664463043212891</v>
      </c>
      <c r="BA175" s="108">
        <v>1.6112685203552246</v>
      </c>
      <c r="BB175" s="108">
        <v>1.9098865985870361</v>
      </c>
      <c r="BC175" s="108">
        <v>1.9414736032485962</v>
      </c>
      <c r="BD175" s="108">
        <v>2.1399979591369629</v>
      </c>
      <c r="BE175" s="108">
        <v>1.9419869184494019</v>
      </c>
      <c r="BF175" s="108">
        <v>1.8149951696395874</v>
      </c>
      <c r="BG175" s="108">
        <v>1.8120684623718262</v>
      </c>
      <c r="BH175" s="108">
        <v>1.8748230934143066</v>
      </c>
      <c r="BI175" s="108">
        <v>2.0382297039031982</v>
      </c>
      <c r="BJ175" s="108">
        <v>2.1639297008514404</v>
      </c>
      <c r="BK175" s="108">
        <v>2.2387180328369141</v>
      </c>
      <c r="BL175" s="108">
        <v>2.2294983863830566</v>
      </c>
    </row>
    <row r="176" spans="1:64" x14ac:dyDescent="0.2">
      <c r="A176" t="s">
        <v>439</v>
      </c>
      <c r="B176" s="108">
        <v>0.51888805627822876</v>
      </c>
      <c r="C176" s="108">
        <v>0.51704519987106323</v>
      </c>
      <c r="D176" s="108">
        <v>0.3561374843120575</v>
      </c>
      <c r="E176" s="108">
        <v>0.36282446980476379</v>
      </c>
      <c r="F176" s="108">
        <v>0.42659404873847961</v>
      </c>
      <c r="G176" s="108">
        <v>0.42908453941345215</v>
      </c>
      <c r="H176" s="108">
        <v>0.49235880374908447</v>
      </c>
      <c r="I176" s="108">
        <v>0.4901469349861145</v>
      </c>
      <c r="J176" s="108">
        <v>0.38305222988128662</v>
      </c>
      <c r="K176" s="108">
        <v>0.4460044801235199</v>
      </c>
      <c r="L176" s="108">
        <v>0.38577690720558167</v>
      </c>
      <c r="M176" s="108">
        <v>0.41137281060218811</v>
      </c>
      <c r="N176" s="108">
        <v>0.39093661308288574</v>
      </c>
      <c r="O176" s="108">
        <v>0.38784655928611755</v>
      </c>
      <c r="P176" s="109">
        <v>0.40326148271560669</v>
      </c>
      <c r="Q176" s="108">
        <v>0.39887496829032898</v>
      </c>
      <c r="R176" s="108">
        <v>0.44021680951118469</v>
      </c>
      <c r="S176" s="109"/>
      <c r="T176" s="108">
        <v>0.36126250028610229</v>
      </c>
      <c r="U176" s="108">
        <v>0.4014008641242981</v>
      </c>
      <c r="V176" s="108">
        <v>0.45256561040878296</v>
      </c>
      <c r="W176" s="108">
        <v>0.40207517147064209</v>
      </c>
      <c r="X176" s="108">
        <v>0.37937742471694946</v>
      </c>
      <c r="Y176" s="108">
        <v>0.40946069359779358</v>
      </c>
      <c r="Z176" s="108">
        <v>0.3875405490398407</v>
      </c>
      <c r="AA176" s="108">
        <v>0.38053858280181885</v>
      </c>
      <c r="AB176" s="108">
        <v>0.39729949831962585</v>
      </c>
      <c r="AC176" s="108">
        <v>0.42991286516189575</v>
      </c>
      <c r="AD176" s="108">
        <v>0.43893566727638245</v>
      </c>
      <c r="AE176" s="108">
        <v>0.56115752458572388</v>
      </c>
      <c r="AF176" s="108">
        <v>0.36480775475502014</v>
      </c>
      <c r="AG176" s="108">
        <v>0.39743217825889587</v>
      </c>
      <c r="AH176" s="108">
        <v>0.38148021697998047</v>
      </c>
      <c r="AI176" s="108">
        <v>0.47702658176422119</v>
      </c>
      <c r="AJ176" s="108">
        <v>0.37517091631889343</v>
      </c>
      <c r="AK176" s="108">
        <v>0.397544264793396</v>
      </c>
      <c r="AL176" s="108">
        <v>0.47490623593330383</v>
      </c>
      <c r="AM176" s="108">
        <v>0.41590654850006104</v>
      </c>
      <c r="AN176" s="108">
        <v>0.41160082817077637</v>
      </c>
      <c r="AO176" s="108">
        <v>0.37119197845458984</v>
      </c>
      <c r="AP176" s="108">
        <v>0.37665277719497681</v>
      </c>
      <c r="AQ176" s="108">
        <v>0.37326890230178833</v>
      </c>
      <c r="AR176" s="108">
        <v>0.40145799517631531</v>
      </c>
      <c r="AS176" s="108">
        <v>0.40541940927505493</v>
      </c>
      <c r="AT176" s="108">
        <v>0.49466913938522339</v>
      </c>
      <c r="AU176" s="108">
        <v>0.47374817728996277</v>
      </c>
      <c r="AV176" s="108">
        <v>0.38921734690666199</v>
      </c>
      <c r="AW176" s="108">
        <v>0.3781985342502594</v>
      </c>
      <c r="AX176" s="108">
        <v>0.35722306370735168</v>
      </c>
      <c r="AY176" s="108">
        <v>0.38990801572799683</v>
      </c>
      <c r="AZ176" s="108">
        <v>0.37881442904472351</v>
      </c>
      <c r="BA176" s="108">
        <v>0.34039971232414246</v>
      </c>
      <c r="BB176" s="108">
        <v>0.39037218689918518</v>
      </c>
      <c r="BC176" s="108">
        <v>0.3646179735660553</v>
      </c>
      <c r="BD176" s="108">
        <v>0.3817773163318634</v>
      </c>
      <c r="BE176" s="108">
        <v>0.4159354567527771</v>
      </c>
      <c r="BF176" s="108">
        <v>0.40096276998519897</v>
      </c>
      <c r="BG176" s="108">
        <v>0.42083457112312317</v>
      </c>
      <c r="BH176" s="108">
        <v>0.37606692314147949</v>
      </c>
      <c r="BI176" s="108">
        <v>0.47415181994438171</v>
      </c>
      <c r="BJ176" s="108">
        <v>0.44550874829292297</v>
      </c>
      <c r="BK176" s="108">
        <v>0.41754356026649475</v>
      </c>
      <c r="BL176" s="108">
        <v>0.40505442023277283</v>
      </c>
    </row>
    <row r="177" spans="1:64" x14ac:dyDescent="0.2">
      <c r="A177" t="s">
        <v>393</v>
      </c>
      <c r="B177" s="108">
        <v>8.6108841001987457E-2</v>
      </c>
      <c r="C177" s="108">
        <v>5.3871843963861465E-2</v>
      </c>
      <c r="D177" s="108">
        <v>1.2107479386031628E-2</v>
      </c>
      <c r="E177" s="108">
        <v>6.7050911486148834E-2</v>
      </c>
      <c r="F177" s="108">
        <v>6.1606161296367645E-2</v>
      </c>
      <c r="G177" s="108">
        <v>3.8453813642263412E-2</v>
      </c>
      <c r="H177" s="108">
        <v>3.4460552036762238E-2</v>
      </c>
      <c r="I177" s="108">
        <v>4.0229693055152893E-2</v>
      </c>
      <c r="J177" s="108">
        <v>2.7942689135670662E-2</v>
      </c>
      <c r="K177" s="108">
        <v>6.609758734703064E-2</v>
      </c>
      <c r="L177" s="108">
        <v>5.302887037396431E-2</v>
      </c>
      <c r="M177" s="108">
        <v>6.7150793969631195E-2</v>
      </c>
      <c r="N177" s="108">
        <v>6.0289338231086731E-2</v>
      </c>
      <c r="O177" s="108">
        <v>9.2336200177669525E-2</v>
      </c>
      <c r="P177" s="109">
        <v>7.8125E-2</v>
      </c>
      <c r="Q177" s="108">
        <v>4.6875E-2</v>
      </c>
      <c r="R177" s="108">
        <v>3.6966435611248016E-2</v>
      </c>
      <c r="S177" s="109"/>
      <c r="T177" s="108">
        <v>3.1147472560405731E-2</v>
      </c>
      <c r="U177" s="108">
        <v>2.9656281694769859E-2</v>
      </c>
      <c r="V177" s="108">
        <v>2.6100931689143181E-2</v>
      </c>
      <c r="W177" s="108">
        <v>1.6301145777106285E-2</v>
      </c>
      <c r="X177" s="108">
        <v>9.862976148724556E-3</v>
      </c>
      <c r="Y177" s="108">
        <v>3.5692296922206879E-2</v>
      </c>
      <c r="Z177" s="108">
        <v>5.523405596613884E-2</v>
      </c>
      <c r="AA177" s="108">
        <v>4.4130418449640274E-2</v>
      </c>
      <c r="AB177" s="108">
        <v>3.6194920539855957E-2</v>
      </c>
      <c r="AC177" s="108">
        <v>9.9919632077217102E-2</v>
      </c>
      <c r="AD177" s="108">
        <v>6.4060874283313751E-2</v>
      </c>
      <c r="AE177" s="108">
        <v>6.1221525073051453E-2</v>
      </c>
      <c r="AF177" s="108">
        <v>6.6544763743877411E-2</v>
      </c>
      <c r="AG177" s="108">
        <v>5.8846373111009598E-2</v>
      </c>
      <c r="AH177" s="108">
        <v>2.3382371291518211E-2</v>
      </c>
      <c r="AI177" s="108">
        <v>4.2798552662134171E-2</v>
      </c>
      <c r="AJ177" s="108">
        <v>4.0879044681787491E-2</v>
      </c>
      <c r="AK177" s="108">
        <v>2.5735853239893913E-2</v>
      </c>
      <c r="AL177" s="108">
        <v>4.6875E-2</v>
      </c>
      <c r="AM177" s="108">
        <v>3.9645224809646606E-2</v>
      </c>
      <c r="AN177" s="108">
        <v>8.990052342414856E-2</v>
      </c>
      <c r="AO177" s="108">
        <v>1.5169469639658928E-2</v>
      </c>
      <c r="AP177" s="108">
        <v>3.5473033785820007E-2</v>
      </c>
      <c r="AQ177" s="108">
        <v>1.9632995128631592E-2</v>
      </c>
      <c r="AR177" s="108">
        <v>6.3583619892597198E-2</v>
      </c>
      <c r="AS177" s="108">
        <v>2.3758957162499428E-2</v>
      </c>
      <c r="AT177" s="108">
        <v>1.8065579235553741E-2</v>
      </c>
      <c r="AU177" s="108">
        <v>9.1591542586684227E-3</v>
      </c>
      <c r="AV177" s="108">
        <v>7.2827950119972229E-2</v>
      </c>
      <c r="AW177" s="108">
        <v>2.0124258473515511E-2</v>
      </c>
      <c r="AX177" s="108">
        <v>3.915068507194519E-2</v>
      </c>
      <c r="AY177" s="108">
        <v>4.92071732878685E-2</v>
      </c>
      <c r="AZ177" s="108">
        <v>1.4390029013156891E-2</v>
      </c>
      <c r="BA177" s="108">
        <v>1.0361729189753532E-2</v>
      </c>
      <c r="BB177" s="108">
        <v>1.5826596645638347E-3</v>
      </c>
      <c r="BC177" s="108">
        <v>1.7584150657057762E-2</v>
      </c>
      <c r="BD177" s="108">
        <v>4.4468250125646591E-2</v>
      </c>
      <c r="BE177" s="108">
        <v>4.1184615343809128E-2</v>
      </c>
      <c r="BF177" s="108">
        <v>2.178184874355793E-2</v>
      </c>
      <c r="BG177" s="108">
        <v>1.3914324343204498E-2</v>
      </c>
      <c r="BH177" s="108">
        <v>2.3529049009084702E-2</v>
      </c>
      <c r="BI177" s="108">
        <v>6.1093255877494812E-2</v>
      </c>
      <c r="BJ177" s="108">
        <v>5.3429119288921356E-2</v>
      </c>
      <c r="BK177" s="108">
        <v>6.6864751279354095E-2</v>
      </c>
      <c r="BL177" s="108">
        <v>4.1227489709854126E-2</v>
      </c>
    </row>
    <row r="178" spans="1:64" x14ac:dyDescent="0.2">
      <c r="A178" t="s">
        <v>397</v>
      </c>
      <c r="B178" s="108">
        <v>2.7893686667084694E-2</v>
      </c>
      <c r="C178" s="108">
        <v>9.1200089082121849E-3</v>
      </c>
      <c r="D178" s="108">
        <v>9.7359558567404747E-3</v>
      </c>
      <c r="E178" s="108">
        <v>3.8319949060678482E-2</v>
      </c>
      <c r="F178" s="108">
        <v>2.2002998739480972E-3</v>
      </c>
      <c r="G178" s="108">
        <v>1.7987128347158432E-2</v>
      </c>
      <c r="H178" s="108">
        <v>2.4641456082463264E-2</v>
      </c>
      <c r="I178" s="108">
        <v>1.2902711518108845E-2</v>
      </c>
      <c r="J178" s="108">
        <v>6.9310597609728575E-4</v>
      </c>
      <c r="K178" s="108">
        <v>1.1300211772322655E-2</v>
      </c>
      <c r="L178" s="108">
        <v>9.0960608795285225E-3</v>
      </c>
      <c r="M178" s="108">
        <v>3.0615098774433136E-2</v>
      </c>
      <c r="N178" s="108">
        <v>1.7835661768913269E-2</v>
      </c>
      <c r="O178" s="108">
        <v>4.2105332016944885E-2</v>
      </c>
      <c r="P178" s="109">
        <v>1.8796332180500031E-2</v>
      </c>
      <c r="Q178" s="108">
        <v>2.2818943485617638E-2</v>
      </c>
      <c r="R178" s="108">
        <v>4.3217670172452927E-2</v>
      </c>
      <c r="S178" s="109"/>
      <c r="T178" s="108">
        <v>1.608673669397831E-2</v>
      </c>
      <c r="U178" s="108">
        <v>7.2341691702604294E-3</v>
      </c>
      <c r="V178" s="108">
        <v>1.7907939851284027E-2</v>
      </c>
      <c r="W178" s="108">
        <v>9.0532153844833374E-3</v>
      </c>
      <c r="X178" s="108">
        <v>6.7760865204036236E-3</v>
      </c>
      <c r="Y178" s="108">
        <v>2.2882213816046715E-2</v>
      </c>
      <c r="Z178" s="108">
        <v>0</v>
      </c>
      <c r="AA178" s="108">
        <v>2.4380495771765709E-2</v>
      </c>
      <c r="AB178" s="108">
        <v>1.5137198381125927E-2</v>
      </c>
      <c r="AC178" s="108">
        <v>2.310892753303051E-2</v>
      </c>
      <c r="AD178" s="108">
        <v>8.2068927586078644E-3</v>
      </c>
      <c r="AE178" s="108">
        <v>1.5625E-2</v>
      </c>
      <c r="AF178" s="108">
        <v>3.3633258193731308E-2</v>
      </c>
      <c r="AG178" s="108">
        <v>2.4674724787473679E-2</v>
      </c>
      <c r="AH178" s="108">
        <v>2.1520216017961502E-2</v>
      </c>
      <c r="AI178" s="108">
        <v>4.934382438659668E-2</v>
      </c>
      <c r="AJ178" s="108">
        <v>1.5355856157839298E-2</v>
      </c>
      <c r="AK178" s="108">
        <v>1.5625E-2</v>
      </c>
      <c r="AL178" s="108">
        <v>3.1531117856502533E-2</v>
      </c>
      <c r="AM178" s="108">
        <v>3.4605544060468674E-2</v>
      </c>
      <c r="AN178" s="108">
        <v>1.5852082287892699E-3</v>
      </c>
      <c r="AO178" s="108">
        <v>1.2372579425573349E-2</v>
      </c>
      <c r="AP178" s="108">
        <v>3.9780393242835999E-2</v>
      </c>
      <c r="AQ178" s="108">
        <v>1.7990624532103539E-2</v>
      </c>
      <c r="AR178" s="108">
        <v>1.4724093489348888E-2</v>
      </c>
      <c r="AS178" s="108">
        <v>1.1157223954796791E-2</v>
      </c>
      <c r="AT178" s="108">
        <v>3.3463872969150543E-2</v>
      </c>
      <c r="AU178" s="108">
        <v>1.4556010253727436E-2</v>
      </c>
      <c r="AV178" s="108">
        <v>1.2008177116513252E-2</v>
      </c>
      <c r="AW178" s="108">
        <v>1.5171653591096401E-2</v>
      </c>
      <c r="AX178" s="108">
        <v>1.2111184187233448E-2</v>
      </c>
      <c r="AY178" s="108">
        <v>6.1760498210787773E-3</v>
      </c>
      <c r="AZ178" s="108">
        <v>7.71331787109375E-3</v>
      </c>
      <c r="BA178" s="108">
        <v>2.1289861761033535E-3</v>
      </c>
      <c r="BB178" s="108">
        <v>0</v>
      </c>
      <c r="BC178" s="108">
        <v>3.7161302752792835E-3</v>
      </c>
      <c r="BD178" s="108">
        <v>1.0089468210935593E-2</v>
      </c>
      <c r="BE178" s="108">
        <v>8.2369232550263405E-3</v>
      </c>
      <c r="BF178" s="108">
        <v>9.4057237729430199E-3</v>
      </c>
      <c r="BG178" s="108">
        <v>9.0740462765097618E-3</v>
      </c>
      <c r="BH178" s="108">
        <v>5.4822354577481747E-3</v>
      </c>
      <c r="BI178" s="108">
        <v>9.6468888223171234E-3</v>
      </c>
      <c r="BJ178" s="108">
        <v>0</v>
      </c>
      <c r="BK178" s="108">
        <v>0</v>
      </c>
      <c r="BL178" s="108">
        <v>2.9408719390630722E-2</v>
      </c>
    </row>
    <row r="179" spans="1:64" x14ac:dyDescent="0.2">
      <c r="A179" t="s">
        <v>401</v>
      </c>
      <c r="B179" s="108">
        <v>0.64955675601959229</v>
      </c>
      <c r="C179" s="108">
        <v>0.39409255981445313</v>
      </c>
      <c r="D179" s="108">
        <v>0.3491223156452179</v>
      </c>
      <c r="E179" s="108">
        <v>0.57122588157653809</v>
      </c>
      <c r="F179" s="108">
        <v>0.51925176382064819</v>
      </c>
      <c r="G179" s="108">
        <v>0.56068319082260132</v>
      </c>
      <c r="H179" s="108">
        <v>0.44854947924613953</v>
      </c>
      <c r="I179" s="108">
        <v>0.55508202314376831</v>
      </c>
      <c r="J179" s="108">
        <v>0.45189699530601501</v>
      </c>
      <c r="K179" s="108">
        <v>0.49706625938415527</v>
      </c>
      <c r="L179" s="108">
        <v>0.38610374927520752</v>
      </c>
      <c r="M179" s="108">
        <v>0.56980496644973755</v>
      </c>
      <c r="N179" s="108">
        <v>0.56076681613922119</v>
      </c>
      <c r="O179" s="108">
        <v>0.7473679780960083</v>
      </c>
      <c r="P179" s="109">
        <v>0.69570893049240112</v>
      </c>
      <c r="Q179" s="108">
        <v>0.578125</v>
      </c>
      <c r="R179" s="108">
        <v>0.62462538480758667</v>
      </c>
      <c r="S179" s="109"/>
      <c r="T179" s="108">
        <v>0.49614295363426208</v>
      </c>
      <c r="U179" s="108">
        <v>0.50631558895111084</v>
      </c>
      <c r="V179" s="108">
        <v>0.55390161275863647</v>
      </c>
      <c r="W179" s="108">
        <v>0.6014174222946167</v>
      </c>
      <c r="X179" s="108">
        <v>0.5434422492980957</v>
      </c>
      <c r="Y179" s="108">
        <v>0.5049591064453125</v>
      </c>
      <c r="Z179" s="108">
        <v>0.59812247753143311</v>
      </c>
      <c r="AA179" s="108">
        <v>0.52255338430404663</v>
      </c>
      <c r="AB179" s="108">
        <v>0.57460451126098633</v>
      </c>
      <c r="AC179" s="108">
        <v>0.63748574256896973</v>
      </c>
      <c r="AD179" s="108">
        <v>0.4683975875377655</v>
      </c>
      <c r="AE179" s="108">
        <v>0.56811147928237915</v>
      </c>
      <c r="AF179" s="108">
        <v>0.61078763008117676</v>
      </c>
      <c r="AG179" s="108">
        <v>0.77926945686340332</v>
      </c>
      <c r="AH179" s="108">
        <v>0.54297113418579102</v>
      </c>
      <c r="AI179" s="108">
        <v>0.55892390012741089</v>
      </c>
      <c r="AJ179" s="108">
        <v>0.53350663185119629</v>
      </c>
      <c r="AK179" s="108">
        <v>0.49418321251869202</v>
      </c>
      <c r="AL179" s="108">
        <v>0.69538050889968872</v>
      </c>
      <c r="AM179" s="108">
        <v>0.74611937999725342</v>
      </c>
      <c r="AN179" s="108">
        <v>0.60190314054489136</v>
      </c>
      <c r="AO179" s="108">
        <v>0.52991211414337158</v>
      </c>
      <c r="AP179" s="108">
        <v>0.546875</v>
      </c>
      <c r="AQ179" s="108">
        <v>0.53112959861755371</v>
      </c>
      <c r="AR179" s="108">
        <v>0.61743456125259399</v>
      </c>
      <c r="AS179" s="108">
        <v>0.51103323698043823</v>
      </c>
      <c r="AT179" s="108">
        <v>0.60408985614776611</v>
      </c>
      <c r="AU179" s="108">
        <v>0.4921284019947052</v>
      </c>
      <c r="AV179" s="108">
        <v>0.72313934564590454</v>
      </c>
      <c r="AW179" s="108">
        <v>0.52471905946731567</v>
      </c>
      <c r="AX179" s="108">
        <v>0.53675490617752075</v>
      </c>
      <c r="AY179" s="108">
        <v>0.59706664085388184</v>
      </c>
      <c r="AZ179" s="108">
        <v>0.42885798215866089</v>
      </c>
      <c r="BA179" s="108">
        <v>0.32398724555969238</v>
      </c>
      <c r="BB179" s="108">
        <v>0.32018643617630005</v>
      </c>
      <c r="BC179" s="108">
        <v>0.42277997732162476</v>
      </c>
      <c r="BD179" s="108">
        <v>0.52629488706588745</v>
      </c>
      <c r="BE179" s="108">
        <v>0.47274267673492432</v>
      </c>
      <c r="BF179" s="108">
        <v>0.38663351535797119</v>
      </c>
      <c r="BG179" s="108">
        <v>0.37416458129882813</v>
      </c>
      <c r="BH179" s="108">
        <v>0.37656131386756897</v>
      </c>
      <c r="BI179" s="108">
        <v>0.54742926359176636</v>
      </c>
      <c r="BJ179" s="108">
        <v>0.51003634929656982</v>
      </c>
      <c r="BK179" s="108">
        <v>0.50388228893280029</v>
      </c>
      <c r="BL179" s="108">
        <v>0.53360748291015625</v>
      </c>
    </row>
    <row r="180" spans="1:64" x14ac:dyDescent="0.2">
      <c r="A180" t="s">
        <v>403</v>
      </c>
      <c r="B180" s="108">
        <v>0.90571695566177368</v>
      </c>
      <c r="C180" s="108">
        <v>0.49199050664901733</v>
      </c>
      <c r="D180" s="108">
        <v>0.40373089909553528</v>
      </c>
      <c r="E180" s="108">
        <v>0.57611030340194702</v>
      </c>
      <c r="F180" s="108">
        <v>0.78437840938568115</v>
      </c>
      <c r="G180" s="108">
        <v>0.5712316632270813</v>
      </c>
      <c r="H180" s="108">
        <v>0.36683905124664307</v>
      </c>
      <c r="I180" s="108">
        <v>0.55735164880752563</v>
      </c>
      <c r="J180" s="108">
        <v>0.38486170768737793</v>
      </c>
      <c r="K180" s="108">
        <v>0.57446402311325073</v>
      </c>
      <c r="L180" s="108">
        <v>0.59028297662734985</v>
      </c>
      <c r="M180" s="108">
        <v>0.84445089101791382</v>
      </c>
      <c r="N180" s="108">
        <v>0.65720498561859131</v>
      </c>
      <c r="O180" s="108">
        <v>0.91080343723297119</v>
      </c>
      <c r="P180" s="109">
        <v>0.80401051044464111</v>
      </c>
      <c r="Q180" s="108">
        <v>0.85589241981506348</v>
      </c>
      <c r="R180" s="108">
        <v>0.88910067081451416</v>
      </c>
      <c r="S180" s="109"/>
      <c r="T180" s="108">
        <v>0.87147074937820435</v>
      </c>
      <c r="U180" s="108">
        <v>0.78081613779067993</v>
      </c>
      <c r="V180" s="108">
        <v>0.83421283960342407</v>
      </c>
      <c r="W180" s="108">
        <v>0.7563319206237793</v>
      </c>
      <c r="X180" s="108">
        <v>0.77142000198364258</v>
      </c>
      <c r="Y180" s="108">
        <v>0.66735571622848511</v>
      </c>
      <c r="Z180" s="108">
        <v>0.80124747753143311</v>
      </c>
      <c r="AA180" s="108">
        <v>0.78943705558776855</v>
      </c>
      <c r="AB180" s="108">
        <v>0.72826498746871948</v>
      </c>
      <c r="AC180" s="108">
        <v>0.65442508459091187</v>
      </c>
      <c r="AD180" s="108">
        <v>0.58243805170059204</v>
      </c>
      <c r="AE180" s="108">
        <v>0.57450389862060547</v>
      </c>
      <c r="AF180" s="108">
        <v>0.69927340745925903</v>
      </c>
      <c r="AG180" s="108">
        <v>0.91274696588516235</v>
      </c>
      <c r="AH180" s="108">
        <v>0.73789453506469727</v>
      </c>
      <c r="AI180" s="108">
        <v>0.73188161849975586</v>
      </c>
      <c r="AJ180" s="108">
        <v>0.64597642421722412</v>
      </c>
      <c r="AK180" s="108">
        <v>0.64430427551269531</v>
      </c>
      <c r="AL180" s="108">
        <v>0.8044743537902832</v>
      </c>
      <c r="AM180" s="108">
        <v>0.83392679691314697</v>
      </c>
      <c r="AN180" s="108">
        <v>0.80027252435684204</v>
      </c>
      <c r="AO180" s="108">
        <v>0.50618630647659302</v>
      </c>
      <c r="AP180" s="108">
        <v>0.62516868114471436</v>
      </c>
      <c r="AQ180" s="108">
        <v>0.67986851930618286</v>
      </c>
      <c r="AR180" s="108">
        <v>0.69174498319625854</v>
      </c>
      <c r="AS180" s="108">
        <v>0.81929606199264526</v>
      </c>
      <c r="AT180" s="108">
        <v>0.85504984855651855</v>
      </c>
      <c r="AU180" s="108">
        <v>0.80042552947998047</v>
      </c>
      <c r="AV180" s="108">
        <v>0.94770729541778564</v>
      </c>
      <c r="AW180" s="108">
        <v>0.86125272512435913</v>
      </c>
      <c r="AX180" s="108">
        <v>0.84662038087844849</v>
      </c>
      <c r="AY180" s="108">
        <v>0.8738136887550354</v>
      </c>
      <c r="AZ180" s="108">
        <v>0.74046611785888672</v>
      </c>
      <c r="BA180" s="108">
        <v>0.53881984949111938</v>
      </c>
      <c r="BB180" s="108">
        <v>0.7437102198600769</v>
      </c>
      <c r="BC180" s="108">
        <v>0.6623874306678772</v>
      </c>
      <c r="BD180" s="108">
        <v>0.6925588846206665</v>
      </c>
      <c r="BE180" s="108">
        <v>0.61277037858963013</v>
      </c>
      <c r="BF180" s="108">
        <v>0.61336320638656616</v>
      </c>
      <c r="BG180" s="108">
        <v>0.62386131286621094</v>
      </c>
      <c r="BH180" s="108">
        <v>0.66372352838516235</v>
      </c>
      <c r="BI180" s="108">
        <v>0.60289382934570313</v>
      </c>
      <c r="BJ180" s="108">
        <v>0.7249332070350647</v>
      </c>
      <c r="BK180" s="108">
        <v>0.78144961595535278</v>
      </c>
      <c r="BL180" s="108">
        <v>0.74551606178283691</v>
      </c>
    </row>
    <row r="181" spans="1:64" x14ac:dyDescent="0.2">
      <c r="A181" t="s">
        <v>407</v>
      </c>
      <c r="B181" s="108">
        <v>6.150633841753006E-2</v>
      </c>
      <c r="C181" s="108">
        <v>6.0893282294273376E-2</v>
      </c>
      <c r="D181" s="108">
        <v>7.3644313961267471E-3</v>
      </c>
      <c r="E181" s="108">
        <v>9.5889829099178314E-3</v>
      </c>
      <c r="F181" s="108">
        <v>3.0803080648183823E-2</v>
      </c>
      <c r="G181" s="108">
        <v>3.1631585210561752E-2</v>
      </c>
      <c r="H181" s="108">
        <v>5.2680905908346176E-2</v>
      </c>
      <c r="I181" s="108">
        <v>5.1945090293884277E-2</v>
      </c>
      <c r="J181" s="108">
        <v>1.6318105161190033E-2</v>
      </c>
      <c r="K181" s="108">
        <v>3.7260308861732483E-2</v>
      </c>
      <c r="L181" s="108">
        <v>1.7224526032805443E-2</v>
      </c>
      <c r="M181" s="108">
        <v>2.5739457458257675E-2</v>
      </c>
      <c r="N181" s="108">
        <v>1.8940994516015053E-2</v>
      </c>
      <c r="O181" s="108">
        <v>1.7913030460476875E-2</v>
      </c>
      <c r="P181" s="109">
        <v>2.3041082546114922E-2</v>
      </c>
      <c r="Q181" s="108">
        <v>2.1581828594207764E-2</v>
      </c>
      <c r="R181" s="108">
        <v>3.5334933549165726E-2</v>
      </c>
      <c r="S181" s="109"/>
      <c r="T181" s="108">
        <v>9.0693682432174683E-3</v>
      </c>
      <c r="U181" s="108">
        <v>2.242211252450943E-2</v>
      </c>
      <c r="V181" s="108">
        <v>3.9442989975214005E-2</v>
      </c>
      <c r="W181" s="108">
        <v>2.2646430879831314E-2</v>
      </c>
      <c r="X181" s="108">
        <v>1.5095618553459644E-2</v>
      </c>
      <c r="Y181" s="108">
        <v>2.5103360414505005E-2</v>
      </c>
      <c r="Z181" s="108">
        <v>1.7811231315135956E-2</v>
      </c>
      <c r="AA181" s="108">
        <v>1.5481901355087757E-2</v>
      </c>
      <c r="AB181" s="108">
        <v>2.1057721227407455E-2</v>
      </c>
      <c r="AC181" s="108">
        <v>3.190714493393898E-2</v>
      </c>
      <c r="AD181" s="108">
        <v>3.4908737987279892E-2</v>
      </c>
      <c r="AE181" s="108">
        <v>7.5568050146102905E-2</v>
      </c>
      <c r="AF181" s="108">
        <v>1.0248752310872078E-2</v>
      </c>
      <c r="AG181" s="108">
        <v>2.1101858466863632E-2</v>
      </c>
      <c r="AH181" s="108">
        <v>1.5795152634382248E-2</v>
      </c>
      <c r="AI181" s="108">
        <v>4.758036881685257E-2</v>
      </c>
      <c r="AJ181" s="108">
        <v>1.3696254231035709E-2</v>
      </c>
      <c r="AK181" s="108">
        <v>2.1139146760106087E-2</v>
      </c>
      <c r="AL181" s="108">
        <v>4.6875E-2</v>
      </c>
      <c r="AM181" s="108">
        <v>2.7247689664363861E-2</v>
      </c>
      <c r="AN181" s="108">
        <v>2.5815311819314957E-2</v>
      </c>
      <c r="AO181" s="108">
        <v>1.2372579425573349E-2</v>
      </c>
      <c r="AP181" s="108">
        <v>1.4189213514328003E-2</v>
      </c>
      <c r="AQ181" s="108">
        <v>1.3063510879874229E-2</v>
      </c>
      <c r="AR181" s="108">
        <v>2.2441115230321884E-2</v>
      </c>
      <c r="AS181" s="108">
        <v>2.3758957162499428E-2</v>
      </c>
      <c r="AT181" s="108">
        <v>5.3449481725692749E-2</v>
      </c>
      <c r="AU181" s="108">
        <v>4.648975282907486E-2</v>
      </c>
      <c r="AV181" s="108">
        <v>1.8369046971201897E-2</v>
      </c>
      <c r="AW181" s="108">
        <v>1.4703439548611641E-2</v>
      </c>
      <c r="AX181" s="108">
        <v>7.7255712822079659E-3</v>
      </c>
      <c r="AY181" s="108">
        <v>1.8598811700940132E-2</v>
      </c>
      <c r="AZ181" s="108">
        <v>1.4908332377672195E-2</v>
      </c>
      <c r="BA181" s="108">
        <v>2.1289861761033535E-3</v>
      </c>
      <c r="BB181" s="108">
        <v>1.8753224983811378E-2</v>
      </c>
      <c r="BC181" s="108">
        <v>1.0185624472796917E-2</v>
      </c>
      <c r="BD181" s="108">
        <v>1.5893986448645592E-2</v>
      </c>
      <c r="BE181" s="108">
        <v>2.725730836391449E-2</v>
      </c>
      <c r="BF181" s="108">
        <v>2.2276371717453003E-2</v>
      </c>
      <c r="BG181" s="108">
        <v>2.8887089341878891E-2</v>
      </c>
      <c r="BH181" s="108">
        <v>1.3994320295751095E-2</v>
      </c>
      <c r="BI181" s="108">
        <v>4.6624034643173218E-2</v>
      </c>
      <c r="BJ181" s="108">
        <v>3.7095393985509872E-2</v>
      </c>
      <c r="BK181" s="108">
        <v>2.7792267501354218E-2</v>
      </c>
      <c r="BL181" s="108">
        <v>2.3637538775801659E-2</v>
      </c>
    </row>
    <row r="182" spans="1:64" x14ac:dyDescent="0.2">
      <c r="A182" t="s">
        <v>546</v>
      </c>
      <c r="B182" s="108">
        <v>0.27474027872085571</v>
      </c>
      <c r="C182" s="108">
        <v>0.22932916879653931</v>
      </c>
      <c r="D182" s="108">
        <v>0.17481102049350739</v>
      </c>
      <c r="E182" s="108">
        <v>0.19757936894893646</v>
      </c>
      <c r="F182" s="108">
        <v>0.17051710188388824</v>
      </c>
      <c r="G182" s="108">
        <v>0.20301839709281921</v>
      </c>
      <c r="H182" s="108">
        <v>0.27025339007377625</v>
      </c>
      <c r="I182" s="108">
        <v>0.24651475250720978</v>
      </c>
      <c r="J182" s="108">
        <v>0.21474958956241608</v>
      </c>
      <c r="K182" s="108">
        <v>0.23048971593379974</v>
      </c>
      <c r="L182" s="108">
        <v>0.16915027797222137</v>
      </c>
      <c r="M182" s="108">
        <v>0.1607217937707901</v>
      </c>
      <c r="N182" s="108">
        <v>0.21038483083248138</v>
      </c>
      <c r="O182" s="108">
        <v>0.47072798013687134</v>
      </c>
      <c r="P182" s="109">
        <v>0.28866606950759888</v>
      </c>
      <c r="Q182" s="108">
        <v>0.16367268562316895</v>
      </c>
      <c r="R182" s="108">
        <v>0.27751874923706055</v>
      </c>
      <c r="S182" s="109"/>
      <c r="T182" s="108">
        <v>0.30515411496162415</v>
      </c>
      <c r="U182" s="108">
        <v>0.34032762050628662</v>
      </c>
      <c r="V182" s="108">
        <v>0.21816681325435638</v>
      </c>
      <c r="W182" s="108">
        <v>0.2046937495470047</v>
      </c>
      <c r="X182" s="108">
        <v>0.18946695327758789</v>
      </c>
      <c r="Y182" s="108">
        <v>0.25333172082901001</v>
      </c>
      <c r="Z182" s="108">
        <v>0.26202428340911865</v>
      </c>
      <c r="AA182" s="108">
        <v>0.17001256346702576</v>
      </c>
      <c r="AB182" s="108">
        <v>0.23728232085704803</v>
      </c>
      <c r="AC182" s="108">
        <v>0.31644287705421448</v>
      </c>
      <c r="AD182" s="108">
        <v>0.21227185428142548</v>
      </c>
      <c r="AE182" s="108">
        <v>0.25049760937690735</v>
      </c>
      <c r="AF182" s="108">
        <v>0.30053406953811646</v>
      </c>
      <c r="AG182" s="108">
        <v>0.34082555770874023</v>
      </c>
      <c r="AH182" s="108">
        <v>0.18099038302898407</v>
      </c>
      <c r="AI182" s="108">
        <v>0.27744424343109131</v>
      </c>
      <c r="AJ182" s="108">
        <v>0.17368350923061371</v>
      </c>
      <c r="AK182" s="108">
        <v>0.25919342041015625</v>
      </c>
      <c r="AL182" s="108">
        <v>0.2694246768951416</v>
      </c>
      <c r="AM182" s="108">
        <v>0.35381662845611572</v>
      </c>
      <c r="AN182" s="108">
        <v>0.28849697113037109</v>
      </c>
      <c r="AO182" s="108">
        <v>0.25389906764030457</v>
      </c>
      <c r="AP182" s="108">
        <v>0.28690880537033081</v>
      </c>
      <c r="AQ182" s="108">
        <v>0.21245183050632477</v>
      </c>
      <c r="AR182" s="108">
        <v>0.22206959128379822</v>
      </c>
      <c r="AS182" s="108">
        <v>0.28360912203788757</v>
      </c>
      <c r="AT182" s="108">
        <v>0.19381231069564819</v>
      </c>
      <c r="AU182" s="108">
        <v>0.31602254509925842</v>
      </c>
      <c r="AV182" s="108">
        <v>0.46351653337478638</v>
      </c>
      <c r="AW182" s="108">
        <v>0.24641154706478119</v>
      </c>
      <c r="AX182" s="108">
        <v>0.20432165265083313</v>
      </c>
      <c r="AY182" s="108">
        <v>0.27036449313163757</v>
      </c>
      <c r="AZ182" s="108">
        <v>0.21056929230690002</v>
      </c>
      <c r="BA182" s="108">
        <v>0.2097933441400528</v>
      </c>
      <c r="BB182" s="108">
        <v>0.19840981066226959</v>
      </c>
      <c r="BC182" s="108">
        <v>0.17949017882347107</v>
      </c>
      <c r="BD182" s="108">
        <v>0.25198674201965332</v>
      </c>
      <c r="BE182" s="108">
        <v>0.20821808278560638</v>
      </c>
      <c r="BF182" s="108">
        <v>0.20346426963806152</v>
      </c>
      <c r="BG182" s="108">
        <v>0.20099660754203796</v>
      </c>
      <c r="BH182" s="108">
        <v>0.14859685301780701</v>
      </c>
      <c r="BI182" s="108">
        <v>0.23794472217559814</v>
      </c>
      <c r="BJ182" s="108">
        <v>0.26109391450881958</v>
      </c>
      <c r="BK182" s="108">
        <v>0.26105529069900513</v>
      </c>
      <c r="BL182" s="108">
        <v>0.2760479748249054</v>
      </c>
    </row>
    <row r="183" spans="1:64" x14ac:dyDescent="0.2">
      <c r="A183" t="s">
        <v>547</v>
      </c>
      <c r="B183" s="108">
        <v>0.69698596000671387</v>
      </c>
      <c r="C183" s="108">
        <v>0.58044493198394775</v>
      </c>
      <c r="D183" s="108">
        <v>0.46314606070518494</v>
      </c>
      <c r="E183" s="108">
        <v>0.68494659662246704</v>
      </c>
      <c r="F183" s="108">
        <v>0.62376213073730469</v>
      </c>
      <c r="G183" s="108">
        <v>0.53835338354110718</v>
      </c>
      <c r="H183" s="108">
        <v>0.44533893465995789</v>
      </c>
      <c r="I183" s="108">
        <v>0.51288765668869019</v>
      </c>
      <c r="J183" s="108">
        <v>0.61284053325653076</v>
      </c>
      <c r="K183" s="108">
        <v>0.66481804847717285</v>
      </c>
      <c r="L183" s="108">
        <v>0.396555095911026</v>
      </c>
      <c r="M183" s="108">
        <v>0.61418378353118896</v>
      </c>
      <c r="N183" s="108">
        <v>0.546875</v>
      </c>
      <c r="O183" s="108">
        <v>0.80424672365188599</v>
      </c>
      <c r="P183" s="109">
        <v>0.76534444093704224</v>
      </c>
      <c r="Q183" s="108">
        <v>0.64287048578262329</v>
      </c>
      <c r="R183" s="108">
        <v>0.67817306518554688</v>
      </c>
      <c r="S183" s="109"/>
      <c r="T183" s="108">
        <v>0.61457681655883789</v>
      </c>
      <c r="U183" s="108">
        <v>0.43976888060569763</v>
      </c>
      <c r="V183" s="108">
        <v>0.53505492210388184</v>
      </c>
      <c r="W183" s="108">
        <v>0.56884193420410156</v>
      </c>
      <c r="X183" s="108">
        <v>0.66112029552459717</v>
      </c>
      <c r="Y183" s="108">
        <v>0.6953510046005249</v>
      </c>
      <c r="Z183" s="108">
        <v>0.66679531335830688</v>
      </c>
      <c r="AA183" s="108">
        <v>0.39703381061553955</v>
      </c>
      <c r="AB183" s="108">
        <v>0.58967894315719604</v>
      </c>
      <c r="AC183" s="108">
        <v>0.52902323007583618</v>
      </c>
      <c r="AD183" s="108">
        <v>0.70198380947113037</v>
      </c>
      <c r="AE183" s="108">
        <v>0.61448889970779419</v>
      </c>
      <c r="AF183" s="108">
        <v>0.60664963722229004</v>
      </c>
      <c r="AG183" s="108">
        <v>0.61243677139282227</v>
      </c>
      <c r="AH183" s="108">
        <v>0.56138777732849121</v>
      </c>
      <c r="AI183" s="108">
        <v>0.53599900007247925</v>
      </c>
      <c r="AJ183" s="108">
        <v>0.50176447629928589</v>
      </c>
      <c r="AK183" s="108">
        <v>0.4748789370059967</v>
      </c>
      <c r="AL183" s="108">
        <v>0.58164358139038086</v>
      </c>
      <c r="AM183" s="108">
        <v>0.65470027923583984</v>
      </c>
      <c r="AN183" s="108">
        <v>0.54710209369659424</v>
      </c>
      <c r="AO183" s="108">
        <v>0.5</v>
      </c>
      <c r="AP183" s="108">
        <v>0.5270269513130188</v>
      </c>
      <c r="AQ183" s="108">
        <v>0.49675297737121582</v>
      </c>
      <c r="AR183" s="108">
        <v>0.44124048948287964</v>
      </c>
      <c r="AS183" s="108">
        <v>0.45315581560134888</v>
      </c>
      <c r="AT183" s="108">
        <v>0.48815807700157166</v>
      </c>
      <c r="AU183" s="108">
        <v>0.52594327926635742</v>
      </c>
      <c r="AV183" s="108">
        <v>0.76824641227722168</v>
      </c>
      <c r="AW183" s="108">
        <v>0.50543183088302612</v>
      </c>
      <c r="AX183" s="108">
        <v>0.48569601774215698</v>
      </c>
      <c r="AY183" s="108">
        <v>0.57363533973693848</v>
      </c>
      <c r="AZ183" s="108">
        <v>0.49552777409553528</v>
      </c>
      <c r="BA183" s="108">
        <v>0.42193055152893066</v>
      </c>
      <c r="BB183" s="108">
        <v>0.47503548860549927</v>
      </c>
      <c r="BC183" s="108">
        <v>0.44315123558044434</v>
      </c>
      <c r="BD183" s="108">
        <v>0.5336189866065979</v>
      </c>
      <c r="BE183" s="108">
        <v>0.58152037858963013</v>
      </c>
      <c r="BF183" s="108">
        <v>0.50692987442016602</v>
      </c>
      <c r="BG183" s="108">
        <v>0.48986750841140747</v>
      </c>
      <c r="BH183" s="108">
        <v>0.45346927642822266</v>
      </c>
      <c r="BI183" s="108">
        <v>0.66639715433120728</v>
      </c>
      <c r="BJ183" s="108">
        <v>0.65118575096130371</v>
      </c>
      <c r="BK183" s="108">
        <v>0.59826713800430298</v>
      </c>
      <c r="BL183" s="108">
        <v>0.64149707555770874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topLeftCell="J1" workbookViewId="0">
      <selection activeCell="A16" sqref="A16"/>
    </sheetView>
  </sheetViews>
  <sheetFormatPr defaultColWidth="8.85546875" defaultRowHeight="12.75" x14ac:dyDescent="0.2"/>
  <cols>
    <col min="1" max="1" width="58" style="70" customWidth="1"/>
    <col min="2" max="2" width="144.7109375" style="70" bestFit="1" customWidth="1"/>
    <col min="3" max="3" width="19.7109375" style="96" customWidth="1"/>
    <col min="4" max="7" width="15.140625" style="70" customWidth="1"/>
    <col min="8" max="8" width="17" style="70" customWidth="1"/>
    <col min="9" max="14" width="15.140625" style="70" customWidth="1"/>
    <col min="15" max="15" width="15.85546875" style="70" customWidth="1"/>
    <col min="16" max="16" width="15.140625" style="70" customWidth="1"/>
    <col min="17" max="18" width="15.140625" style="85" customWidth="1"/>
    <col min="19" max="20" width="15.140625" style="70" customWidth="1"/>
    <col min="21" max="21" width="15.140625" style="85" customWidth="1"/>
    <col min="22" max="33" width="15.140625" style="70" customWidth="1"/>
    <col min="34" max="34" width="19.42578125" style="70" customWidth="1"/>
    <col min="35" max="51" width="15.140625" style="70" customWidth="1"/>
    <col min="52" max="52" width="20.42578125" style="70" customWidth="1"/>
    <col min="53" max="53" width="19.42578125" style="70" customWidth="1"/>
    <col min="54" max="56" width="15.140625" style="70" customWidth="1"/>
    <col min="57" max="66" width="15.140625" style="70" bestFit="1" customWidth="1"/>
    <col min="67" max="257" width="9.140625" style="70"/>
    <col min="258" max="258" width="112.28515625" style="70" customWidth="1"/>
    <col min="259" max="259" width="19.7109375" style="70" customWidth="1"/>
    <col min="260" max="284" width="9.140625" style="70"/>
    <col min="285" max="289" width="15.140625" style="70" bestFit="1" customWidth="1"/>
    <col min="290" max="290" width="19.42578125" style="70" bestFit="1" customWidth="1"/>
    <col min="291" max="307" width="15.140625" style="70" bestFit="1" customWidth="1"/>
    <col min="308" max="308" width="20.42578125" style="70" bestFit="1" customWidth="1"/>
    <col min="309" max="309" width="19.42578125" style="70" bestFit="1" customWidth="1"/>
    <col min="310" max="322" width="15.140625" style="70" bestFit="1" customWidth="1"/>
    <col min="323" max="513" width="9.140625" style="70"/>
    <col min="514" max="514" width="112.28515625" style="70" customWidth="1"/>
    <col min="515" max="515" width="19.7109375" style="70" customWidth="1"/>
    <col min="516" max="540" width="9.140625" style="70"/>
    <col min="541" max="545" width="15.140625" style="70" bestFit="1" customWidth="1"/>
    <col min="546" max="546" width="19.42578125" style="70" bestFit="1" customWidth="1"/>
    <col min="547" max="563" width="15.140625" style="70" bestFit="1" customWidth="1"/>
    <col min="564" max="564" width="20.42578125" style="70" bestFit="1" customWidth="1"/>
    <col min="565" max="565" width="19.42578125" style="70" bestFit="1" customWidth="1"/>
    <col min="566" max="578" width="15.140625" style="70" bestFit="1" customWidth="1"/>
    <col min="579" max="769" width="9.140625" style="70"/>
    <col min="770" max="770" width="112.28515625" style="70" customWidth="1"/>
    <col min="771" max="771" width="19.7109375" style="70" customWidth="1"/>
    <col min="772" max="796" width="9.140625" style="70"/>
    <col min="797" max="801" width="15.140625" style="70" bestFit="1" customWidth="1"/>
    <col min="802" max="802" width="19.42578125" style="70" bestFit="1" customWidth="1"/>
    <col min="803" max="819" width="15.140625" style="70" bestFit="1" customWidth="1"/>
    <col min="820" max="820" width="20.42578125" style="70" bestFit="1" customWidth="1"/>
    <col min="821" max="821" width="19.42578125" style="70" bestFit="1" customWidth="1"/>
    <col min="822" max="834" width="15.140625" style="70" bestFit="1" customWidth="1"/>
    <col min="835" max="1025" width="9.140625" style="70"/>
    <col min="1026" max="1026" width="112.28515625" style="70" customWidth="1"/>
    <col min="1027" max="1027" width="19.7109375" style="70" customWidth="1"/>
    <col min="1028" max="1052" width="9.140625" style="70"/>
    <col min="1053" max="1057" width="15.140625" style="70" bestFit="1" customWidth="1"/>
    <col min="1058" max="1058" width="19.42578125" style="70" bestFit="1" customWidth="1"/>
    <col min="1059" max="1075" width="15.140625" style="70" bestFit="1" customWidth="1"/>
    <col min="1076" max="1076" width="20.42578125" style="70" bestFit="1" customWidth="1"/>
    <col min="1077" max="1077" width="19.42578125" style="70" bestFit="1" customWidth="1"/>
    <col min="1078" max="1090" width="15.140625" style="70" bestFit="1" customWidth="1"/>
    <col min="1091" max="1281" width="9.140625" style="70"/>
    <col min="1282" max="1282" width="112.28515625" style="70" customWidth="1"/>
    <col min="1283" max="1283" width="19.7109375" style="70" customWidth="1"/>
    <col min="1284" max="1308" width="9.140625" style="70"/>
    <col min="1309" max="1313" width="15.140625" style="70" bestFit="1" customWidth="1"/>
    <col min="1314" max="1314" width="19.42578125" style="70" bestFit="1" customWidth="1"/>
    <col min="1315" max="1331" width="15.140625" style="70" bestFit="1" customWidth="1"/>
    <col min="1332" max="1332" width="20.42578125" style="70" bestFit="1" customWidth="1"/>
    <col min="1333" max="1333" width="19.42578125" style="70" bestFit="1" customWidth="1"/>
    <col min="1334" max="1346" width="15.140625" style="70" bestFit="1" customWidth="1"/>
    <col min="1347" max="1537" width="9.140625" style="70"/>
    <col min="1538" max="1538" width="112.28515625" style="70" customWidth="1"/>
    <col min="1539" max="1539" width="19.7109375" style="70" customWidth="1"/>
    <col min="1540" max="1564" width="9.140625" style="70"/>
    <col min="1565" max="1569" width="15.140625" style="70" bestFit="1" customWidth="1"/>
    <col min="1570" max="1570" width="19.42578125" style="70" bestFit="1" customWidth="1"/>
    <col min="1571" max="1587" width="15.140625" style="70" bestFit="1" customWidth="1"/>
    <col min="1588" max="1588" width="20.42578125" style="70" bestFit="1" customWidth="1"/>
    <col min="1589" max="1589" width="19.42578125" style="70" bestFit="1" customWidth="1"/>
    <col min="1590" max="1602" width="15.140625" style="70" bestFit="1" customWidth="1"/>
    <col min="1603" max="1793" width="9.140625" style="70"/>
    <col min="1794" max="1794" width="112.28515625" style="70" customWidth="1"/>
    <col min="1795" max="1795" width="19.7109375" style="70" customWidth="1"/>
    <col min="1796" max="1820" width="9.140625" style="70"/>
    <col min="1821" max="1825" width="15.140625" style="70" bestFit="1" customWidth="1"/>
    <col min="1826" max="1826" width="19.42578125" style="70" bestFit="1" customWidth="1"/>
    <col min="1827" max="1843" width="15.140625" style="70" bestFit="1" customWidth="1"/>
    <col min="1844" max="1844" width="20.42578125" style="70" bestFit="1" customWidth="1"/>
    <col min="1845" max="1845" width="19.42578125" style="70" bestFit="1" customWidth="1"/>
    <col min="1846" max="1858" width="15.140625" style="70" bestFit="1" customWidth="1"/>
    <col min="1859" max="2049" width="9.140625" style="70"/>
    <col min="2050" max="2050" width="112.28515625" style="70" customWidth="1"/>
    <col min="2051" max="2051" width="19.7109375" style="70" customWidth="1"/>
    <col min="2052" max="2076" width="9.140625" style="70"/>
    <col min="2077" max="2081" width="15.140625" style="70" bestFit="1" customWidth="1"/>
    <col min="2082" max="2082" width="19.42578125" style="70" bestFit="1" customWidth="1"/>
    <col min="2083" max="2099" width="15.140625" style="70" bestFit="1" customWidth="1"/>
    <col min="2100" max="2100" width="20.42578125" style="70" bestFit="1" customWidth="1"/>
    <col min="2101" max="2101" width="19.42578125" style="70" bestFit="1" customWidth="1"/>
    <col min="2102" max="2114" width="15.140625" style="70" bestFit="1" customWidth="1"/>
    <col min="2115" max="2305" width="9.140625" style="70"/>
    <col min="2306" max="2306" width="112.28515625" style="70" customWidth="1"/>
    <col min="2307" max="2307" width="19.7109375" style="70" customWidth="1"/>
    <col min="2308" max="2332" width="9.140625" style="70"/>
    <col min="2333" max="2337" width="15.140625" style="70" bestFit="1" customWidth="1"/>
    <col min="2338" max="2338" width="19.42578125" style="70" bestFit="1" customWidth="1"/>
    <col min="2339" max="2355" width="15.140625" style="70" bestFit="1" customWidth="1"/>
    <col min="2356" max="2356" width="20.42578125" style="70" bestFit="1" customWidth="1"/>
    <col min="2357" max="2357" width="19.42578125" style="70" bestFit="1" customWidth="1"/>
    <col min="2358" max="2370" width="15.140625" style="70" bestFit="1" customWidth="1"/>
    <col min="2371" max="2561" width="9.140625" style="70"/>
    <col min="2562" max="2562" width="112.28515625" style="70" customWidth="1"/>
    <col min="2563" max="2563" width="19.7109375" style="70" customWidth="1"/>
    <col min="2564" max="2588" width="9.140625" style="70"/>
    <col min="2589" max="2593" width="15.140625" style="70" bestFit="1" customWidth="1"/>
    <col min="2594" max="2594" width="19.42578125" style="70" bestFit="1" customWidth="1"/>
    <col min="2595" max="2611" width="15.140625" style="70" bestFit="1" customWidth="1"/>
    <col min="2612" max="2612" width="20.42578125" style="70" bestFit="1" customWidth="1"/>
    <col min="2613" max="2613" width="19.42578125" style="70" bestFit="1" customWidth="1"/>
    <col min="2614" max="2626" width="15.140625" style="70" bestFit="1" customWidth="1"/>
    <col min="2627" max="2817" width="9.140625" style="70"/>
    <col min="2818" max="2818" width="112.28515625" style="70" customWidth="1"/>
    <col min="2819" max="2819" width="19.7109375" style="70" customWidth="1"/>
    <col min="2820" max="2844" width="9.140625" style="70"/>
    <col min="2845" max="2849" width="15.140625" style="70" bestFit="1" customWidth="1"/>
    <col min="2850" max="2850" width="19.42578125" style="70" bestFit="1" customWidth="1"/>
    <col min="2851" max="2867" width="15.140625" style="70" bestFit="1" customWidth="1"/>
    <col min="2868" max="2868" width="20.42578125" style="70" bestFit="1" customWidth="1"/>
    <col min="2869" max="2869" width="19.42578125" style="70" bestFit="1" customWidth="1"/>
    <col min="2870" max="2882" width="15.140625" style="70" bestFit="1" customWidth="1"/>
    <col min="2883" max="3073" width="9.140625" style="70"/>
    <col min="3074" max="3074" width="112.28515625" style="70" customWidth="1"/>
    <col min="3075" max="3075" width="19.7109375" style="70" customWidth="1"/>
    <col min="3076" max="3100" width="9.140625" style="70"/>
    <col min="3101" max="3105" width="15.140625" style="70" bestFit="1" customWidth="1"/>
    <col min="3106" max="3106" width="19.42578125" style="70" bestFit="1" customWidth="1"/>
    <col min="3107" max="3123" width="15.140625" style="70" bestFit="1" customWidth="1"/>
    <col min="3124" max="3124" width="20.42578125" style="70" bestFit="1" customWidth="1"/>
    <col min="3125" max="3125" width="19.42578125" style="70" bestFit="1" customWidth="1"/>
    <col min="3126" max="3138" width="15.140625" style="70" bestFit="1" customWidth="1"/>
    <col min="3139" max="3329" width="9.140625" style="70"/>
    <col min="3330" max="3330" width="112.28515625" style="70" customWidth="1"/>
    <col min="3331" max="3331" width="19.7109375" style="70" customWidth="1"/>
    <col min="3332" max="3356" width="9.140625" style="70"/>
    <col min="3357" max="3361" width="15.140625" style="70" bestFit="1" customWidth="1"/>
    <col min="3362" max="3362" width="19.42578125" style="70" bestFit="1" customWidth="1"/>
    <col min="3363" max="3379" width="15.140625" style="70" bestFit="1" customWidth="1"/>
    <col min="3380" max="3380" width="20.42578125" style="70" bestFit="1" customWidth="1"/>
    <col min="3381" max="3381" width="19.42578125" style="70" bestFit="1" customWidth="1"/>
    <col min="3382" max="3394" width="15.140625" style="70" bestFit="1" customWidth="1"/>
    <col min="3395" max="3585" width="9.140625" style="70"/>
    <col min="3586" max="3586" width="112.28515625" style="70" customWidth="1"/>
    <col min="3587" max="3587" width="19.7109375" style="70" customWidth="1"/>
    <col min="3588" max="3612" width="9.140625" style="70"/>
    <col min="3613" max="3617" width="15.140625" style="70" bestFit="1" customWidth="1"/>
    <col min="3618" max="3618" width="19.42578125" style="70" bestFit="1" customWidth="1"/>
    <col min="3619" max="3635" width="15.140625" style="70" bestFit="1" customWidth="1"/>
    <col min="3636" max="3636" width="20.42578125" style="70" bestFit="1" customWidth="1"/>
    <col min="3637" max="3637" width="19.42578125" style="70" bestFit="1" customWidth="1"/>
    <col min="3638" max="3650" width="15.140625" style="70" bestFit="1" customWidth="1"/>
    <col min="3651" max="3841" width="9.140625" style="70"/>
    <col min="3842" max="3842" width="112.28515625" style="70" customWidth="1"/>
    <col min="3843" max="3843" width="19.7109375" style="70" customWidth="1"/>
    <col min="3844" max="3868" width="9.140625" style="70"/>
    <col min="3869" max="3873" width="15.140625" style="70" bestFit="1" customWidth="1"/>
    <col min="3874" max="3874" width="19.42578125" style="70" bestFit="1" customWidth="1"/>
    <col min="3875" max="3891" width="15.140625" style="70" bestFit="1" customWidth="1"/>
    <col min="3892" max="3892" width="20.42578125" style="70" bestFit="1" customWidth="1"/>
    <col min="3893" max="3893" width="19.42578125" style="70" bestFit="1" customWidth="1"/>
    <col min="3894" max="3906" width="15.140625" style="70" bestFit="1" customWidth="1"/>
    <col min="3907" max="4097" width="9.140625" style="70"/>
    <col min="4098" max="4098" width="112.28515625" style="70" customWidth="1"/>
    <col min="4099" max="4099" width="19.7109375" style="70" customWidth="1"/>
    <col min="4100" max="4124" width="9.140625" style="70"/>
    <col min="4125" max="4129" width="15.140625" style="70" bestFit="1" customWidth="1"/>
    <col min="4130" max="4130" width="19.42578125" style="70" bestFit="1" customWidth="1"/>
    <col min="4131" max="4147" width="15.140625" style="70" bestFit="1" customWidth="1"/>
    <col min="4148" max="4148" width="20.42578125" style="70" bestFit="1" customWidth="1"/>
    <col min="4149" max="4149" width="19.42578125" style="70" bestFit="1" customWidth="1"/>
    <col min="4150" max="4162" width="15.140625" style="70" bestFit="1" customWidth="1"/>
    <col min="4163" max="4353" width="9.140625" style="70"/>
    <col min="4354" max="4354" width="112.28515625" style="70" customWidth="1"/>
    <col min="4355" max="4355" width="19.7109375" style="70" customWidth="1"/>
    <col min="4356" max="4380" width="9.140625" style="70"/>
    <col min="4381" max="4385" width="15.140625" style="70" bestFit="1" customWidth="1"/>
    <col min="4386" max="4386" width="19.42578125" style="70" bestFit="1" customWidth="1"/>
    <col min="4387" max="4403" width="15.140625" style="70" bestFit="1" customWidth="1"/>
    <col min="4404" max="4404" width="20.42578125" style="70" bestFit="1" customWidth="1"/>
    <col min="4405" max="4405" width="19.42578125" style="70" bestFit="1" customWidth="1"/>
    <col min="4406" max="4418" width="15.140625" style="70" bestFit="1" customWidth="1"/>
    <col min="4419" max="4609" width="9.140625" style="70"/>
    <col min="4610" max="4610" width="112.28515625" style="70" customWidth="1"/>
    <col min="4611" max="4611" width="19.7109375" style="70" customWidth="1"/>
    <col min="4612" max="4636" width="9.140625" style="70"/>
    <col min="4637" max="4641" width="15.140625" style="70" bestFit="1" customWidth="1"/>
    <col min="4642" max="4642" width="19.42578125" style="70" bestFit="1" customWidth="1"/>
    <col min="4643" max="4659" width="15.140625" style="70" bestFit="1" customWidth="1"/>
    <col min="4660" max="4660" width="20.42578125" style="70" bestFit="1" customWidth="1"/>
    <col min="4661" max="4661" width="19.42578125" style="70" bestFit="1" customWidth="1"/>
    <col min="4662" max="4674" width="15.140625" style="70" bestFit="1" customWidth="1"/>
    <col min="4675" max="4865" width="9.140625" style="70"/>
    <col min="4866" max="4866" width="112.28515625" style="70" customWidth="1"/>
    <col min="4867" max="4867" width="19.7109375" style="70" customWidth="1"/>
    <col min="4868" max="4892" width="9.140625" style="70"/>
    <col min="4893" max="4897" width="15.140625" style="70" bestFit="1" customWidth="1"/>
    <col min="4898" max="4898" width="19.42578125" style="70" bestFit="1" customWidth="1"/>
    <col min="4899" max="4915" width="15.140625" style="70" bestFit="1" customWidth="1"/>
    <col min="4916" max="4916" width="20.42578125" style="70" bestFit="1" customWidth="1"/>
    <col min="4917" max="4917" width="19.42578125" style="70" bestFit="1" customWidth="1"/>
    <col min="4918" max="4930" width="15.140625" style="70" bestFit="1" customWidth="1"/>
    <col min="4931" max="5121" width="9.140625" style="70"/>
    <col min="5122" max="5122" width="112.28515625" style="70" customWidth="1"/>
    <col min="5123" max="5123" width="19.7109375" style="70" customWidth="1"/>
    <col min="5124" max="5148" width="9.140625" style="70"/>
    <col min="5149" max="5153" width="15.140625" style="70" bestFit="1" customWidth="1"/>
    <col min="5154" max="5154" width="19.42578125" style="70" bestFit="1" customWidth="1"/>
    <col min="5155" max="5171" width="15.140625" style="70" bestFit="1" customWidth="1"/>
    <col min="5172" max="5172" width="20.42578125" style="70" bestFit="1" customWidth="1"/>
    <col min="5173" max="5173" width="19.42578125" style="70" bestFit="1" customWidth="1"/>
    <col min="5174" max="5186" width="15.140625" style="70" bestFit="1" customWidth="1"/>
    <col min="5187" max="5377" width="9.140625" style="70"/>
    <col min="5378" max="5378" width="112.28515625" style="70" customWidth="1"/>
    <col min="5379" max="5379" width="19.7109375" style="70" customWidth="1"/>
    <col min="5380" max="5404" width="9.140625" style="70"/>
    <col min="5405" max="5409" width="15.140625" style="70" bestFit="1" customWidth="1"/>
    <col min="5410" max="5410" width="19.42578125" style="70" bestFit="1" customWidth="1"/>
    <col min="5411" max="5427" width="15.140625" style="70" bestFit="1" customWidth="1"/>
    <col min="5428" max="5428" width="20.42578125" style="70" bestFit="1" customWidth="1"/>
    <col min="5429" max="5429" width="19.42578125" style="70" bestFit="1" customWidth="1"/>
    <col min="5430" max="5442" width="15.140625" style="70" bestFit="1" customWidth="1"/>
    <col min="5443" max="5633" width="9.140625" style="70"/>
    <col min="5634" max="5634" width="112.28515625" style="70" customWidth="1"/>
    <col min="5635" max="5635" width="19.7109375" style="70" customWidth="1"/>
    <col min="5636" max="5660" width="9.140625" style="70"/>
    <col min="5661" max="5665" width="15.140625" style="70" bestFit="1" customWidth="1"/>
    <col min="5666" max="5666" width="19.42578125" style="70" bestFit="1" customWidth="1"/>
    <col min="5667" max="5683" width="15.140625" style="70" bestFit="1" customWidth="1"/>
    <col min="5684" max="5684" width="20.42578125" style="70" bestFit="1" customWidth="1"/>
    <col min="5685" max="5685" width="19.42578125" style="70" bestFit="1" customWidth="1"/>
    <col min="5686" max="5698" width="15.140625" style="70" bestFit="1" customWidth="1"/>
    <col min="5699" max="5889" width="9.140625" style="70"/>
    <col min="5890" max="5890" width="112.28515625" style="70" customWidth="1"/>
    <col min="5891" max="5891" width="19.7109375" style="70" customWidth="1"/>
    <col min="5892" max="5916" width="9.140625" style="70"/>
    <col min="5917" max="5921" width="15.140625" style="70" bestFit="1" customWidth="1"/>
    <col min="5922" max="5922" width="19.42578125" style="70" bestFit="1" customWidth="1"/>
    <col min="5923" max="5939" width="15.140625" style="70" bestFit="1" customWidth="1"/>
    <col min="5940" max="5940" width="20.42578125" style="70" bestFit="1" customWidth="1"/>
    <col min="5941" max="5941" width="19.42578125" style="70" bestFit="1" customWidth="1"/>
    <col min="5942" max="5954" width="15.140625" style="70" bestFit="1" customWidth="1"/>
    <col min="5955" max="6145" width="9.140625" style="70"/>
    <col min="6146" max="6146" width="112.28515625" style="70" customWidth="1"/>
    <col min="6147" max="6147" width="19.7109375" style="70" customWidth="1"/>
    <col min="6148" max="6172" width="9.140625" style="70"/>
    <col min="6173" max="6177" width="15.140625" style="70" bestFit="1" customWidth="1"/>
    <col min="6178" max="6178" width="19.42578125" style="70" bestFit="1" customWidth="1"/>
    <col min="6179" max="6195" width="15.140625" style="70" bestFit="1" customWidth="1"/>
    <col min="6196" max="6196" width="20.42578125" style="70" bestFit="1" customWidth="1"/>
    <col min="6197" max="6197" width="19.42578125" style="70" bestFit="1" customWidth="1"/>
    <col min="6198" max="6210" width="15.140625" style="70" bestFit="1" customWidth="1"/>
    <col min="6211" max="6401" width="9.140625" style="70"/>
    <col min="6402" max="6402" width="112.28515625" style="70" customWidth="1"/>
    <col min="6403" max="6403" width="19.7109375" style="70" customWidth="1"/>
    <col min="6404" max="6428" width="9.140625" style="70"/>
    <col min="6429" max="6433" width="15.140625" style="70" bestFit="1" customWidth="1"/>
    <col min="6434" max="6434" width="19.42578125" style="70" bestFit="1" customWidth="1"/>
    <col min="6435" max="6451" width="15.140625" style="70" bestFit="1" customWidth="1"/>
    <col min="6452" max="6452" width="20.42578125" style="70" bestFit="1" customWidth="1"/>
    <col min="6453" max="6453" width="19.42578125" style="70" bestFit="1" customWidth="1"/>
    <col min="6454" max="6466" width="15.140625" style="70" bestFit="1" customWidth="1"/>
    <col min="6467" max="6657" width="9.140625" style="70"/>
    <col min="6658" max="6658" width="112.28515625" style="70" customWidth="1"/>
    <col min="6659" max="6659" width="19.7109375" style="70" customWidth="1"/>
    <col min="6660" max="6684" width="9.140625" style="70"/>
    <col min="6685" max="6689" width="15.140625" style="70" bestFit="1" customWidth="1"/>
    <col min="6690" max="6690" width="19.42578125" style="70" bestFit="1" customWidth="1"/>
    <col min="6691" max="6707" width="15.140625" style="70" bestFit="1" customWidth="1"/>
    <col min="6708" max="6708" width="20.42578125" style="70" bestFit="1" customWidth="1"/>
    <col min="6709" max="6709" width="19.42578125" style="70" bestFit="1" customWidth="1"/>
    <col min="6710" max="6722" width="15.140625" style="70" bestFit="1" customWidth="1"/>
    <col min="6723" max="6913" width="9.140625" style="70"/>
    <col min="6914" max="6914" width="112.28515625" style="70" customWidth="1"/>
    <col min="6915" max="6915" width="19.7109375" style="70" customWidth="1"/>
    <col min="6916" max="6940" width="9.140625" style="70"/>
    <col min="6941" max="6945" width="15.140625" style="70" bestFit="1" customWidth="1"/>
    <col min="6946" max="6946" width="19.42578125" style="70" bestFit="1" customWidth="1"/>
    <col min="6947" max="6963" width="15.140625" style="70" bestFit="1" customWidth="1"/>
    <col min="6964" max="6964" width="20.42578125" style="70" bestFit="1" customWidth="1"/>
    <col min="6965" max="6965" width="19.42578125" style="70" bestFit="1" customWidth="1"/>
    <col min="6966" max="6978" width="15.140625" style="70" bestFit="1" customWidth="1"/>
    <col min="6979" max="7169" width="9.140625" style="70"/>
    <col min="7170" max="7170" width="112.28515625" style="70" customWidth="1"/>
    <col min="7171" max="7171" width="19.7109375" style="70" customWidth="1"/>
    <col min="7172" max="7196" width="9.140625" style="70"/>
    <col min="7197" max="7201" width="15.140625" style="70" bestFit="1" customWidth="1"/>
    <col min="7202" max="7202" width="19.42578125" style="70" bestFit="1" customWidth="1"/>
    <col min="7203" max="7219" width="15.140625" style="70" bestFit="1" customWidth="1"/>
    <col min="7220" max="7220" width="20.42578125" style="70" bestFit="1" customWidth="1"/>
    <col min="7221" max="7221" width="19.42578125" style="70" bestFit="1" customWidth="1"/>
    <col min="7222" max="7234" width="15.140625" style="70" bestFit="1" customWidth="1"/>
    <col min="7235" max="7425" width="9.140625" style="70"/>
    <col min="7426" max="7426" width="112.28515625" style="70" customWidth="1"/>
    <col min="7427" max="7427" width="19.7109375" style="70" customWidth="1"/>
    <col min="7428" max="7452" width="9.140625" style="70"/>
    <col min="7453" max="7457" width="15.140625" style="70" bestFit="1" customWidth="1"/>
    <col min="7458" max="7458" width="19.42578125" style="70" bestFit="1" customWidth="1"/>
    <col min="7459" max="7475" width="15.140625" style="70" bestFit="1" customWidth="1"/>
    <col min="7476" max="7476" width="20.42578125" style="70" bestFit="1" customWidth="1"/>
    <col min="7477" max="7477" width="19.42578125" style="70" bestFit="1" customWidth="1"/>
    <col min="7478" max="7490" width="15.140625" style="70" bestFit="1" customWidth="1"/>
    <col min="7491" max="7681" width="9.140625" style="70"/>
    <col min="7682" max="7682" width="112.28515625" style="70" customWidth="1"/>
    <col min="7683" max="7683" width="19.7109375" style="70" customWidth="1"/>
    <col min="7684" max="7708" width="9.140625" style="70"/>
    <col min="7709" max="7713" width="15.140625" style="70" bestFit="1" customWidth="1"/>
    <col min="7714" max="7714" width="19.42578125" style="70" bestFit="1" customWidth="1"/>
    <col min="7715" max="7731" width="15.140625" style="70" bestFit="1" customWidth="1"/>
    <col min="7732" max="7732" width="20.42578125" style="70" bestFit="1" customWidth="1"/>
    <col min="7733" max="7733" width="19.42578125" style="70" bestFit="1" customWidth="1"/>
    <col min="7734" max="7746" width="15.140625" style="70" bestFit="1" customWidth="1"/>
    <col min="7747" max="7937" width="9.140625" style="70"/>
    <col min="7938" max="7938" width="112.28515625" style="70" customWidth="1"/>
    <col min="7939" max="7939" width="19.7109375" style="70" customWidth="1"/>
    <col min="7940" max="7964" width="9.140625" style="70"/>
    <col min="7965" max="7969" width="15.140625" style="70" bestFit="1" customWidth="1"/>
    <col min="7970" max="7970" width="19.42578125" style="70" bestFit="1" customWidth="1"/>
    <col min="7971" max="7987" width="15.140625" style="70" bestFit="1" customWidth="1"/>
    <col min="7988" max="7988" width="20.42578125" style="70" bestFit="1" customWidth="1"/>
    <col min="7989" max="7989" width="19.42578125" style="70" bestFit="1" customWidth="1"/>
    <col min="7990" max="8002" width="15.140625" style="70" bestFit="1" customWidth="1"/>
    <col min="8003" max="8193" width="9.140625" style="70"/>
    <col min="8194" max="8194" width="112.28515625" style="70" customWidth="1"/>
    <col min="8195" max="8195" width="19.7109375" style="70" customWidth="1"/>
    <col min="8196" max="8220" width="9.140625" style="70"/>
    <col min="8221" max="8225" width="15.140625" style="70" bestFit="1" customWidth="1"/>
    <col min="8226" max="8226" width="19.42578125" style="70" bestFit="1" customWidth="1"/>
    <col min="8227" max="8243" width="15.140625" style="70" bestFit="1" customWidth="1"/>
    <col min="8244" max="8244" width="20.42578125" style="70" bestFit="1" customWidth="1"/>
    <col min="8245" max="8245" width="19.42578125" style="70" bestFit="1" customWidth="1"/>
    <col min="8246" max="8258" width="15.140625" style="70" bestFit="1" customWidth="1"/>
    <col min="8259" max="8449" width="9.140625" style="70"/>
    <col min="8450" max="8450" width="112.28515625" style="70" customWidth="1"/>
    <col min="8451" max="8451" width="19.7109375" style="70" customWidth="1"/>
    <col min="8452" max="8476" width="9.140625" style="70"/>
    <col min="8477" max="8481" width="15.140625" style="70" bestFit="1" customWidth="1"/>
    <col min="8482" max="8482" width="19.42578125" style="70" bestFit="1" customWidth="1"/>
    <col min="8483" max="8499" width="15.140625" style="70" bestFit="1" customWidth="1"/>
    <col min="8500" max="8500" width="20.42578125" style="70" bestFit="1" customWidth="1"/>
    <col min="8501" max="8501" width="19.42578125" style="70" bestFit="1" customWidth="1"/>
    <col min="8502" max="8514" width="15.140625" style="70" bestFit="1" customWidth="1"/>
    <col min="8515" max="8705" width="9.140625" style="70"/>
    <col min="8706" max="8706" width="112.28515625" style="70" customWidth="1"/>
    <col min="8707" max="8707" width="19.7109375" style="70" customWidth="1"/>
    <col min="8708" max="8732" width="9.140625" style="70"/>
    <col min="8733" max="8737" width="15.140625" style="70" bestFit="1" customWidth="1"/>
    <col min="8738" max="8738" width="19.42578125" style="70" bestFit="1" customWidth="1"/>
    <col min="8739" max="8755" width="15.140625" style="70" bestFit="1" customWidth="1"/>
    <col min="8756" max="8756" width="20.42578125" style="70" bestFit="1" customWidth="1"/>
    <col min="8757" max="8757" width="19.42578125" style="70" bestFit="1" customWidth="1"/>
    <col min="8758" max="8770" width="15.140625" style="70" bestFit="1" customWidth="1"/>
    <col min="8771" max="8961" width="9.140625" style="70"/>
    <col min="8962" max="8962" width="112.28515625" style="70" customWidth="1"/>
    <col min="8963" max="8963" width="19.7109375" style="70" customWidth="1"/>
    <col min="8964" max="8988" width="9.140625" style="70"/>
    <col min="8989" max="8993" width="15.140625" style="70" bestFit="1" customWidth="1"/>
    <col min="8994" max="8994" width="19.42578125" style="70" bestFit="1" customWidth="1"/>
    <col min="8995" max="9011" width="15.140625" style="70" bestFit="1" customWidth="1"/>
    <col min="9012" max="9012" width="20.42578125" style="70" bestFit="1" customWidth="1"/>
    <col min="9013" max="9013" width="19.42578125" style="70" bestFit="1" customWidth="1"/>
    <col min="9014" max="9026" width="15.140625" style="70" bestFit="1" customWidth="1"/>
    <col min="9027" max="9217" width="9.140625" style="70"/>
    <col min="9218" max="9218" width="112.28515625" style="70" customWidth="1"/>
    <col min="9219" max="9219" width="19.7109375" style="70" customWidth="1"/>
    <col min="9220" max="9244" width="9.140625" style="70"/>
    <col min="9245" max="9249" width="15.140625" style="70" bestFit="1" customWidth="1"/>
    <col min="9250" max="9250" width="19.42578125" style="70" bestFit="1" customWidth="1"/>
    <col min="9251" max="9267" width="15.140625" style="70" bestFit="1" customWidth="1"/>
    <col min="9268" max="9268" width="20.42578125" style="70" bestFit="1" customWidth="1"/>
    <col min="9269" max="9269" width="19.42578125" style="70" bestFit="1" customWidth="1"/>
    <col min="9270" max="9282" width="15.140625" style="70" bestFit="1" customWidth="1"/>
    <col min="9283" max="9473" width="9.140625" style="70"/>
    <col min="9474" max="9474" width="112.28515625" style="70" customWidth="1"/>
    <col min="9475" max="9475" width="19.7109375" style="70" customWidth="1"/>
    <col min="9476" max="9500" width="9.140625" style="70"/>
    <col min="9501" max="9505" width="15.140625" style="70" bestFit="1" customWidth="1"/>
    <col min="9506" max="9506" width="19.42578125" style="70" bestFit="1" customWidth="1"/>
    <col min="9507" max="9523" width="15.140625" style="70" bestFit="1" customWidth="1"/>
    <col min="9524" max="9524" width="20.42578125" style="70" bestFit="1" customWidth="1"/>
    <col min="9525" max="9525" width="19.42578125" style="70" bestFit="1" customWidth="1"/>
    <col min="9526" max="9538" width="15.140625" style="70" bestFit="1" customWidth="1"/>
    <col min="9539" max="9729" width="9.140625" style="70"/>
    <col min="9730" max="9730" width="112.28515625" style="70" customWidth="1"/>
    <col min="9731" max="9731" width="19.7109375" style="70" customWidth="1"/>
    <col min="9732" max="9756" width="9.140625" style="70"/>
    <col min="9757" max="9761" width="15.140625" style="70" bestFit="1" customWidth="1"/>
    <col min="9762" max="9762" width="19.42578125" style="70" bestFit="1" customWidth="1"/>
    <col min="9763" max="9779" width="15.140625" style="70" bestFit="1" customWidth="1"/>
    <col min="9780" max="9780" width="20.42578125" style="70" bestFit="1" customWidth="1"/>
    <col min="9781" max="9781" width="19.42578125" style="70" bestFit="1" customWidth="1"/>
    <col min="9782" max="9794" width="15.140625" style="70" bestFit="1" customWidth="1"/>
    <col min="9795" max="9985" width="9.140625" style="70"/>
    <col min="9986" max="9986" width="112.28515625" style="70" customWidth="1"/>
    <col min="9987" max="9987" width="19.7109375" style="70" customWidth="1"/>
    <col min="9988" max="10012" width="9.140625" style="70"/>
    <col min="10013" max="10017" width="15.140625" style="70" bestFit="1" customWidth="1"/>
    <col min="10018" max="10018" width="19.42578125" style="70" bestFit="1" customWidth="1"/>
    <col min="10019" max="10035" width="15.140625" style="70" bestFit="1" customWidth="1"/>
    <col min="10036" max="10036" width="20.42578125" style="70" bestFit="1" customWidth="1"/>
    <col min="10037" max="10037" width="19.42578125" style="70" bestFit="1" customWidth="1"/>
    <col min="10038" max="10050" width="15.140625" style="70" bestFit="1" customWidth="1"/>
    <col min="10051" max="10241" width="9.140625" style="70"/>
    <col min="10242" max="10242" width="112.28515625" style="70" customWidth="1"/>
    <col min="10243" max="10243" width="19.7109375" style="70" customWidth="1"/>
    <col min="10244" max="10268" width="9.140625" style="70"/>
    <col min="10269" max="10273" width="15.140625" style="70" bestFit="1" customWidth="1"/>
    <col min="10274" max="10274" width="19.42578125" style="70" bestFit="1" customWidth="1"/>
    <col min="10275" max="10291" width="15.140625" style="70" bestFit="1" customWidth="1"/>
    <col min="10292" max="10292" width="20.42578125" style="70" bestFit="1" customWidth="1"/>
    <col min="10293" max="10293" width="19.42578125" style="70" bestFit="1" customWidth="1"/>
    <col min="10294" max="10306" width="15.140625" style="70" bestFit="1" customWidth="1"/>
    <col min="10307" max="10497" width="9.140625" style="70"/>
    <col min="10498" max="10498" width="112.28515625" style="70" customWidth="1"/>
    <col min="10499" max="10499" width="19.7109375" style="70" customWidth="1"/>
    <col min="10500" max="10524" width="9.140625" style="70"/>
    <col min="10525" max="10529" width="15.140625" style="70" bestFit="1" customWidth="1"/>
    <col min="10530" max="10530" width="19.42578125" style="70" bestFit="1" customWidth="1"/>
    <col min="10531" max="10547" width="15.140625" style="70" bestFit="1" customWidth="1"/>
    <col min="10548" max="10548" width="20.42578125" style="70" bestFit="1" customWidth="1"/>
    <col min="10549" max="10549" width="19.42578125" style="70" bestFit="1" customWidth="1"/>
    <col min="10550" max="10562" width="15.140625" style="70" bestFit="1" customWidth="1"/>
    <col min="10563" max="10753" width="9.140625" style="70"/>
    <col min="10754" max="10754" width="112.28515625" style="70" customWidth="1"/>
    <col min="10755" max="10755" width="19.7109375" style="70" customWidth="1"/>
    <col min="10756" max="10780" width="9.140625" style="70"/>
    <col min="10781" max="10785" width="15.140625" style="70" bestFit="1" customWidth="1"/>
    <col min="10786" max="10786" width="19.42578125" style="70" bestFit="1" customWidth="1"/>
    <col min="10787" max="10803" width="15.140625" style="70" bestFit="1" customWidth="1"/>
    <col min="10804" max="10804" width="20.42578125" style="70" bestFit="1" customWidth="1"/>
    <col min="10805" max="10805" width="19.42578125" style="70" bestFit="1" customWidth="1"/>
    <col min="10806" max="10818" width="15.140625" style="70" bestFit="1" customWidth="1"/>
    <col min="10819" max="11009" width="9.140625" style="70"/>
    <col min="11010" max="11010" width="112.28515625" style="70" customWidth="1"/>
    <col min="11011" max="11011" width="19.7109375" style="70" customWidth="1"/>
    <col min="11012" max="11036" width="9.140625" style="70"/>
    <col min="11037" max="11041" width="15.140625" style="70" bestFit="1" customWidth="1"/>
    <col min="11042" max="11042" width="19.42578125" style="70" bestFit="1" customWidth="1"/>
    <col min="11043" max="11059" width="15.140625" style="70" bestFit="1" customWidth="1"/>
    <col min="11060" max="11060" width="20.42578125" style="70" bestFit="1" customWidth="1"/>
    <col min="11061" max="11061" width="19.42578125" style="70" bestFit="1" customWidth="1"/>
    <col min="11062" max="11074" width="15.140625" style="70" bestFit="1" customWidth="1"/>
    <col min="11075" max="11265" width="9.140625" style="70"/>
    <col min="11266" max="11266" width="112.28515625" style="70" customWidth="1"/>
    <col min="11267" max="11267" width="19.7109375" style="70" customWidth="1"/>
    <col min="11268" max="11292" width="9.140625" style="70"/>
    <col min="11293" max="11297" width="15.140625" style="70" bestFit="1" customWidth="1"/>
    <col min="11298" max="11298" width="19.42578125" style="70" bestFit="1" customWidth="1"/>
    <col min="11299" max="11315" width="15.140625" style="70" bestFit="1" customWidth="1"/>
    <col min="11316" max="11316" width="20.42578125" style="70" bestFit="1" customWidth="1"/>
    <col min="11317" max="11317" width="19.42578125" style="70" bestFit="1" customWidth="1"/>
    <col min="11318" max="11330" width="15.140625" style="70" bestFit="1" customWidth="1"/>
    <col min="11331" max="11521" width="9.140625" style="70"/>
    <col min="11522" max="11522" width="112.28515625" style="70" customWidth="1"/>
    <col min="11523" max="11523" width="19.7109375" style="70" customWidth="1"/>
    <col min="11524" max="11548" width="9.140625" style="70"/>
    <col min="11549" max="11553" width="15.140625" style="70" bestFit="1" customWidth="1"/>
    <col min="11554" max="11554" width="19.42578125" style="70" bestFit="1" customWidth="1"/>
    <col min="11555" max="11571" width="15.140625" style="70" bestFit="1" customWidth="1"/>
    <col min="11572" max="11572" width="20.42578125" style="70" bestFit="1" customWidth="1"/>
    <col min="11573" max="11573" width="19.42578125" style="70" bestFit="1" customWidth="1"/>
    <col min="11574" max="11586" width="15.140625" style="70" bestFit="1" customWidth="1"/>
    <col min="11587" max="11777" width="9.140625" style="70"/>
    <col min="11778" max="11778" width="112.28515625" style="70" customWidth="1"/>
    <col min="11779" max="11779" width="19.7109375" style="70" customWidth="1"/>
    <col min="11780" max="11804" width="9.140625" style="70"/>
    <col min="11805" max="11809" width="15.140625" style="70" bestFit="1" customWidth="1"/>
    <col min="11810" max="11810" width="19.42578125" style="70" bestFit="1" customWidth="1"/>
    <col min="11811" max="11827" width="15.140625" style="70" bestFit="1" customWidth="1"/>
    <col min="11828" max="11828" width="20.42578125" style="70" bestFit="1" customWidth="1"/>
    <col min="11829" max="11829" width="19.42578125" style="70" bestFit="1" customWidth="1"/>
    <col min="11830" max="11842" width="15.140625" style="70" bestFit="1" customWidth="1"/>
    <col min="11843" max="12033" width="9.140625" style="70"/>
    <col min="12034" max="12034" width="112.28515625" style="70" customWidth="1"/>
    <col min="12035" max="12035" width="19.7109375" style="70" customWidth="1"/>
    <col min="12036" max="12060" width="9.140625" style="70"/>
    <col min="12061" max="12065" width="15.140625" style="70" bestFit="1" customWidth="1"/>
    <col min="12066" max="12066" width="19.42578125" style="70" bestFit="1" customWidth="1"/>
    <col min="12067" max="12083" width="15.140625" style="70" bestFit="1" customWidth="1"/>
    <col min="12084" max="12084" width="20.42578125" style="70" bestFit="1" customWidth="1"/>
    <col min="12085" max="12085" width="19.42578125" style="70" bestFit="1" customWidth="1"/>
    <col min="12086" max="12098" width="15.140625" style="70" bestFit="1" customWidth="1"/>
    <col min="12099" max="12289" width="9.140625" style="70"/>
    <col min="12290" max="12290" width="112.28515625" style="70" customWidth="1"/>
    <col min="12291" max="12291" width="19.7109375" style="70" customWidth="1"/>
    <col min="12292" max="12316" width="9.140625" style="70"/>
    <col min="12317" max="12321" width="15.140625" style="70" bestFit="1" customWidth="1"/>
    <col min="12322" max="12322" width="19.42578125" style="70" bestFit="1" customWidth="1"/>
    <col min="12323" max="12339" width="15.140625" style="70" bestFit="1" customWidth="1"/>
    <col min="12340" max="12340" width="20.42578125" style="70" bestFit="1" customWidth="1"/>
    <col min="12341" max="12341" width="19.42578125" style="70" bestFit="1" customWidth="1"/>
    <col min="12342" max="12354" width="15.140625" style="70" bestFit="1" customWidth="1"/>
    <col min="12355" max="12545" width="9.140625" style="70"/>
    <col min="12546" max="12546" width="112.28515625" style="70" customWidth="1"/>
    <col min="12547" max="12547" width="19.7109375" style="70" customWidth="1"/>
    <col min="12548" max="12572" width="9.140625" style="70"/>
    <col min="12573" max="12577" width="15.140625" style="70" bestFit="1" customWidth="1"/>
    <col min="12578" max="12578" width="19.42578125" style="70" bestFit="1" customWidth="1"/>
    <col min="12579" max="12595" width="15.140625" style="70" bestFit="1" customWidth="1"/>
    <col min="12596" max="12596" width="20.42578125" style="70" bestFit="1" customWidth="1"/>
    <col min="12597" max="12597" width="19.42578125" style="70" bestFit="1" customWidth="1"/>
    <col min="12598" max="12610" width="15.140625" style="70" bestFit="1" customWidth="1"/>
    <col min="12611" max="12801" width="9.140625" style="70"/>
    <col min="12802" max="12802" width="112.28515625" style="70" customWidth="1"/>
    <col min="12803" max="12803" width="19.7109375" style="70" customWidth="1"/>
    <col min="12804" max="12828" width="9.140625" style="70"/>
    <col min="12829" max="12833" width="15.140625" style="70" bestFit="1" customWidth="1"/>
    <col min="12834" max="12834" width="19.42578125" style="70" bestFit="1" customWidth="1"/>
    <col min="12835" max="12851" width="15.140625" style="70" bestFit="1" customWidth="1"/>
    <col min="12852" max="12852" width="20.42578125" style="70" bestFit="1" customWidth="1"/>
    <col min="12853" max="12853" width="19.42578125" style="70" bestFit="1" customWidth="1"/>
    <col min="12854" max="12866" width="15.140625" style="70" bestFit="1" customWidth="1"/>
    <col min="12867" max="13057" width="9.140625" style="70"/>
    <col min="13058" max="13058" width="112.28515625" style="70" customWidth="1"/>
    <col min="13059" max="13059" width="19.7109375" style="70" customWidth="1"/>
    <col min="13060" max="13084" width="9.140625" style="70"/>
    <col min="13085" max="13089" width="15.140625" style="70" bestFit="1" customWidth="1"/>
    <col min="13090" max="13090" width="19.42578125" style="70" bestFit="1" customWidth="1"/>
    <col min="13091" max="13107" width="15.140625" style="70" bestFit="1" customWidth="1"/>
    <col min="13108" max="13108" width="20.42578125" style="70" bestFit="1" customWidth="1"/>
    <col min="13109" max="13109" width="19.42578125" style="70" bestFit="1" customWidth="1"/>
    <col min="13110" max="13122" width="15.140625" style="70" bestFit="1" customWidth="1"/>
    <col min="13123" max="13313" width="9.140625" style="70"/>
    <col min="13314" max="13314" width="112.28515625" style="70" customWidth="1"/>
    <col min="13315" max="13315" width="19.7109375" style="70" customWidth="1"/>
    <col min="13316" max="13340" width="9.140625" style="70"/>
    <col min="13341" max="13345" width="15.140625" style="70" bestFit="1" customWidth="1"/>
    <col min="13346" max="13346" width="19.42578125" style="70" bestFit="1" customWidth="1"/>
    <col min="13347" max="13363" width="15.140625" style="70" bestFit="1" customWidth="1"/>
    <col min="13364" max="13364" width="20.42578125" style="70" bestFit="1" customWidth="1"/>
    <col min="13365" max="13365" width="19.42578125" style="70" bestFit="1" customWidth="1"/>
    <col min="13366" max="13378" width="15.140625" style="70" bestFit="1" customWidth="1"/>
    <col min="13379" max="13569" width="9.140625" style="70"/>
    <col min="13570" max="13570" width="112.28515625" style="70" customWidth="1"/>
    <col min="13571" max="13571" width="19.7109375" style="70" customWidth="1"/>
    <col min="13572" max="13596" width="9.140625" style="70"/>
    <col min="13597" max="13601" width="15.140625" style="70" bestFit="1" customWidth="1"/>
    <col min="13602" max="13602" width="19.42578125" style="70" bestFit="1" customWidth="1"/>
    <col min="13603" max="13619" width="15.140625" style="70" bestFit="1" customWidth="1"/>
    <col min="13620" max="13620" width="20.42578125" style="70" bestFit="1" customWidth="1"/>
    <col min="13621" max="13621" width="19.42578125" style="70" bestFit="1" customWidth="1"/>
    <col min="13622" max="13634" width="15.140625" style="70" bestFit="1" customWidth="1"/>
    <col min="13635" max="13825" width="9.140625" style="70"/>
    <col min="13826" max="13826" width="112.28515625" style="70" customWidth="1"/>
    <col min="13827" max="13827" width="19.7109375" style="70" customWidth="1"/>
    <col min="13828" max="13852" width="9.140625" style="70"/>
    <col min="13853" max="13857" width="15.140625" style="70" bestFit="1" customWidth="1"/>
    <col min="13858" max="13858" width="19.42578125" style="70" bestFit="1" customWidth="1"/>
    <col min="13859" max="13875" width="15.140625" style="70" bestFit="1" customWidth="1"/>
    <col min="13876" max="13876" width="20.42578125" style="70" bestFit="1" customWidth="1"/>
    <col min="13877" max="13877" width="19.42578125" style="70" bestFit="1" customWidth="1"/>
    <col min="13878" max="13890" width="15.140625" style="70" bestFit="1" customWidth="1"/>
    <col min="13891" max="14081" width="9.140625" style="70"/>
    <col min="14082" max="14082" width="112.28515625" style="70" customWidth="1"/>
    <col min="14083" max="14083" width="19.7109375" style="70" customWidth="1"/>
    <col min="14084" max="14108" width="9.140625" style="70"/>
    <col min="14109" max="14113" width="15.140625" style="70" bestFit="1" customWidth="1"/>
    <col min="14114" max="14114" width="19.42578125" style="70" bestFit="1" customWidth="1"/>
    <col min="14115" max="14131" width="15.140625" style="70" bestFit="1" customWidth="1"/>
    <col min="14132" max="14132" width="20.42578125" style="70" bestFit="1" customWidth="1"/>
    <col min="14133" max="14133" width="19.42578125" style="70" bestFit="1" customWidth="1"/>
    <col min="14134" max="14146" width="15.140625" style="70" bestFit="1" customWidth="1"/>
    <col min="14147" max="14337" width="9.140625" style="70"/>
    <col min="14338" max="14338" width="112.28515625" style="70" customWidth="1"/>
    <col min="14339" max="14339" width="19.7109375" style="70" customWidth="1"/>
    <col min="14340" max="14364" width="9.140625" style="70"/>
    <col min="14365" max="14369" width="15.140625" style="70" bestFit="1" customWidth="1"/>
    <col min="14370" max="14370" width="19.42578125" style="70" bestFit="1" customWidth="1"/>
    <col min="14371" max="14387" width="15.140625" style="70" bestFit="1" customWidth="1"/>
    <col min="14388" max="14388" width="20.42578125" style="70" bestFit="1" customWidth="1"/>
    <col min="14389" max="14389" width="19.42578125" style="70" bestFit="1" customWidth="1"/>
    <col min="14390" max="14402" width="15.140625" style="70" bestFit="1" customWidth="1"/>
    <col min="14403" max="14593" width="9.140625" style="70"/>
    <col min="14594" max="14594" width="112.28515625" style="70" customWidth="1"/>
    <col min="14595" max="14595" width="19.7109375" style="70" customWidth="1"/>
    <col min="14596" max="14620" width="9.140625" style="70"/>
    <col min="14621" max="14625" width="15.140625" style="70" bestFit="1" customWidth="1"/>
    <col min="14626" max="14626" width="19.42578125" style="70" bestFit="1" customWidth="1"/>
    <col min="14627" max="14643" width="15.140625" style="70" bestFit="1" customWidth="1"/>
    <col min="14644" max="14644" width="20.42578125" style="70" bestFit="1" customWidth="1"/>
    <col min="14645" max="14645" width="19.42578125" style="70" bestFit="1" customWidth="1"/>
    <col min="14646" max="14658" width="15.140625" style="70" bestFit="1" customWidth="1"/>
    <col min="14659" max="14849" width="9.140625" style="70"/>
    <col min="14850" max="14850" width="112.28515625" style="70" customWidth="1"/>
    <col min="14851" max="14851" width="19.7109375" style="70" customWidth="1"/>
    <col min="14852" max="14876" width="9.140625" style="70"/>
    <col min="14877" max="14881" width="15.140625" style="70" bestFit="1" customWidth="1"/>
    <col min="14882" max="14882" width="19.42578125" style="70" bestFit="1" customWidth="1"/>
    <col min="14883" max="14899" width="15.140625" style="70" bestFit="1" customWidth="1"/>
    <col min="14900" max="14900" width="20.42578125" style="70" bestFit="1" customWidth="1"/>
    <col min="14901" max="14901" width="19.42578125" style="70" bestFit="1" customWidth="1"/>
    <col min="14902" max="14914" width="15.140625" style="70" bestFit="1" customWidth="1"/>
    <col min="14915" max="15105" width="9.140625" style="70"/>
    <col min="15106" max="15106" width="112.28515625" style="70" customWidth="1"/>
    <col min="15107" max="15107" width="19.7109375" style="70" customWidth="1"/>
    <col min="15108" max="15132" width="9.140625" style="70"/>
    <col min="15133" max="15137" width="15.140625" style="70" bestFit="1" customWidth="1"/>
    <col min="15138" max="15138" width="19.42578125" style="70" bestFit="1" customWidth="1"/>
    <col min="15139" max="15155" width="15.140625" style="70" bestFit="1" customWidth="1"/>
    <col min="15156" max="15156" width="20.42578125" style="70" bestFit="1" customWidth="1"/>
    <col min="15157" max="15157" width="19.42578125" style="70" bestFit="1" customWidth="1"/>
    <col min="15158" max="15170" width="15.140625" style="70" bestFit="1" customWidth="1"/>
    <col min="15171" max="15361" width="9.140625" style="70"/>
    <col min="15362" max="15362" width="112.28515625" style="70" customWidth="1"/>
    <col min="15363" max="15363" width="19.7109375" style="70" customWidth="1"/>
    <col min="15364" max="15388" width="9.140625" style="70"/>
    <col min="15389" max="15393" width="15.140625" style="70" bestFit="1" customWidth="1"/>
    <col min="15394" max="15394" width="19.42578125" style="70" bestFit="1" customWidth="1"/>
    <col min="15395" max="15411" width="15.140625" style="70" bestFit="1" customWidth="1"/>
    <col min="15412" max="15412" width="20.42578125" style="70" bestFit="1" customWidth="1"/>
    <col min="15413" max="15413" width="19.42578125" style="70" bestFit="1" customWidth="1"/>
    <col min="15414" max="15426" width="15.140625" style="70" bestFit="1" customWidth="1"/>
    <col min="15427" max="15617" width="9.140625" style="70"/>
    <col min="15618" max="15618" width="112.28515625" style="70" customWidth="1"/>
    <col min="15619" max="15619" width="19.7109375" style="70" customWidth="1"/>
    <col min="15620" max="15644" width="9.140625" style="70"/>
    <col min="15645" max="15649" width="15.140625" style="70" bestFit="1" customWidth="1"/>
    <col min="15650" max="15650" width="19.42578125" style="70" bestFit="1" customWidth="1"/>
    <col min="15651" max="15667" width="15.140625" style="70" bestFit="1" customWidth="1"/>
    <col min="15668" max="15668" width="20.42578125" style="70" bestFit="1" customWidth="1"/>
    <col min="15669" max="15669" width="19.42578125" style="70" bestFit="1" customWidth="1"/>
    <col min="15670" max="15682" width="15.140625" style="70" bestFit="1" customWidth="1"/>
    <col min="15683" max="15873" width="9.140625" style="70"/>
    <col min="15874" max="15874" width="112.28515625" style="70" customWidth="1"/>
    <col min="15875" max="15875" width="19.7109375" style="70" customWidth="1"/>
    <col min="15876" max="15900" width="9.140625" style="70"/>
    <col min="15901" max="15905" width="15.140625" style="70" bestFit="1" customWidth="1"/>
    <col min="15906" max="15906" width="19.42578125" style="70" bestFit="1" customWidth="1"/>
    <col min="15907" max="15923" width="15.140625" style="70" bestFit="1" customWidth="1"/>
    <col min="15924" max="15924" width="20.42578125" style="70" bestFit="1" customWidth="1"/>
    <col min="15925" max="15925" width="19.42578125" style="70" bestFit="1" customWidth="1"/>
    <col min="15926" max="15938" width="15.140625" style="70" bestFit="1" customWidth="1"/>
    <col min="15939" max="16129" width="9.140625" style="70"/>
    <col min="16130" max="16130" width="112.28515625" style="70" customWidth="1"/>
    <col min="16131" max="16131" width="19.7109375" style="70" customWidth="1"/>
    <col min="16132" max="16156" width="9.140625" style="70"/>
    <col min="16157" max="16161" width="15.140625" style="70" bestFit="1" customWidth="1"/>
    <col min="16162" max="16162" width="19.42578125" style="70" bestFit="1" customWidth="1"/>
    <col min="16163" max="16179" width="15.140625" style="70" bestFit="1" customWidth="1"/>
    <col min="16180" max="16180" width="20.42578125" style="70" bestFit="1" customWidth="1"/>
    <col min="16181" max="16181" width="19.42578125" style="70" bestFit="1" customWidth="1"/>
    <col min="16182" max="16194" width="15.140625" style="70" bestFit="1" customWidth="1"/>
    <col min="16195" max="16384" width="9.140625" style="70"/>
  </cols>
  <sheetData>
    <row r="1" spans="1:66" s="65" customFormat="1" x14ac:dyDescent="0.2">
      <c r="A1" s="65" t="s">
        <v>0</v>
      </c>
      <c r="B1" s="65" t="s">
        <v>0</v>
      </c>
      <c r="C1" s="87" t="s">
        <v>445</v>
      </c>
      <c r="D1" s="65">
        <v>1</v>
      </c>
      <c r="E1" s="65">
        <v>2</v>
      </c>
      <c r="F1" s="65">
        <v>4</v>
      </c>
      <c r="G1" s="65">
        <v>6</v>
      </c>
      <c r="H1" s="65">
        <v>8</v>
      </c>
      <c r="I1" s="65">
        <v>10</v>
      </c>
      <c r="J1" s="65">
        <v>11</v>
      </c>
      <c r="K1" s="65">
        <v>12</v>
      </c>
      <c r="L1" s="65">
        <v>14</v>
      </c>
      <c r="M1" s="65">
        <v>15</v>
      </c>
      <c r="N1" s="65">
        <v>17</v>
      </c>
      <c r="O1" s="65">
        <v>19</v>
      </c>
      <c r="P1" s="65">
        <v>20</v>
      </c>
      <c r="Q1" s="97">
        <v>22</v>
      </c>
      <c r="R1" s="97">
        <v>24</v>
      </c>
      <c r="S1" s="65">
        <v>25</v>
      </c>
      <c r="T1" s="65">
        <v>26</v>
      </c>
      <c r="U1" s="97">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
      <c r="A2" s="65" t="s">
        <v>2</v>
      </c>
      <c r="B2" s="65" t="s">
        <v>2</v>
      </c>
      <c r="C2" s="87"/>
      <c r="D2" s="3" t="s">
        <v>3</v>
      </c>
      <c r="E2" s="3" t="s">
        <v>4</v>
      </c>
      <c r="F2" s="3" t="s">
        <v>5</v>
      </c>
      <c r="G2" s="3" t="s">
        <v>6</v>
      </c>
      <c r="H2" s="3" t="s">
        <v>7</v>
      </c>
      <c r="I2" s="3" t="s">
        <v>8</v>
      </c>
      <c r="J2" s="3" t="s">
        <v>9</v>
      </c>
      <c r="K2" s="3" t="s">
        <v>10</v>
      </c>
      <c r="L2" s="3" t="s">
        <v>11</v>
      </c>
      <c r="M2" s="3" t="s">
        <v>12</v>
      </c>
      <c r="N2" s="3" t="s">
        <v>13</v>
      </c>
      <c r="O2" s="3" t="s">
        <v>14</v>
      </c>
      <c r="P2" s="3" t="s">
        <v>15</v>
      </c>
      <c r="Q2" s="98" t="s">
        <v>16</v>
      </c>
      <c r="R2" s="97" t="s">
        <v>17</v>
      </c>
      <c r="S2" s="3" t="s">
        <v>18</v>
      </c>
      <c r="T2" s="3" t="s">
        <v>19</v>
      </c>
      <c r="U2" s="98"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65" t="s">
        <v>58</v>
      </c>
      <c r="BH2" s="65" t="s">
        <v>59</v>
      </c>
      <c r="BI2" s="3" t="s">
        <v>60</v>
      </c>
      <c r="BJ2" s="3" t="s">
        <v>61</v>
      </c>
      <c r="BK2" s="3" t="s">
        <v>62</v>
      </c>
      <c r="BL2" s="3" t="s">
        <v>63</v>
      </c>
      <c r="BM2" s="3" t="s">
        <v>64</v>
      </c>
      <c r="BN2" s="3" t="s">
        <v>65</v>
      </c>
    </row>
    <row r="3" spans="1:66" s="69" customFormat="1" hidden="1" x14ac:dyDescent="0.2">
      <c r="A3" s="66" t="s">
        <v>66</v>
      </c>
      <c r="B3" s="66" t="s">
        <v>67</v>
      </c>
      <c r="C3" s="88" t="s">
        <v>446</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
      <c r="A4" s="70" t="s">
        <v>69</v>
      </c>
      <c r="B4" s="70" t="s">
        <v>70</v>
      </c>
      <c r="C4" s="89"/>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
      <c r="A5" s="70" t="s">
        <v>71</v>
      </c>
      <c r="B5" s="70" t="s">
        <v>72</v>
      </c>
      <c r="C5" s="89"/>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
      <c r="A6" s="70" t="s">
        <v>73</v>
      </c>
      <c r="B6" s="70" t="s">
        <v>74</v>
      </c>
      <c r="C6" s="89"/>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
      <c r="A7" s="73" t="s">
        <v>75</v>
      </c>
      <c r="B7" s="73" t="s">
        <v>76</v>
      </c>
      <c r="C7" s="90" t="s">
        <v>446</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9"/>
      <c r="R7" s="99"/>
      <c r="S7" s="74">
        <v>45.343257904052734</v>
      </c>
      <c r="T7" s="74">
        <v>42.824390411376953</v>
      </c>
      <c r="U7" s="99"/>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
      <c r="A8" s="70" t="s">
        <v>77</v>
      </c>
      <c r="B8" s="70" t="s">
        <v>78</v>
      </c>
      <c r="C8" s="89"/>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
      <c r="A9" s="70" t="s">
        <v>79</v>
      </c>
      <c r="B9" s="70" t="s">
        <v>80</v>
      </c>
      <c r="C9" s="89"/>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
      <c r="A10" s="70" t="s">
        <v>81</v>
      </c>
      <c r="B10" s="70" t="s">
        <v>82</v>
      </c>
      <c r="C10" s="89"/>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
      <c r="A11" s="75" t="s">
        <v>83</v>
      </c>
      <c r="B11" s="76" t="s">
        <v>84</v>
      </c>
      <c r="C11" s="91" t="s">
        <v>447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9"/>
      <c r="R11" s="99"/>
      <c r="S11" s="76">
        <v>5.5414309501647949</v>
      </c>
      <c r="T11" s="76">
        <v>4.7244629859924316</v>
      </c>
      <c r="U11" s="99"/>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
      <c r="A12" s="77" t="s">
        <v>86</v>
      </c>
      <c r="B12" s="77" t="s">
        <v>87</v>
      </c>
      <c r="C12" s="92" t="s">
        <v>88</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100"/>
      <c r="R12" s="100"/>
      <c r="S12" s="78">
        <v>0.82161647081375122</v>
      </c>
      <c r="T12" s="78">
        <v>0.83523863554000854</v>
      </c>
      <c r="U12" s="100"/>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
      <c r="A13" s="70" t="s">
        <v>86</v>
      </c>
      <c r="B13" s="70" t="s">
        <v>417</v>
      </c>
      <c r="C13" s="89" t="s">
        <v>90</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
      <c r="A14" s="70" t="s">
        <v>91</v>
      </c>
      <c r="B14" s="70" t="s">
        <v>418</v>
      </c>
      <c r="C14" s="89" t="s">
        <v>90</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
      <c r="A15" s="77" t="s">
        <v>93</v>
      </c>
      <c r="B15" s="77" t="s">
        <v>94</v>
      </c>
      <c r="C15" s="92" t="s">
        <v>448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100"/>
      <c r="R15" s="100"/>
      <c r="S15" s="78">
        <v>1.7433180809020996</v>
      </c>
      <c r="T15" s="78">
        <v>1.5697422027587891</v>
      </c>
      <c r="U15" s="100"/>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
      <c r="A16" s="70" t="s">
        <v>95</v>
      </c>
      <c r="B16" s="70" t="s">
        <v>452</v>
      </c>
      <c r="C16" s="89" t="s">
        <v>90</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
      <c r="A17" s="70" t="s">
        <v>97</v>
      </c>
      <c r="B17" s="70" t="s">
        <v>453</v>
      </c>
      <c r="C17" s="89" t="s">
        <v>90</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
      <c r="A18" s="70" t="s">
        <v>99</v>
      </c>
      <c r="B18" s="70" t="s">
        <v>100</v>
      </c>
      <c r="C18" s="89" t="s">
        <v>90</v>
      </c>
      <c r="D18" s="79">
        <v>0.74945217370986938</v>
      </c>
      <c r="E18" s="79">
        <v>0.78490155935287476</v>
      </c>
      <c r="F18" s="79">
        <v>0.7020648717880249</v>
      </c>
      <c r="G18" s="79">
        <v>0.77806049585342407</v>
      </c>
      <c r="H18" s="79">
        <v>0.57972806692123413</v>
      </c>
      <c r="I18" s="79">
        <v>0.7112044095993042</v>
      </c>
      <c r="J18" s="79">
        <v>0.57454067468643188</v>
      </c>
      <c r="K18" s="79">
        <v>0.77319324016571045</v>
      </c>
      <c r="L18" s="79">
        <v>0.75557577610015869</v>
      </c>
      <c r="M18" s="79">
        <v>0.54948943853378296</v>
      </c>
      <c r="N18" s="79">
        <v>0.75360602140426636</v>
      </c>
      <c r="O18" s="79">
        <v>0.72394591569900513</v>
      </c>
      <c r="P18" s="79">
        <v>0.82326102256774902</v>
      </c>
      <c r="Q18" s="86"/>
      <c r="R18" s="86"/>
      <c r="S18" s="79">
        <v>0.77582472562789917</v>
      </c>
      <c r="T18" s="79">
        <v>0.66666668653488159</v>
      </c>
      <c r="U18" s="86"/>
      <c r="V18" s="79">
        <v>0.71761077642440796</v>
      </c>
      <c r="W18" s="79">
        <v>0.799721360206604</v>
      </c>
      <c r="X18" s="79">
        <v>0.80611944198608398</v>
      </c>
      <c r="Y18" s="79">
        <v>0.68382573127746582</v>
      </c>
      <c r="Z18" s="79">
        <v>0.57827544212341309</v>
      </c>
      <c r="AA18" s="79">
        <v>0.78605717420578003</v>
      </c>
      <c r="AB18" s="79">
        <v>0.75141447782516479</v>
      </c>
      <c r="AC18" s="79">
        <v>0.81099420785903931</v>
      </c>
      <c r="AD18" s="79">
        <v>0.70796769857406616</v>
      </c>
      <c r="AE18" s="79">
        <v>0.66199976205825806</v>
      </c>
      <c r="AF18" s="79">
        <v>0.66692262887954712</v>
      </c>
      <c r="AG18" s="79">
        <v>0.8054613471031189</v>
      </c>
      <c r="AH18" s="79">
        <v>0.79755926132202148</v>
      </c>
      <c r="AI18" s="79">
        <v>0.58251774311065674</v>
      </c>
      <c r="AJ18" s="79">
        <v>0.72376513481140137</v>
      </c>
      <c r="AK18" s="79">
        <v>0.6231081485748291</v>
      </c>
      <c r="AL18" s="79">
        <v>0.60801738500595093</v>
      </c>
      <c r="AM18" s="79">
        <v>0.63452303409576416</v>
      </c>
      <c r="AN18" s="79">
        <v>0.57710814476013184</v>
      </c>
      <c r="AO18" s="79">
        <v>0.72496795654296875</v>
      </c>
      <c r="AP18" s="79">
        <v>0.67858713865280151</v>
      </c>
      <c r="AQ18" s="79">
        <v>0.57040071487426758</v>
      </c>
      <c r="AR18" s="79">
        <v>0.60393029451370239</v>
      </c>
      <c r="AS18" s="79">
        <v>0.61632484197616577</v>
      </c>
      <c r="AT18" s="79">
        <v>0.60337746143341064</v>
      </c>
      <c r="AU18" s="79">
        <v>0.71357142925262451</v>
      </c>
      <c r="AV18" s="79">
        <v>0.67906099557876587</v>
      </c>
      <c r="AW18" s="79">
        <v>0.66793531179428101</v>
      </c>
      <c r="AX18" s="79">
        <v>0.77918815612792969</v>
      </c>
      <c r="AY18" s="79">
        <v>0.57612454891204834</v>
      </c>
      <c r="AZ18" s="79">
        <v>0.51796430349349976</v>
      </c>
      <c r="BA18" s="79">
        <v>0.51670730113983154</v>
      </c>
      <c r="BB18" s="79">
        <v>0.64657574892044067</v>
      </c>
      <c r="BC18" s="79">
        <v>0.55870592594146729</v>
      </c>
      <c r="BD18" s="79">
        <v>0.59736275672912598</v>
      </c>
      <c r="BE18" s="79">
        <v>0.50526750087738037</v>
      </c>
      <c r="BF18" s="79">
        <v>0.56855392456054688</v>
      </c>
      <c r="BG18" s="79">
        <v>0.48033282160758972</v>
      </c>
      <c r="BH18" s="79">
        <v>0.56879323720932007</v>
      </c>
      <c r="BI18" s="79">
        <v>0.47233474254608154</v>
      </c>
      <c r="BJ18" s="79">
        <v>0.42368891835212708</v>
      </c>
      <c r="BK18" s="79">
        <v>0.53832972049713135</v>
      </c>
      <c r="BL18" s="79">
        <v>0.47403484582901001</v>
      </c>
      <c r="BM18" s="79">
        <v>0.59213095903396606</v>
      </c>
      <c r="BN18" s="79">
        <v>0.47905722260475159</v>
      </c>
    </row>
    <row r="19" spans="1:66" x14ac:dyDescent="0.2">
      <c r="A19" s="70" t="s">
        <v>101</v>
      </c>
      <c r="B19" s="70" t="s">
        <v>102</v>
      </c>
      <c r="C19" s="89" t="s">
        <v>90</v>
      </c>
      <c r="D19" s="79">
        <v>0.74786281585693359</v>
      </c>
      <c r="E19" s="79">
        <v>0.81020534038543701</v>
      </c>
      <c r="F19" s="79">
        <v>0.65154463052749634</v>
      </c>
      <c r="G19" s="79">
        <v>0.7971348762512207</v>
      </c>
      <c r="H19" s="79">
        <v>0.640281081199646</v>
      </c>
      <c r="I19" s="79">
        <v>0.63832634687423706</v>
      </c>
      <c r="J19" s="79">
        <v>0.6530224084854126</v>
      </c>
      <c r="K19" s="79">
        <v>0.68732178211212158</v>
      </c>
      <c r="L19" s="79">
        <v>0.57294529676437378</v>
      </c>
      <c r="M19" s="79">
        <v>0.63508313894271851</v>
      </c>
      <c r="N19" s="79">
        <v>0.73902440071105957</v>
      </c>
      <c r="O19" s="79">
        <v>0.70200347900390625</v>
      </c>
      <c r="P19" s="79">
        <v>0.8723568320274353</v>
      </c>
      <c r="Q19" s="86"/>
      <c r="R19" s="86"/>
      <c r="S19" s="79">
        <v>0.71905934810638428</v>
      </c>
      <c r="T19" s="79">
        <v>0.66874170303344727</v>
      </c>
      <c r="U19" s="86"/>
      <c r="V19" s="79">
        <v>0.66345316171646118</v>
      </c>
      <c r="W19" s="79">
        <v>0.66774159669876099</v>
      </c>
      <c r="X19" s="79">
        <v>0.66360032558441162</v>
      </c>
      <c r="Y19" s="79">
        <v>0.69982826709747314</v>
      </c>
      <c r="Z19" s="79">
        <v>0.63248181343078613</v>
      </c>
      <c r="AA19" s="79">
        <v>0.81698119640350342</v>
      </c>
      <c r="AB19" s="79">
        <v>0.60431832075119019</v>
      </c>
      <c r="AC19" s="79">
        <v>0.78528416156768799</v>
      </c>
      <c r="AD19" s="79">
        <v>0.5956529974937439</v>
      </c>
      <c r="AE19" s="79">
        <v>0.62172561883926392</v>
      </c>
      <c r="AF19" s="79">
        <v>0.53379136323928833</v>
      </c>
      <c r="AG19" s="79">
        <v>0.62806379795074463</v>
      </c>
      <c r="AH19" s="79">
        <v>0.7345956563949585</v>
      </c>
      <c r="AI19" s="79">
        <v>0.53900277614593506</v>
      </c>
      <c r="AJ19" s="79">
        <v>0.64591604471206665</v>
      </c>
      <c r="AK19" s="79">
        <v>0.5900646448135376</v>
      </c>
      <c r="AL19" s="79">
        <v>0.50648635625839233</v>
      </c>
      <c r="AM19" s="79">
        <v>0.52722281217575073</v>
      </c>
      <c r="AN19" s="79">
        <v>0.59253489971160889</v>
      </c>
      <c r="AO19" s="79">
        <v>0.7200162410736084</v>
      </c>
      <c r="AP19" s="79">
        <v>0.640330970287323</v>
      </c>
      <c r="AQ19" s="79">
        <v>0.50780099630355835</v>
      </c>
      <c r="AR19" s="79">
        <v>0.58055680990219116</v>
      </c>
      <c r="AS19" s="79">
        <v>0.59338021278381348</v>
      </c>
      <c r="AT19" s="79">
        <v>0.59001821279525757</v>
      </c>
      <c r="AU19" s="79">
        <v>0.77508091926574707</v>
      </c>
      <c r="AV19" s="79">
        <v>0.60980206727981567</v>
      </c>
      <c r="AW19" s="79">
        <v>0.60837554931640625</v>
      </c>
      <c r="AX19" s="79">
        <v>0.79589575529098511</v>
      </c>
      <c r="AY19" s="79">
        <v>0.58272933959960938</v>
      </c>
      <c r="AZ19" s="79">
        <v>0.5129774808883667</v>
      </c>
      <c r="BA19" s="79">
        <v>0.56269955635070801</v>
      </c>
      <c r="BB19" s="79">
        <v>0.58700370788574219</v>
      </c>
      <c r="BC19" s="79">
        <v>0.44138121604919434</v>
      </c>
      <c r="BD19" s="79">
        <v>0.49736574292182922</v>
      </c>
      <c r="BE19" s="79">
        <v>0.41325011849403381</v>
      </c>
      <c r="BF19" s="79">
        <v>0.47878551483154297</v>
      </c>
      <c r="BG19" s="79">
        <v>0.49789798259735107</v>
      </c>
      <c r="BH19" s="79">
        <v>0.59215062856674194</v>
      </c>
      <c r="BI19" s="79">
        <v>0.48060467839241028</v>
      </c>
      <c r="BJ19" s="79">
        <v>0.40239909291267395</v>
      </c>
      <c r="BK19" s="79">
        <v>0.4556100070476532</v>
      </c>
      <c r="BL19" s="79">
        <v>0.55975407361984253</v>
      </c>
      <c r="BM19" s="79">
        <v>0.657520592212677</v>
      </c>
      <c r="BN19" s="79">
        <v>0.49570414423942566</v>
      </c>
    </row>
    <row r="20" spans="1:66" x14ac:dyDescent="0.2">
      <c r="A20" s="70" t="s">
        <v>103</v>
      </c>
      <c r="B20" s="70" t="s">
        <v>104</v>
      </c>
      <c r="C20" s="89" t="s">
        <v>90</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
      <c r="A21" s="70" t="s">
        <v>105</v>
      </c>
      <c r="B21" s="70" t="s">
        <v>106</v>
      </c>
      <c r="C21" s="89" t="s">
        <v>90</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
      <c r="A22" s="77" t="s">
        <v>107</v>
      </c>
      <c r="B22" s="77" t="s">
        <v>108</v>
      </c>
      <c r="C22" s="92" t="s">
        <v>448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100"/>
      <c r="R22" s="100"/>
      <c r="S22" s="78">
        <v>1.6054383516311646</v>
      </c>
      <c r="T22" s="78">
        <v>1.5703749656677246</v>
      </c>
      <c r="U22" s="100"/>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
      <c r="A23" s="70" t="s">
        <v>109</v>
      </c>
      <c r="B23" s="70" t="s">
        <v>110</v>
      </c>
      <c r="C23" s="89" t="s">
        <v>90</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
      <c r="A24" s="70" t="s">
        <v>111</v>
      </c>
      <c r="B24" s="70" t="s">
        <v>112</v>
      </c>
      <c r="C24" s="89" t="s">
        <v>90</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
      <c r="A25" s="70" t="s">
        <v>113</v>
      </c>
      <c r="B25" s="70" t="s">
        <v>114</v>
      </c>
      <c r="C25" s="89" t="s">
        <v>90</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
      <c r="A26" s="70" t="s">
        <v>115</v>
      </c>
      <c r="B26" s="70" t="s">
        <v>116</v>
      </c>
      <c r="C26" s="89" t="s">
        <v>90</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
      <c r="A27" s="70" t="s">
        <v>117</v>
      </c>
      <c r="B27" s="70" t="s">
        <v>118</v>
      </c>
      <c r="C27" s="89" t="s">
        <v>90</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
      <c r="A28" s="70" t="s">
        <v>119</v>
      </c>
      <c r="B28" s="70" t="s">
        <v>120</v>
      </c>
      <c r="C28" s="89" t="s">
        <v>90</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
      <c r="A29" s="77" t="s">
        <v>121</v>
      </c>
      <c r="B29" s="77" t="s">
        <v>122</v>
      </c>
      <c r="C29" s="92" t="s">
        <v>448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100"/>
      <c r="R29" s="100"/>
      <c r="S29" s="78">
        <v>1.3710582256317139</v>
      </c>
      <c r="T29" s="78">
        <v>0.7491074800491333</v>
      </c>
      <c r="U29" s="100"/>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
      <c r="A30" s="70" t="s">
        <v>123</v>
      </c>
      <c r="B30" s="70" t="s">
        <v>124</v>
      </c>
      <c r="C30" s="89" t="s">
        <v>90</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
      <c r="A31" s="70" t="s">
        <v>125</v>
      </c>
      <c r="B31" s="70" t="s">
        <v>126</v>
      </c>
      <c r="C31" s="89" t="s">
        <v>90</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
      <c r="A32" s="70" t="s">
        <v>127</v>
      </c>
      <c r="B32" s="70" t="s">
        <v>128</v>
      </c>
      <c r="C32" s="89" t="s">
        <v>90</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
      <c r="A33" s="70" t="s">
        <v>129</v>
      </c>
      <c r="B33" s="70" t="s">
        <v>130</v>
      </c>
      <c r="C33" s="89" t="s">
        <v>90</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
      <c r="A34" s="70" t="s">
        <v>131</v>
      </c>
      <c r="B34" s="70" t="s">
        <v>132</v>
      </c>
      <c r="C34" s="89" t="s">
        <v>90</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
      <c r="A35" s="75" t="s">
        <v>133</v>
      </c>
      <c r="B35" s="76" t="s">
        <v>134</v>
      </c>
      <c r="C35" s="91" t="s">
        <v>447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9"/>
      <c r="R35" s="99"/>
      <c r="S35" s="76">
        <v>5.8419151306152344</v>
      </c>
      <c r="T35" s="76">
        <v>5.1938562393188477</v>
      </c>
      <c r="U35" s="99"/>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
      <c r="A36" s="77" t="s">
        <v>135</v>
      </c>
      <c r="B36" s="77" t="s">
        <v>419</v>
      </c>
      <c r="C36" s="92" t="s">
        <v>448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100"/>
      <c r="R36" s="100"/>
      <c r="S36" s="78">
        <v>0.81402325630187988</v>
      </c>
      <c r="T36" s="78">
        <v>0.8718600869178772</v>
      </c>
      <c r="U36" s="100"/>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
      <c r="A37" s="70" t="s">
        <v>137</v>
      </c>
      <c r="B37" s="70" t="s">
        <v>138</v>
      </c>
      <c r="C37" s="89" t="s">
        <v>90</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
      <c r="A38" s="70" t="s">
        <v>139</v>
      </c>
      <c r="B38" s="70" t="s">
        <v>140</v>
      </c>
      <c r="C38" s="89" t="s">
        <v>90</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
      <c r="A39" s="70" t="s">
        <v>141</v>
      </c>
      <c r="B39" s="70" t="s">
        <v>142</v>
      </c>
      <c r="C39" s="89" t="s">
        <v>90</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
      <c r="A40" s="70" t="s">
        <v>143</v>
      </c>
      <c r="B40" s="70" t="s">
        <v>144</v>
      </c>
      <c r="C40" s="89" t="s">
        <v>90</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
      <c r="A41" s="70" t="s">
        <v>145</v>
      </c>
      <c r="B41" s="70" t="s">
        <v>146</v>
      </c>
      <c r="C41" s="89" t="s">
        <v>90</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
      <c r="A42" s="70" t="s">
        <v>147</v>
      </c>
      <c r="B42" s="70" t="s">
        <v>148</v>
      </c>
      <c r="C42" s="89" t="s">
        <v>90</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
      <c r="A43" s="77" t="s">
        <v>149</v>
      </c>
      <c r="B43" s="77" t="s">
        <v>150</v>
      </c>
      <c r="C43" s="92" t="s">
        <v>448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100"/>
      <c r="R43" s="100"/>
      <c r="S43" s="78">
        <v>2.1392836570739746</v>
      </c>
      <c r="T43" s="78">
        <v>1.6278023719787598</v>
      </c>
      <c r="U43" s="100"/>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
      <c r="A44" s="70" t="s">
        <v>151</v>
      </c>
      <c r="B44" s="70" t="s">
        <v>152</v>
      </c>
      <c r="C44" s="89" t="s">
        <v>90</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
      <c r="A45" s="70" t="s">
        <v>153</v>
      </c>
      <c r="B45" s="70" t="s">
        <v>154</v>
      </c>
      <c r="C45" s="89" t="s">
        <v>90</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
      <c r="A46" s="70" t="s">
        <v>155</v>
      </c>
      <c r="B46" s="70" t="s">
        <v>156</v>
      </c>
      <c r="C46" s="89" t="s">
        <v>90</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
      <c r="A47" s="77" t="s">
        <v>157</v>
      </c>
      <c r="B47" s="77" t="s">
        <v>158</v>
      </c>
      <c r="C47" s="92" t="s">
        <v>448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100"/>
      <c r="R47" s="100"/>
      <c r="S47" s="78">
        <v>1.5551556348800659</v>
      </c>
      <c r="T47" s="78">
        <v>1.332904577255249</v>
      </c>
      <c r="U47" s="100"/>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
      <c r="A48" s="70" t="s">
        <v>159</v>
      </c>
      <c r="B48" s="70" t="s">
        <v>160</v>
      </c>
      <c r="C48" s="89" t="s">
        <v>90</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
      <c r="A49" s="70" t="s">
        <v>161</v>
      </c>
      <c r="B49" s="70" t="s">
        <v>162</v>
      </c>
      <c r="C49" s="89" t="s">
        <v>90</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
      <c r="A50" s="70" t="s">
        <v>163</v>
      </c>
      <c r="B50" s="70" t="s">
        <v>164</v>
      </c>
      <c r="C50" s="89" t="s">
        <v>90</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
      <c r="A51" s="77" t="s">
        <v>165</v>
      </c>
      <c r="B51" s="77" t="s">
        <v>166</v>
      </c>
      <c r="C51" s="92" t="s">
        <v>448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100"/>
      <c r="R51" s="100"/>
      <c r="S51" s="78">
        <v>1.3334524631500244</v>
      </c>
      <c r="T51" s="78">
        <v>1.3612889051437378</v>
      </c>
      <c r="U51" s="100"/>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
      <c r="A52" s="70" t="s">
        <v>167</v>
      </c>
      <c r="B52" s="70" t="s">
        <v>168</v>
      </c>
      <c r="C52" s="89" t="s">
        <v>90</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
      <c r="A53" s="70" t="s">
        <v>169</v>
      </c>
      <c r="B53" s="70" t="s">
        <v>170</v>
      </c>
      <c r="C53" s="89" t="s">
        <v>90</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
      <c r="A54" s="70" t="s">
        <v>171</v>
      </c>
      <c r="B54" s="70" t="s">
        <v>172</v>
      </c>
      <c r="C54" s="89" t="s">
        <v>90</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
      <c r="A55" s="70" t="s">
        <v>173</v>
      </c>
      <c r="B55" s="70" t="s">
        <v>174</v>
      </c>
      <c r="C55" s="89" t="s">
        <v>175</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
      <c r="A56" s="70" t="s">
        <v>176</v>
      </c>
      <c r="B56" s="70" t="s">
        <v>177</v>
      </c>
      <c r="C56" s="89" t="s">
        <v>90</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
      <c r="A57" s="70" t="s">
        <v>178</v>
      </c>
      <c r="B57" s="70" t="s">
        <v>179</v>
      </c>
      <c r="C57" s="89" t="s">
        <v>90</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
      <c r="A58" s="70" t="s">
        <v>180</v>
      </c>
      <c r="B58" s="70" t="s">
        <v>181</v>
      </c>
      <c r="C58" s="89" t="s">
        <v>90</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
      <c r="A59" s="70" t="s">
        <v>182</v>
      </c>
      <c r="B59" s="70" t="s">
        <v>183</v>
      </c>
      <c r="C59" s="89" t="s">
        <v>90</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
      <c r="A60" s="70" t="s">
        <v>184</v>
      </c>
      <c r="B60" s="70" t="s">
        <v>185</v>
      </c>
      <c r="C60" s="89" t="s">
        <v>90</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
      <c r="A61" s="75" t="s">
        <v>186</v>
      </c>
      <c r="B61" s="76" t="s">
        <v>187</v>
      </c>
      <c r="C61" s="91" t="s">
        <v>85</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9"/>
      <c r="R61" s="99"/>
      <c r="S61" s="76">
        <v>4.4731888771057129</v>
      </c>
      <c r="T61" s="76">
        <v>4.4170184135437012</v>
      </c>
      <c r="U61" s="99"/>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
      <c r="A62" s="77" t="s">
        <v>188</v>
      </c>
      <c r="B62" s="77" t="s">
        <v>189</v>
      </c>
      <c r="C62" s="92" t="s">
        <v>449</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100"/>
      <c r="R62" s="100"/>
      <c r="S62" s="78">
        <v>2.0518944263458252</v>
      </c>
      <c r="T62" s="78">
        <v>2.0483293533325195</v>
      </c>
      <c r="U62" s="100"/>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
      <c r="A63" s="70" t="s">
        <v>191</v>
      </c>
      <c r="B63" s="70" t="s">
        <v>192</v>
      </c>
      <c r="C63" s="89" t="s">
        <v>90</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
      <c r="A64" s="70" t="s">
        <v>193</v>
      </c>
      <c r="B64" s="70" t="s">
        <v>194</v>
      </c>
      <c r="C64" s="89" t="s">
        <v>90</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
      <c r="A65" s="70" t="s">
        <v>195</v>
      </c>
      <c r="B65" s="70" t="s">
        <v>196</v>
      </c>
      <c r="C65" s="89" t="s">
        <v>90</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
      <c r="A66" s="70" t="s">
        <v>197</v>
      </c>
      <c r="B66" s="70" t="s">
        <v>198</v>
      </c>
      <c r="C66" s="89" t="s">
        <v>90</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
      <c r="A67" s="70" t="s">
        <v>199</v>
      </c>
      <c r="B67" s="70" t="s">
        <v>200</v>
      </c>
      <c r="C67" s="89" t="s">
        <v>90</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
      <c r="A68" s="70" t="s">
        <v>201</v>
      </c>
      <c r="B68" s="70" t="s">
        <v>202</v>
      </c>
      <c r="C68" s="89" t="s">
        <v>90</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
      <c r="A69" s="70" t="s">
        <v>203</v>
      </c>
      <c r="B69" s="70" t="s">
        <v>204</v>
      </c>
      <c r="C69" s="89" t="s">
        <v>90</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
      <c r="A70" s="70" t="s">
        <v>205</v>
      </c>
      <c r="B70" s="70" t="s">
        <v>206</v>
      </c>
      <c r="C70" s="89" t="s">
        <v>90</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
      <c r="A71" s="77" t="s">
        <v>207</v>
      </c>
      <c r="B71" s="77" t="s">
        <v>421</v>
      </c>
      <c r="C71" s="92" t="s">
        <v>449</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100"/>
      <c r="R71" s="100"/>
      <c r="S71" s="78">
        <v>0.48207703232765198</v>
      </c>
      <c r="T71" s="78">
        <v>0.53739988803863525</v>
      </c>
      <c r="U71" s="100"/>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
      <c r="A72" s="70" t="s">
        <v>209</v>
      </c>
      <c r="B72" s="70" t="s">
        <v>210</v>
      </c>
      <c r="C72" s="89" t="s">
        <v>90</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
      <c r="A73" s="70" t="s">
        <v>211</v>
      </c>
      <c r="B73" s="70" t="s">
        <v>212</v>
      </c>
      <c r="C73" s="89" t="s">
        <v>90</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
      <c r="A74" s="77" t="s">
        <v>213</v>
      </c>
      <c r="B74" s="77" t="s">
        <v>420</v>
      </c>
      <c r="C74" s="92" t="s">
        <v>449</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100"/>
      <c r="R74" s="100"/>
      <c r="S74" s="78">
        <v>1.9392178058624268</v>
      </c>
      <c r="T74" s="78">
        <v>1.8312891721725464</v>
      </c>
      <c r="U74" s="100"/>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
      <c r="A75" s="70" t="s">
        <v>215</v>
      </c>
      <c r="B75" s="70" t="s">
        <v>216</v>
      </c>
      <c r="C75" s="89" t="s">
        <v>90</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
      <c r="A76" s="70" t="s">
        <v>217</v>
      </c>
      <c r="B76" s="70" t="s">
        <v>218</v>
      </c>
      <c r="C76" s="89" t="s">
        <v>90</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
      <c r="A77" s="70" t="s">
        <v>219</v>
      </c>
      <c r="B77" s="70" t="s">
        <v>220</v>
      </c>
      <c r="C77" s="89" t="s">
        <v>90</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
      <c r="A78" s="75" t="s">
        <v>221</v>
      </c>
      <c r="B78" s="76" t="s">
        <v>222</v>
      </c>
      <c r="C78" s="91" t="s">
        <v>447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9"/>
      <c r="R78" s="99"/>
      <c r="S78" s="76">
        <v>7.4818739891052246</v>
      </c>
      <c r="T78" s="76">
        <v>6.2446436882019043</v>
      </c>
      <c r="U78" s="99"/>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
      <c r="A79" s="77" t="s">
        <v>223</v>
      </c>
      <c r="B79" s="77" t="s">
        <v>224</v>
      </c>
      <c r="C79" s="92" t="s">
        <v>448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100"/>
      <c r="R79" s="100"/>
      <c r="S79" s="78">
        <v>1.9206078052520752</v>
      </c>
      <c r="T79" s="78">
        <v>1.5140323638916016</v>
      </c>
      <c r="U79" s="100"/>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
      <c r="A80" s="70" t="s">
        <v>225</v>
      </c>
      <c r="B80" s="70" t="s">
        <v>226</v>
      </c>
      <c r="C80" s="89" t="s">
        <v>90</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
      <c r="A81" s="70" t="s">
        <v>227</v>
      </c>
      <c r="B81" s="70" t="s">
        <v>228</v>
      </c>
      <c r="C81" s="89" t="s">
        <v>90</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2">
      <c r="A82" s="70" t="s">
        <v>229</v>
      </c>
      <c r="B82" s="21" t="s">
        <v>237</v>
      </c>
      <c r="C82" s="89" t="s">
        <v>90</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2">
      <c r="A83" s="70" t="s">
        <v>231</v>
      </c>
      <c r="B83" s="21" t="s">
        <v>232</v>
      </c>
      <c r="C83" s="89" t="s">
        <v>90</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2">
      <c r="A84" s="70" t="s">
        <v>233</v>
      </c>
      <c r="B84" s="21" t="s">
        <v>230</v>
      </c>
      <c r="C84" s="89" t="s">
        <v>90</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
      <c r="A85" s="77" t="s">
        <v>234</v>
      </c>
      <c r="B85" s="77" t="s">
        <v>235</v>
      </c>
      <c r="C85" s="92" t="s">
        <v>448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100"/>
      <c r="R85" s="100"/>
      <c r="S85" s="78">
        <v>2.1966252326965332</v>
      </c>
      <c r="T85" s="78">
        <v>1.8710904121398926</v>
      </c>
      <c r="U85" s="100"/>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2">
      <c r="A86" s="70" t="s">
        <v>236</v>
      </c>
      <c r="B86" s="21" t="s">
        <v>423</v>
      </c>
      <c r="C86" s="89" t="s">
        <v>90</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2">
      <c r="A87" s="70" t="s">
        <v>238</v>
      </c>
      <c r="B87" s="21" t="s">
        <v>424</v>
      </c>
      <c r="C87" s="89" t="s">
        <v>90</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
      <c r="A88" s="77" t="s">
        <v>239</v>
      </c>
      <c r="B88" s="77" t="s">
        <v>240</v>
      </c>
      <c r="C88" s="92" t="s">
        <v>448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100"/>
      <c r="R88" s="100"/>
      <c r="S88" s="78">
        <v>1.3494349718093872</v>
      </c>
      <c r="T88" s="78">
        <v>0.94096052646636963</v>
      </c>
      <c r="U88" s="100"/>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
      <c r="A89" s="70" t="s">
        <v>241</v>
      </c>
      <c r="B89" s="70" t="s">
        <v>242</v>
      </c>
      <c r="C89" s="89" t="s">
        <v>90</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
      <c r="A90" s="70" t="s">
        <v>243</v>
      </c>
      <c r="B90" s="70" t="s">
        <v>244</v>
      </c>
      <c r="C90" s="89" t="s">
        <v>245</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
      <c r="A91" s="77" t="s">
        <v>246</v>
      </c>
      <c r="B91" s="77" t="s">
        <v>422</v>
      </c>
      <c r="C91" s="92" t="s">
        <v>448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100"/>
      <c r="R91" s="100"/>
      <c r="S91" s="78">
        <v>2.0152060985565186</v>
      </c>
      <c r="T91" s="78">
        <v>1.9185600280761719</v>
      </c>
      <c r="U91" s="100"/>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
      <c r="A92" s="70" t="s">
        <v>248</v>
      </c>
      <c r="B92" s="70" t="s">
        <v>249</v>
      </c>
      <c r="C92" s="89" t="s">
        <v>90</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
      <c r="A93" s="70" t="s">
        <v>250</v>
      </c>
      <c r="B93" s="70" t="s">
        <v>251</v>
      </c>
      <c r="C93" s="89" t="s">
        <v>90</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
      <c r="A94" s="70" t="s">
        <v>252</v>
      </c>
      <c r="B94" s="70" t="s">
        <v>253</v>
      </c>
      <c r="C94" s="89" t="s">
        <v>254</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101"/>
      <c r="R94" s="101"/>
      <c r="S94" s="82">
        <v>34534.9765625</v>
      </c>
      <c r="T94" s="82">
        <v>27230.400390625</v>
      </c>
      <c r="U94" s="101"/>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
      <c r="A95" s="70" t="s">
        <v>255</v>
      </c>
      <c r="B95" s="70" t="s">
        <v>256</v>
      </c>
      <c r="C95" s="89" t="s">
        <v>90</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
      <c r="A96" s="85" t="s">
        <v>257</v>
      </c>
      <c r="B96" s="85" t="s">
        <v>258</v>
      </c>
      <c r="C96" s="93" t="s">
        <v>90</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
      <c r="A97" s="85" t="s">
        <v>259</v>
      </c>
      <c r="B97" s="85" t="s">
        <v>260</v>
      </c>
      <c r="C97" s="93" t="s">
        <v>90</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
      <c r="A98" s="75" t="s">
        <v>261</v>
      </c>
      <c r="B98" s="76" t="s">
        <v>450</v>
      </c>
      <c r="C98" s="91" t="s">
        <v>85</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9"/>
      <c r="R98" s="99"/>
      <c r="S98" s="76">
        <v>7.3868484497070313</v>
      </c>
      <c r="T98" s="76">
        <v>7.7652897834777832</v>
      </c>
      <c r="U98" s="99"/>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
      <c r="A99" s="77" t="s">
        <v>263</v>
      </c>
      <c r="B99" s="77" t="s">
        <v>264</v>
      </c>
      <c r="C99" s="92" t="s">
        <v>449</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100"/>
      <c r="R99" s="100"/>
      <c r="S99" s="78">
        <v>2.4707839488983154</v>
      </c>
      <c r="T99" s="78">
        <v>2.7174270153045654</v>
      </c>
      <c r="U99" s="100"/>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
      <c r="A100" s="70" t="s">
        <v>265</v>
      </c>
      <c r="B100" s="70" t="s">
        <v>266</v>
      </c>
      <c r="C100" s="89" t="s">
        <v>90</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
      <c r="A101" s="70" t="s">
        <v>267</v>
      </c>
      <c r="B101" s="70" t="s">
        <v>268</v>
      </c>
      <c r="C101" s="89" t="s">
        <v>269</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
      <c r="A102" s="70" t="s">
        <v>270</v>
      </c>
      <c r="B102" s="70" t="s">
        <v>271</v>
      </c>
      <c r="C102" s="89" t="s">
        <v>272</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
      <c r="A103" s="77" t="s">
        <v>286</v>
      </c>
      <c r="B103" s="77" t="s">
        <v>287</v>
      </c>
      <c r="C103" s="92" t="s">
        <v>449</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100"/>
      <c r="R103" s="100"/>
      <c r="S103" s="78">
        <v>2.3816554546356201</v>
      </c>
      <c r="T103" s="78">
        <v>2.4721145629882813</v>
      </c>
      <c r="U103" s="100"/>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
      <c r="A104" s="70" t="s">
        <v>288</v>
      </c>
      <c r="B104" s="70" t="s">
        <v>289</v>
      </c>
      <c r="C104" s="89" t="s">
        <v>90</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
      <c r="A105" s="70" t="s">
        <v>290</v>
      </c>
      <c r="B105" s="70" t="s">
        <v>291</v>
      </c>
      <c r="C105" s="89" t="s">
        <v>90</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
      <c r="A106" s="70" t="s">
        <v>292</v>
      </c>
      <c r="B106" s="70" t="s">
        <v>293</v>
      </c>
      <c r="C106" s="89" t="s">
        <v>90</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
      <c r="A107" s="70" t="s">
        <v>294</v>
      </c>
      <c r="B107" s="70" t="s">
        <v>295</v>
      </c>
      <c r="C107" s="89" t="s">
        <v>269</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
      <c r="A108" s="70" t="s">
        <v>296</v>
      </c>
      <c r="B108" s="70" t="s">
        <v>271</v>
      </c>
      <c r="C108" s="89" t="s">
        <v>272</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
      <c r="A109" s="77" t="s">
        <v>297</v>
      </c>
      <c r="B109" s="77" t="s">
        <v>298</v>
      </c>
      <c r="C109" s="92" t="s">
        <v>449</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100"/>
      <c r="R109" s="100"/>
      <c r="S109" s="78">
        <v>2.5344085693359375</v>
      </c>
      <c r="T109" s="78">
        <v>2.5757484436035156</v>
      </c>
      <c r="U109" s="100"/>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
      <c r="A110" s="70" t="s">
        <v>299</v>
      </c>
      <c r="B110" s="70" t="s">
        <v>300</v>
      </c>
      <c r="C110" s="89" t="s">
        <v>90</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
      <c r="A111" s="70" t="s">
        <v>301</v>
      </c>
      <c r="B111" s="70" t="s">
        <v>302</v>
      </c>
      <c r="C111" s="89" t="s">
        <v>90</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
      <c r="A112" s="70" t="s">
        <v>303</v>
      </c>
      <c r="B112" s="70" t="s">
        <v>304</v>
      </c>
      <c r="C112" s="89" t="s">
        <v>269</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
      <c r="A113" s="70" t="s">
        <v>305</v>
      </c>
      <c r="B113" s="70" t="s">
        <v>271</v>
      </c>
      <c r="C113" s="89" t="s">
        <v>272</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
      <c r="A114" s="75" t="s">
        <v>306</v>
      </c>
      <c r="B114" s="76" t="s">
        <v>307</v>
      </c>
      <c r="C114" s="91" t="s">
        <v>447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9"/>
      <c r="R114" s="99"/>
      <c r="S114" s="76">
        <v>7.8959555625915527</v>
      </c>
      <c r="T114" s="76">
        <v>8.1132345199584961</v>
      </c>
      <c r="U114" s="99"/>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
      <c r="A115" s="77" t="s">
        <v>308</v>
      </c>
      <c r="B115" s="77" t="s">
        <v>309</v>
      </c>
      <c r="C115" s="92" t="s">
        <v>448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100"/>
      <c r="R115" s="100"/>
      <c r="S115" s="78">
        <v>2.0411853790283203</v>
      </c>
      <c r="T115" s="78">
        <v>1.9870467185974121</v>
      </c>
      <c r="U115" s="100"/>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
      <c r="A116" s="70" t="s">
        <v>310</v>
      </c>
      <c r="B116" s="70" t="s">
        <v>311</v>
      </c>
      <c r="C116" s="89" t="s">
        <v>90</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
      <c r="A117" s="70" t="s">
        <v>312</v>
      </c>
      <c r="B117" s="70" t="s">
        <v>313</v>
      </c>
      <c r="C117" s="89" t="s">
        <v>269</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
      <c r="A118" s="70" t="s">
        <v>314</v>
      </c>
      <c r="B118" s="70" t="s">
        <v>315</v>
      </c>
      <c r="C118" s="89" t="s">
        <v>245</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
      <c r="A119" s="70" t="s">
        <v>316</v>
      </c>
      <c r="B119" s="70" t="s">
        <v>317</v>
      </c>
      <c r="C119" s="89" t="s">
        <v>90</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
      <c r="A120" s="70" t="s">
        <v>318</v>
      </c>
      <c r="B120" s="70" t="s">
        <v>319</v>
      </c>
      <c r="C120" s="89" t="s">
        <v>90</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
      <c r="A121" s="70" t="s">
        <v>320</v>
      </c>
      <c r="B121" s="70" t="s">
        <v>321</v>
      </c>
      <c r="C121" s="89" t="s">
        <v>85</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
      <c r="A122" s="77" t="s">
        <v>322</v>
      </c>
      <c r="B122" s="77" t="s">
        <v>323</v>
      </c>
      <c r="C122" s="92" t="s">
        <v>448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100"/>
      <c r="R122" s="100"/>
      <c r="S122" s="78">
        <v>1.7372336387634277</v>
      </c>
      <c r="T122" s="78">
        <v>1.9781367778778076</v>
      </c>
      <c r="U122" s="100"/>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
      <c r="A123" s="70" t="s">
        <v>324</v>
      </c>
      <c r="B123" s="70" t="s">
        <v>325</v>
      </c>
      <c r="C123" s="89" t="s">
        <v>326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
      <c r="A124" s="70" t="s">
        <v>327</v>
      </c>
      <c r="B124" s="70" t="s">
        <v>328</v>
      </c>
      <c r="C124" s="89" t="s">
        <v>326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
      <c r="A125" s="70" t="s">
        <v>329</v>
      </c>
      <c r="B125" s="70" t="s">
        <v>330</v>
      </c>
      <c r="C125" s="89" t="s">
        <v>245</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
      <c r="A126" s="70" t="s">
        <v>331</v>
      </c>
      <c r="B126" s="70" t="s">
        <v>332</v>
      </c>
      <c r="C126" s="89" t="s">
        <v>333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
      <c r="A127" s="77" t="s">
        <v>334</v>
      </c>
      <c r="B127" s="77" t="s">
        <v>335</v>
      </c>
      <c r="C127" s="92" t="s">
        <v>448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100"/>
      <c r="R127" s="100"/>
      <c r="S127" s="78">
        <v>2.1036622524261475</v>
      </c>
      <c r="T127" s="78">
        <v>2.2269763946533203</v>
      </c>
      <c r="U127" s="100"/>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
      <c r="A128" s="70" t="s">
        <v>336</v>
      </c>
      <c r="B128" s="70" t="s">
        <v>337</v>
      </c>
      <c r="C128" s="89" t="s">
        <v>90</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
      <c r="A129" s="70" t="s">
        <v>338</v>
      </c>
      <c r="B129" s="70" t="s">
        <v>339</v>
      </c>
      <c r="C129" s="89" t="s">
        <v>90</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
      <c r="A130" s="70" t="s">
        <v>340</v>
      </c>
      <c r="B130" s="70" t="s">
        <v>341</v>
      </c>
      <c r="C130" s="89" t="s">
        <v>342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
      <c r="A131" s="70" t="s">
        <v>343</v>
      </c>
      <c r="B131" s="70" t="s">
        <v>344</v>
      </c>
      <c r="C131" s="89" t="s">
        <v>269</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
      <c r="A132" s="70" t="s">
        <v>345</v>
      </c>
      <c r="B132" s="70" t="s">
        <v>346</v>
      </c>
      <c r="C132" s="89" t="s">
        <v>90</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
      <c r="A133" s="70" t="s">
        <v>347</v>
      </c>
      <c r="B133" s="70" t="s">
        <v>348</v>
      </c>
      <c r="C133" s="89" t="s">
        <v>90</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
      <c r="A134" s="77" t="s">
        <v>349</v>
      </c>
      <c r="B134" s="77" t="s">
        <v>350</v>
      </c>
      <c r="C134" s="92" t="s">
        <v>448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100"/>
      <c r="R134" s="100"/>
      <c r="S134" s="78">
        <v>2.0138742923736572</v>
      </c>
      <c r="T134" s="78">
        <v>1.9210748672485352</v>
      </c>
      <c r="U134" s="100"/>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
      <c r="A135" s="70" t="s">
        <v>351</v>
      </c>
      <c r="B135" s="70" t="s">
        <v>352</v>
      </c>
      <c r="C135" s="89" t="s">
        <v>175</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
      <c r="A136" s="70" t="s">
        <v>353</v>
      </c>
      <c r="B136" s="70" t="s">
        <v>354</v>
      </c>
      <c r="C136" s="89" t="s">
        <v>90</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
      <c r="A137" s="70" t="s">
        <v>355</v>
      </c>
      <c r="B137" s="70" t="s">
        <v>356</v>
      </c>
      <c r="C137" s="89" t="s">
        <v>90</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102"/>
      <c r="R137" s="102"/>
      <c r="S137" s="84">
        <v>2.2234151363372803</v>
      </c>
      <c r="T137" s="84">
        <v>2.2209031581878662</v>
      </c>
      <c r="U137" s="102"/>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
      <c r="A138" s="70" t="s">
        <v>357</v>
      </c>
      <c r="B138" s="70" t="s">
        <v>358</v>
      </c>
      <c r="C138" s="89" t="s">
        <v>175</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
      <c r="A139" s="70" t="s">
        <v>359</v>
      </c>
      <c r="B139" s="70" t="s">
        <v>360</v>
      </c>
      <c r="C139" s="89" t="s">
        <v>175</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
      <c r="A140" s="75" t="s">
        <v>361</v>
      </c>
      <c r="B140" s="76" t="s">
        <v>362</v>
      </c>
      <c r="C140" s="91" t="s">
        <v>447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9"/>
      <c r="R140" s="99"/>
      <c r="S140" s="76">
        <v>3.6451859474182129</v>
      </c>
      <c r="T140" s="76">
        <v>3.0221130847930908</v>
      </c>
      <c r="U140" s="99"/>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
      <c r="A141" s="77" t="s">
        <v>363</v>
      </c>
      <c r="B141" s="77" t="s">
        <v>364</v>
      </c>
      <c r="C141" s="92" t="s">
        <v>449</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100"/>
      <c r="R141" s="100"/>
      <c r="S141" s="78">
        <v>1.1764386892318726</v>
      </c>
      <c r="T141" s="78">
        <v>0.86853879690170288</v>
      </c>
      <c r="U141" s="100"/>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
      <c r="A142" s="70" t="s">
        <v>365</v>
      </c>
      <c r="B142" s="70" t="s">
        <v>366</v>
      </c>
      <c r="C142" s="89" t="s">
        <v>90</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
      <c r="A143" s="70" t="s">
        <v>367</v>
      </c>
      <c r="B143" s="70" t="s">
        <v>368</v>
      </c>
      <c r="C143" s="89" t="s">
        <v>90</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
      <c r="A144" s="70" t="s">
        <v>369</v>
      </c>
      <c r="B144" s="70" t="s">
        <v>370</v>
      </c>
      <c r="C144" s="89" t="s">
        <v>90</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
      <c r="A145" s="70" t="s">
        <v>371</v>
      </c>
      <c r="B145" s="70" t="s">
        <v>372</v>
      </c>
      <c r="C145" s="89" t="s">
        <v>90</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
      <c r="A146" s="77" t="s">
        <v>373</v>
      </c>
      <c r="B146" s="77" t="s">
        <v>374</v>
      </c>
      <c r="C146" s="92" t="s">
        <v>449</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100"/>
      <c r="R146" s="100"/>
      <c r="S146" s="78">
        <v>1.8790069818496704</v>
      </c>
      <c r="T146" s="78">
        <v>1.6810048818588257</v>
      </c>
      <c r="U146" s="100"/>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
      <c r="A147" s="70" t="s">
        <v>375</v>
      </c>
      <c r="B147" s="70" t="s">
        <v>376</v>
      </c>
      <c r="C147" s="89" t="s">
        <v>90</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
      <c r="A148" s="70" t="s">
        <v>377</v>
      </c>
      <c r="B148" s="70" t="s">
        <v>378</v>
      </c>
      <c r="C148" s="89" t="s">
        <v>90</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
      <c r="A149" s="70" t="s">
        <v>379</v>
      </c>
      <c r="B149" s="70" t="s">
        <v>380</v>
      </c>
      <c r="C149" s="89" t="s">
        <v>90</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
      <c r="A150" s="77" t="s">
        <v>381</v>
      </c>
      <c r="B150" s="77" t="s">
        <v>382</v>
      </c>
      <c r="C150" s="92" t="s">
        <v>449</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100"/>
      <c r="R150" s="100"/>
      <c r="S150" s="78">
        <v>0.58974021673202515</v>
      </c>
      <c r="T150" s="78">
        <v>0.47256928682327271</v>
      </c>
      <c r="U150" s="100"/>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
      <c r="A151" s="70" t="s">
        <v>383</v>
      </c>
      <c r="B151" s="70" t="s">
        <v>384</v>
      </c>
      <c r="C151" s="89" t="s">
        <v>90</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
      <c r="A152" s="70" t="s">
        <v>385</v>
      </c>
      <c r="B152" s="70" t="s">
        <v>386</v>
      </c>
      <c r="C152" s="89" t="s">
        <v>90</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
      <c r="A153" s="70" t="s">
        <v>387</v>
      </c>
      <c r="B153" s="70" t="s">
        <v>388</v>
      </c>
      <c r="C153" s="89" t="s">
        <v>90</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
      <c r="A154" s="75" t="s">
        <v>389</v>
      </c>
      <c r="B154" s="76" t="s">
        <v>390</v>
      </c>
      <c r="C154" s="91" t="s">
        <v>447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9"/>
      <c r="R154" s="99"/>
      <c r="S154" s="76">
        <v>3.0768587589263916</v>
      </c>
      <c r="T154" s="76">
        <v>3.3437736034393311</v>
      </c>
      <c r="U154" s="99"/>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
      <c r="A155" s="77" t="s">
        <v>440</v>
      </c>
      <c r="B155" s="77" t="s">
        <v>451</v>
      </c>
      <c r="C155" s="92" t="s">
        <v>449</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100"/>
      <c r="R155" s="100"/>
      <c r="S155" s="78">
        <v>0.44125241041183472</v>
      </c>
      <c r="T155" s="78">
        <v>0.58073931932449341</v>
      </c>
      <c r="U155" s="100"/>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
      <c r="A156" s="70" t="s">
        <v>393</v>
      </c>
      <c r="B156" s="70" t="s">
        <v>394</v>
      </c>
      <c r="C156" s="89" t="s">
        <v>90</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
      <c r="A157" s="70" t="s">
        <v>397</v>
      </c>
      <c r="B157" s="70" t="s">
        <v>398</v>
      </c>
      <c r="C157" s="89" t="s">
        <v>90</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
      <c r="A158" s="77" t="s">
        <v>399</v>
      </c>
      <c r="B158" s="77" t="s">
        <v>400</v>
      </c>
      <c r="C158" s="92" t="s">
        <v>449</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100"/>
      <c r="R158" s="100"/>
      <c r="S158" s="78">
        <v>2.2660417556762695</v>
      </c>
      <c r="T158" s="78">
        <v>2.2458691596984863</v>
      </c>
      <c r="U158" s="100"/>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
      <c r="A159" s="70" t="s">
        <v>401</v>
      </c>
      <c r="B159" s="70" t="s">
        <v>402</v>
      </c>
      <c r="C159" s="89" t="s">
        <v>90</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
      <c r="A160" s="70" t="s">
        <v>403</v>
      </c>
      <c r="B160" s="70" t="s">
        <v>404</v>
      </c>
      <c r="C160" s="89" t="s">
        <v>90</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
      <c r="A161" s="77" t="s">
        <v>439</v>
      </c>
      <c r="B161" s="77" t="s">
        <v>430</v>
      </c>
      <c r="C161" s="92" t="s">
        <v>449</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100"/>
      <c r="R161" s="100"/>
      <c r="S161" s="78">
        <v>0.36956465244293213</v>
      </c>
      <c r="T161" s="78">
        <v>0.51716506481170654</v>
      </c>
      <c r="U161" s="100"/>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
      <c r="A162" s="70" t="s">
        <v>407</v>
      </c>
      <c r="B162" s="70" t="s">
        <v>408</v>
      </c>
      <c r="C162" s="89" t="s">
        <v>90</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
      <c r="A163" s="70" t="s">
        <v>409</v>
      </c>
      <c r="B163" s="70" t="s">
        <v>410</v>
      </c>
      <c r="C163" s="89" t="s">
        <v>90</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
      <c r="A164" s="63" t="s">
        <v>411</v>
      </c>
      <c r="B164" s="63" t="s">
        <v>412</v>
      </c>
      <c r="C164" s="94" t="s">
        <v>90</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103"/>
      <c r="R164" s="103"/>
      <c r="S164" s="64">
        <v>0.66023778915405273</v>
      </c>
      <c r="T164" s="64">
        <v>0.67198282480239868</v>
      </c>
      <c r="U164" s="103"/>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
      <c r="A166" s="69" t="s">
        <v>441</v>
      </c>
      <c r="B166" s="69" t="s">
        <v>442</v>
      </c>
      <c r="C166" s="95"/>
      <c r="Q166" s="85"/>
      <c r="R166" s="85"/>
      <c r="U166" s="85"/>
    </row>
    <row r="167" spans="1:66" s="69" customFormat="1" x14ac:dyDescent="0.2">
      <c r="A167" s="69" t="s">
        <v>415</v>
      </c>
      <c r="B167" s="69" t="s">
        <v>416</v>
      </c>
      <c r="C167" s="95"/>
      <c r="Q167" s="85"/>
      <c r="R167" s="85"/>
      <c r="U167" s="85"/>
    </row>
    <row r="168" spans="1:66" s="69" customFormat="1" x14ac:dyDescent="0.2">
      <c r="A168" s="69" t="s">
        <v>444</v>
      </c>
      <c r="B168" s="69" t="s">
        <v>443</v>
      </c>
      <c r="C168" s="95"/>
      <c r="Q168" s="85"/>
      <c r="R168" s="85"/>
      <c r="U168" s="8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zoomScaleNormal="100" workbookViewId="0">
      <selection activeCell="B32" sqref="B32"/>
    </sheetView>
  </sheetViews>
  <sheetFormatPr defaultColWidth="8.85546875" defaultRowHeight="12.75" x14ac:dyDescent="0.2"/>
  <cols>
    <col min="1" max="1" width="89.42578125" style="8" customWidth="1"/>
    <col min="2" max="2" width="112.28515625" style="8" customWidth="1"/>
    <col min="3" max="3" width="19.7109375" style="8" customWidth="1"/>
    <col min="4" max="7" width="15.140625" style="8" customWidth="1"/>
    <col min="8" max="8" width="17" style="8" customWidth="1"/>
    <col min="9" max="14" width="15.140625" style="8" customWidth="1"/>
    <col min="15" max="15" width="15.85546875" style="8" customWidth="1"/>
    <col min="16" max="33" width="15.140625" style="8" customWidth="1"/>
    <col min="34" max="34" width="19.42578125" style="8" customWidth="1"/>
    <col min="35" max="51" width="15.140625" style="8" customWidth="1"/>
    <col min="52" max="52" width="20.42578125" style="8" customWidth="1"/>
    <col min="53" max="53" width="19.42578125" style="8" customWidth="1"/>
    <col min="54" max="56" width="15.140625" style="8" customWidth="1"/>
    <col min="57" max="66" width="15.140625" style="8" bestFit="1" customWidth="1"/>
    <col min="67" max="256" width="9.140625" style="8"/>
    <col min="257" max="257" width="9.140625" style="8" customWidth="1"/>
    <col min="258" max="258" width="112.28515625" style="8" customWidth="1"/>
    <col min="259" max="259" width="19.7109375" style="8" customWidth="1"/>
    <col min="260" max="284" width="9.140625" style="8" customWidth="1"/>
    <col min="285" max="289" width="15.140625" style="8" bestFit="1" customWidth="1"/>
    <col min="290" max="290" width="19.42578125" style="8" bestFit="1" customWidth="1"/>
    <col min="291" max="307" width="15.140625" style="8" bestFit="1" customWidth="1"/>
    <col min="308" max="308" width="20.42578125" style="8" bestFit="1" customWidth="1"/>
    <col min="309" max="309" width="19.42578125" style="8" bestFit="1" customWidth="1"/>
    <col min="310" max="322" width="15.140625" style="8" bestFit="1" customWidth="1"/>
    <col min="323" max="512" width="9.140625" style="8"/>
    <col min="513" max="513" width="9.140625" style="8" customWidth="1"/>
    <col min="514" max="514" width="112.28515625" style="8" customWidth="1"/>
    <col min="515" max="515" width="19.7109375" style="8" customWidth="1"/>
    <col min="516" max="540" width="9.140625" style="8" customWidth="1"/>
    <col min="541" max="545" width="15.140625" style="8" bestFit="1" customWidth="1"/>
    <col min="546" max="546" width="19.42578125" style="8" bestFit="1" customWidth="1"/>
    <col min="547" max="563" width="15.140625" style="8" bestFit="1" customWidth="1"/>
    <col min="564" max="564" width="20.42578125" style="8" bestFit="1" customWidth="1"/>
    <col min="565" max="565" width="19.42578125" style="8" bestFit="1" customWidth="1"/>
    <col min="566" max="578" width="15.140625" style="8" bestFit="1" customWidth="1"/>
    <col min="579" max="768" width="9.140625" style="8"/>
    <col min="769" max="769" width="9.140625" style="8" customWidth="1"/>
    <col min="770" max="770" width="112.28515625" style="8" customWidth="1"/>
    <col min="771" max="771" width="19.7109375" style="8" customWidth="1"/>
    <col min="772" max="796" width="9.140625" style="8" customWidth="1"/>
    <col min="797" max="801" width="15.140625" style="8" bestFit="1" customWidth="1"/>
    <col min="802" max="802" width="19.42578125" style="8" bestFit="1" customWidth="1"/>
    <col min="803" max="819" width="15.140625" style="8" bestFit="1" customWidth="1"/>
    <col min="820" max="820" width="20.42578125" style="8" bestFit="1" customWidth="1"/>
    <col min="821" max="821" width="19.42578125" style="8" bestFit="1" customWidth="1"/>
    <col min="822" max="834" width="15.140625" style="8" bestFit="1" customWidth="1"/>
    <col min="835" max="1024" width="9.140625" style="8"/>
    <col min="1025" max="1025" width="9.140625" style="8" customWidth="1"/>
    <col min="1026" max="1026" width="112.28515625" style="8" customWidth="1"/>
    <col min="1027" max="1027" width="19.7109375" style="8" customWidth="1"/>
    <col min="1028" max="1052" width="9.140625" style="8" customWidth="1"/>
    <col min="1053" max="1057" width="15.140625" style="8" bestFit="1" customWidth="1"/>
    <col min="1058" max="1058" width="19.42578125" style="8" bestFit="1" customWidth="1"/>
    <col min="1059" max="1075" width="15.140625" style="8" bestFit="1" customWidth="1"/>
    <col min="1076" max="1076" width="20.42578125" style="8" bestFit="1" customWidth="1"/>
    <col min="1077" max="1077" width="19.42578125" style="8" bestFit="1" customWidth="1"/>
    <col min="1078" max="1090" width="15.140625" style="8" bestFit="1" customWidth="1"/>
    <col min="1091" max="1280" width="9.140625" style="8"/>
    <col min="1281" max="1281" width="9.140625" style="8" customWidth="1"/>
    <col min="1282" max="1282" width="112.28515625" style="8" customWidth="1"/>
    <col min="1283" max="1283" width="19.7109375" style="8" customWidth="1"/>
    <col min="1284" max="1308" width="9.140625" style="8" customWidth="1"/>
    <col min="1309" max="1313" width="15.140625" style="8" bestFit="1" customWidth="1"/>
    <col min="1314" max="1314" width="19.42578125" style="8" bestFit="1" customWidth="1"/>
    <col min="1315" max="1331" width="15.140625" style="8" bestFit="1" customWidth="1"/>
    <col min="1332" max="1332" width="20.42578125" style="8" bestFit="1" customWidth="1"/>
    <col min="1333" max="1333" width="19.42578125" style="8" bestFit="1" customWidth="1"/>
    <col min="1334" max="1346" width="15.140625" style="8" bestFit="1" customWidth="1"/>
    <col min="1347" max="1536" width="9.140625" style="8"/>
    <col min="1537" max="1537" width="9.140625" style="8" customWidth="1"/>
    <col min="1538" max="1538" width="112.28515625" style="8" customWidth="1"/>
    <col min="1539" max="1539" width="19.7109375" style="8" customWidth="1"/>
    <col min="1540" max="1564" width="9.140625" style="8" customWidth="1"/>
    <col min="1565" max="1569" width="15.140625" style="8" bestFit="1" customWidth="1"/>
    <col min="1570" max="1570" width="19.42578125" style="8" bestFit="1" customWidth="1"/>
    <col min="1571" max="1587" width="15.140625" style="8" bestFit="1" customWidth="1"/>
    <col min="1588" max="1588" width="20.42578125" style="8" bestFit="1" customWidth="1"/>
    <col min="1589" max="1589" width="19.42578125" style="8" bestFit="1" customWidth="1"/>
    <col min="1590" max="1602" width="15.140625" style="8" bestFit="1" customWidth="1"/>
    <col min="1603" max="1792" width="9.140625" style="8"/>
    <col min="1793" max="1793" width="9.140625" style="8" customWidth="1"/>
    <col min="1794" max="1794" width="112.28515625" style="8" customWidth="1"/>
    <col min="1795" max="1795" width="19.7109375" style="8" customWidth="1"/>
    <col min="1796" max="1820" width="9.140625" style="8" customWidth="1"/>
    <col min="1821" max="1825" width="15.140625" style="8" bestFit="1" customWidth="1"/>
    <col min="1826" max="1826" width="19.42578125" style="8" bestFit="1" customWidth="1"/>
    <col min="1827" max="1843" width="15.140625" style="8" bestFit="1" customWidth="1"/>
    <col min="1844" max="1844" width="20.42578125" style="8" bestFit="1" customWidth="1"/>
    <col min="1845" max="1845" width="19.42578125" style="8" bestFit="1" customWidth="1"/>
    <col min="1846" max="1858" width="15.140625" style="8" bestFit="1" customWidth="1"/>
    <col min="1859" max="2048" width="9.140625" style="8"/>
    <col min="2049" max="2049" width="9.140625" style="8" customWidth="1"/>
    <col min="2050" max="2050" width="112.28515625" style="8" customWidth="1"/>
    <col min="2051" max="2051" width="19.7109375" style="8" customWidth="1"/>
    <col min="2052" max="2076" width="9.140625" style="8" customWidth="1"/>
    <col min="2077" max="2081" width="15.140625" style="8" bestFit="1" customWidth="1"/>
    <col min="2082" max="2082" width="19.42578125" style="8" bestFit="1" customWidth="1"/>
    <col min="2083" max="2099" width="15.140625" style="8" bestFit="1" customWidth="1"/>
    <col min="2100" max="2100" width="20.42578125" style="8" bestFit="1" customWidth="1"/>
    <col min="2101" max="2101" width="19.42578125" style="8" bestFit="1" customWidth="1"/>
    <col min="2102" max="2114" width="15.140625" style="8" bestFit="1" customWidth="1"/>
    <col min="2115" max="2304" width="9.140625" style="8"/>
    <col min="2305" max="2305" width="9.140625" style="8" customWidth="1"/>
    <col min="2306" max="2306" width="112.28515625" style="8" customWidth="1"/>
    <col min="2307" max="2307" width="19.7109375" style="8" customWidth="1"/>
    <col min="2308" max="2332" width="9.140625" style="8" customWidth="1"/>
    <col min="2333" max="2337" width="15.140625" style="8" bestFit="1" customWidth="1"/>
    <col min="2338" max="2338" width="19.42578125" style="8" bestFit="1" customWidth="1"/>
    <col min="2339" max="2355" width="15.140625" style="8" bestFit="1" customWidth="1"/>
    <col min="2356" max="2356" width="20.42578125" style="8" bestFit="1" customWidth="1"/>
    <col min="2357" max="2357" width="19.42578125" style="8" bestFit="1" customWidth="1"/>
    <col min="2358" max="2370" width="15.140625" style="8" bestFit="1" customWidth="1"/>
    <col min="2371" max="2560" width="9.140625" style="8"/>
    <col min="2561" max="2561" width="9.140625" style="8" customWidth="1"/>
    <col min="2562" max="2562" width="112.28515625" style="8" customWidth="1"/>
    <col min="2563" max="2563" width="19.7109375" style="8" customWidth="1"/>
    <col min="2564" max="2588" width="9.140625" style="8" customWidth="1"/>
    <col min="2589" max="2593" width="15.140625" style="8" bestFit="1" customWidth="1"/>
    <col min="2594" max="2594" width="19.42578125" style="8" bestFit="1" customWidth="1"/>
    <col min="2595" max="2611" width="15.140625" style="8" bestFit="1" customWidth="1"/>
    <col min="2612" max="2612" width="20.42578125" style="8" bestFit="1" customWidth="1"/>
    <col min="2613" max="2613" width="19.42578125" style="8" bestFit="1" customWidth="1"/>
    <col min="2614" max="2626" width="15.140625" style="8" bestFit="1" customWidth="1"/>
    <col min="2627" max="2816" width="9.140625" style="8"/>
    <col min="2817" max="2817" width="9.140625" style="8" customWidth="1"/>
    <col min="2818" max="2818" width="112.28515625" style="8" customWidth="1"/>
    <col min="2819" max="2819" width="19.7109375" style="8" customWidth="1"/>
    <col min="2820" max="2844" width="9.140625" style="8" customWidth="1"/>
    <col min="2845" max="2849" width="15.140625" style="8" bestFit="1" customWidth="1"/>
    <col min="2850" max="2850" width="19.42578125" style="8" bestFit="1" customWidth="1"/>
    <col min="2851" max="2867" width="15.140625" style="8" bestFit="1" customWidth="1"/>
    <col min="2868" max="2868" width="20.42578125" style="8" bestFit="1" customWidth="1"/>
    <col min="2869" max="2869" width="19.42578125" style="8" bestFit="1" customWidth="1"/>
    <col min="2870" max="2882" width="15.140625" style="8" bestFit="1" customWidth="1"/>
    <col min="2883" max="3072" width="9.140625" style="8"/>
    <col min="3073" max="3073" width="9.140625" style="8" customWidth="1"/>
    <col min="3074" max="3074" width="112.28515625" style="8" customWidth="1"/>
    <col min="3075" max="3075" width="19.7109375" style="8" customWidth="1"/>
    <col min="3076" max="3100" width="9.140625" style="8" customWidth="1"/>
    <col min="3101" max="3105" width="15.140625" style="8" bestFit="1" customWidth="1"/>
    <col min="3106" max="3106" width="19.42578125" style="8" bestFit="1" customWidth="1"/>
    <col min="3107" max="3123" width="15.140625" style="8" bestFit="1" customWidth="1"/>
    <col min="3124" max="3124" width="20.42578125" style="8" bestFit="1" customWidth="1"/>
    <col min="3125" max="3125" width="19.42578125" style="8" bestFit="1" customWidth="1"/>
    <col min="3126" max="3138" width="15.140625" style="8" bestFit="1" customWidth="1"/>
    <col min="3139" max="3328" width="9.140625" style="8"/>
    <col min="3329" max="3329" width="9.140625" style="8" customWidth="1"/>
    <col min="3330" max="3330" width="112.28515625" style="8" customWidth="1"/>
    <col min="3331" max="3331" width="19.7109375" style="8" customWidth="1"/>
    <col min="3332" max="3356" width="9.140625" style="8" customWidth="1"/>
    <col min="3357" max="3361" width="15.140625" style="8" bestFit="1" customWidth="1"/>
    <col min="3362" max="3362" width="19.42578125" style="8" bestFit="1" customWidth="1"/>
    <col min="3363" max="3379" width="15.140625" style="8" bestFit="1" customWidth="1"/>
    <col min="3380" max="3380" width="20.42578125" style="8" bestFit="1" customWidth="1"/>
    <col min="3381" max="3381" width="19.42578125" style="8" bestFit="1" customWidth="1"/>
    <col min="3382" max="3394" width="15.140625" style="8" bestFit="1" customWidth="1"/>
    <col min="3395" max="3584" width="9.140625" style="8"/>
    <col min="3585" max="3585" width="9.140625" style="8" customWidth="1"/>
    <col min="3586" max="3586" width="112.28515625" style="8" customWidth="1"/>
    <col min="3587" max="3587" width="19.7109375" style="8" customWidth="1"/>
    <col min="3588" max="3612" width="9.140625" style="8" customWidth="1"/>
    <col min="3613" max="3617" width="15.140625" style="8" bestFit="1" customWidth="1"/>
    <col min="3618" max="3618" width="19.42578125" style="8" bestFit="1" customWidth="1"/>
    <col min="3619" max="3635" width="15.140625" style="8" bestFit="1" customWidth="1"/>
    <col min="3636" max="3636" width="20.42578125" style="8" bestFit="1" customWidth="1"/>
    <col min="3637" max="3637" width="19.42578125" style="8" bestFit="1" customWidth="1"/>
    <col min="3638" max="3650" width="15.140625" style="8" bestFit="1" customWidth="1"/>
    <col min="3651" max="3840" width="9.140625" style="8"/>
    <col min="3841" max="3841" width="9.140625" style="8" customWidth="1"/>
    <col min="3842" max="3842" width="112.28515625" style="8" customWidth="1"/>
    <col min="3843" max="3843" width="19.7109375" style="8" customWidth="1"/>
    <col min="3844" max="3868" width="9.140625" style="8" customWidth="1"/>
    <col min="3869" max="3873" width="15.140625" style="8" bestFit="1" customWidth="1"/>
    <col min="3874" max="3874" width="19.42578125" style="8" bestFit="1" customWidth="1"/>
    <col min="3875" max="3891" width="15.140625" style="8" bestFit="1" customWidth="1"/>
    <col min="3892" max="3892" width="20.42578125" style="8" bestFit="1" customWidth="1"/>
    <col min="3893" max="3893" width="19.42578125" style="8" bestFit="1" customWidth="1"/>
    <col min="3894" max="3906" width="15.140625" style="8" bestFit="1" customWidth="1"/>
    <col min="3907" max="4096" width="9.140625" style="8"/>
    <col min="4097" max="4097" width="9.140625" style="8" customWidth="1"/>
    <col min="4098" max="4098" width="112.28515625" style="8" customWidth="1"/>
    <col min="4099" max="4099" width="19.7109375" style="8" customWidth="1"/>
    <col min="4100" max="4124" width="9.140625" style="8" customWidth="1"/>
    <col min="4125" max="4129" width="15.140625" style="8" bestFit="1" customWidth="1"/>
    <col min="4130" max="4130" width="19.42578125" style="8" bestFit="1" customWidth="1"/>
    <col min="4131" max="4147" width="15.140625" style="8" bestFit="1" customWidth="1"/>
    <col min="4148" max="4148" width="20.42578125" style="8" bestFit="1" customWidth="1"/>
    <col min="4149" max="4149" width="19.42578125" style="8" bestFit="1" customWidth="1"/>
    <col min="4150" max="4162" width="15.140625" style="8" bestFit="1" customWidth="1"/>
    <col min="4163" max="4352" width="9.140625" style="8"/>
    <col min="4353" max="4353" width="9.140625" style="8" customWidth="1"/>
    <col min="4354" max="4354" width="112.28515625" style="8" customWidth="1"/>
    <col min="4355" max="4355" width="19.7109375" style="8" customWidth="1"/>
    <col min="4356" max="4380" width="9.140625" style="8" customWidth="1"/>
    <col min="4381" max="4385" width="15.140625" style="8" bestFit="1" customWidth="1"/>
    <col min="4386" max="4386" width="19.42578125" style="8" bestFit="1" customWidth="1"/>
    <col min="4387" max="4403" width="15.140625" style="8" bestFit="1" customWidth="1"/>
    <col min="4404" max="4404" width="20.42578125" style="8" bestFit="1" customWidth="1"/>
    <col min="4405" max="4405" width="19.42578125" style="8" bestFit="1" customWidth="1"/>
    <col min="4406" max="4418" width="15.140625" style="8" bestFit="1" customWidth="1"/>
    <col min="4419" max="4608" width="9.140625" style="8"/>
    <col min="4609" max="4609" width="9.140625" style="8" customWidth="1"/>
    <col min="4610" max="4610" width="112.28515625" style="8" customWidth="1"/>
    <col min="4611" max="4611" width="19.7109375" style="8" customWidth="1"/>
    <col min="4612" max="4636" width="9.140625" style="8" customWidth="1"/>
    <col min="4637" max="4641" width="15.140625" style="8" bestFit="1" customWidth="1"/>
    <col min="4642" max="4642" width="19.42578125" style="8" bestFit="1" customWidth="1"/>
    <col min="4643" max="4659" width="15.140625" style="8" bestFit="1" customWidth="1"/>
    <col min="4660" max="4660" width="20.42578125" style="8" bestFit="1" customWidth="1"/>
    <col min="4661" max="4661" width="19.42578125" style="8" bestFit="1" customWidth="1"/>
    <col min="4662" max="4674" width="15.140625" style="8" bestFit="1" customWidth="1"/>
    <col min="4675" max="4864" width="9.140625" style="8"/>
    <col min="4865" max="4865" width="9.140625" style="8" customWidth="1"/>
    <col min="4866" max="4866" width="112.28515625" style="8" customWidth="1"/>
    <col min="4867" max="4867" width="19.7109375" style="8" customWidth="1"/>
    <col min="4868" max="4892" width="9.140625" style="8" customWidth="1"/>
    <col min="4893" max="4897" width="15.140625" style="8" bestFit="1" customWidth="1"/>
    <col min="4898" max="4898" width="19.42578125" style="8" bestFit="1" customWidth="1"/>
    <col min="4899" max="4915" width="15.140625" style="8" bestFit="1" customWidth="1"/>
    <col min="4916" max="4916" width="20.42578125" style="8" bestFit="1" customWidth="1"/>
    <col min="4917" max="4917" width="19.42578125" style="8" bestFit="1" customWidth="1"/>
    <col min="4918" max="4930" width="15.140625" style="8" bestFit="1" customWidth="1"/>
    <col min="4931" max="5120" width="9.140625" style="8"/>
    <col min="5121" max="5121" width="9.140625" style="8" customWidth="1"/>
    <col min="5122" max="5122" width="112.28515625" style="8" customWidth="1"/>
    <col min="5123" max="5123" width="19.7109375" style="8" customWidth="1"/>
    <col min="5124" max="5148" width="9.140625" style="8" customWidth="1"/>
    <col min="5149" max="5153" width="15.140625" style="8" bestFit="1" customWidth="1"/>
    <col min="5154" max="5154" width="19.42578125" style="8" bestFit="1" customWidth="1"/>
    <col min="5155" max="5171" width="15.140625" style="8" bestFit="1" customWidth="1"/>
    <col min="5172" max="5172" width="20.42578125" style="8" bestFit="1" customWidth="1"/>
    <col min="5173" max="5173" width="19.42578125" style="8" bestFit="1" customWidth="1"/>
    <col min="5174" max="5186" width="15.140625" style="8" bestFit="1" customWidth="1"/>
    <col min="5187" max="5376" width="9.140625" style="8"/>
    <col min="5377" max="5377" width="9.140625" style="8" customWidth="1"/>
    <col min="5378" max="5378" width="112.28515625" style="8" customWidth="1"/>
    <col min="5379" max="5379" width="19.7109375" style="8" customWidth="1"/>
    <col min="5380" max="5404" width="9.140625" style="8" customWidth="1"/>
    <col min="5405" max="5409" width="15.140625" style="8" bestFit="1" customWidth="1"/>
    <col min="5410" max="5410" width="19.42578125" style="8" bestFit="1" customWidth="1"/>
    <col min="5411" max="5427" width="15.140625" style="8" bestFit="1" customWidth="1"/>
    <col min="5428" max="5428" width="20.42578125" style="8" bestFit="1" customWidth="1"/>
    <col min="5429" max="5429" width="19.42578125" style="8" bestFit="1" customWidth="1"/>
    <col min="5430" max="5442" width="15.140625" style="8" bestFit="1" customWidth="1"/>
    <col min="5443" max="5632" width="9.140625" style="8"/>
    <col min="5633" max="5633" width="9.140625" style="8" customWidth="1"/>
    <col min="5634" max="5634" width="112.28515625" style="8" customWidth="1"/>
    <col min="5635" max="5635" width="19.7109375" style="8" customWidth="1"/>
    <col min="5636" max="5660" width="9.140625" style="8" customWidth="1"/>
    <col min="5661" max="5665" width="15.140625" style="8" bestFit="1" customWidth="1"/>
    <col min="5666" max="5666" width="19.42578125" style="8" bestFit="1" customWidth="1"/>
    <col min="5667" max="5683" width="15.140625" style="8" bestFit="1" customWidth="1"/>
    <col min="5684" max="5684" width="20.42578125" style="8" bestFit="1" customWidth="1"/>
    <col min="5685" max="5685" width="19.42578125" style="8" bestFit="1" customWidth="1"/>
    <col min="5686" max="5698" width="15.140625" style="8" bestFit="1" customWidth="1"/>
    <col min="5699" max="5888" width="9.140625" style="8"/>
    <col min="5889" max="5889" width="9.140625" style="8" customWidth="1"/>
    <col min="5890" max="5890" width="112.28515625" style="8" customWidth="1"/>
    <col min="5891" max="5891" width="19.7109375" style="8" customWidth="1"/>
    <col min="5892" max="5916" width="9.140625" style="8" customWidth="1"/>
    <col min="5917" max="5921" width="15.140625" style="8" bestFit="1" customWidth="1"/>
    <col min="5922" max="5922" width="19.42578125" style="8" bestFit="1" customWidth="1"/>
    <col min="5923" max="5939" width="15.140625" style="8" bestFit="1" customWidth="1"/>
    <col min="5940" max="5940" width="20.42578125" style="8" bestFit="1" customWidth="1"/>
    <col min="5941" max="5941" width="19.42578125" style="8" bestFit="1" customWidth="1"/>
    <col min="5942" max="5954" width="15.140625" style="8" bestFit="1" customWidth="1"/>
    <col min="5955" max="6144" width="9.140625" style="8"/>
    <col min="6145" max="6145" width="9.140625" style="8" customWidth="1"/>
    <col min="6146" max="6146" width="112.28515625" style="8" customWidth="1"/>
    <col min="6147" max="6147" width="19.7109375" style="8" customWidth="1"/>
    <col min="6148" max="6172" width="9.140625" style="8" customWidth="1"/>
    <col min="6173" max="6177" width="15.140625" style="8" bestFit="1" customWidth="1"/>
    <col min="6178" max="6178" width="19.42578125" style="8" bestFit="1" customWidth="1"/>
    <col min="6179" max="6195" width="15.140625" style="8" bestFit="1" customWidth="1"/>
    <col min="6196" max="6196" width="20.42578125" style="8" bestFit="1" customWidth="1"/>
    <col min="6197" max="6197" width="19.42578125" style="8" bestFit="1" customWidth="1"/>
    <col min="6198" max="6210" width="15.140625" style="8" bestFit="1" customWidth="1"/>
    <col min="6211" max="6400" width="9.140625" style="8"/>
    <col min="6401" max="6401" width="9.140625" style="8" customWidth="1"/>
    <col min="6402" max="6402" width="112.28515625" style="8" customWidth="1"/>
    <col min="6403" max="6403" width="19.7109375" style="8" customWidth="1"/>
    <col min="6404" max="6428" width="9.140625" style="8" customWidth="1"/>
    <col min="6429" max="6433" width="15.140625" style="8" bestFit="1" customWidth="1"/>
    <col min="6434" max="6434" width="19.42578125" style="8" bestFit="1" customWidth="1"/>
    <col min="6435" max="6451" width="15.140625" style="8" bestFit="1" customWidth="1"/>
    <col min="6452" max="6452" width="20.42578125" style="8" bestFit="1" customWidth="1"/>
    <col min="6453" max="6453" width="19.42578125" style="8" bestFit="1" customWidth="1"/>
    <col min="6454" max="6466" width="15.140625" style="8" bestFit="1" customWidth="1"/>
    <col min="6467" max="6656" width="9.140625" style="8"/>
    <col min="6657" max="6657" width="9.140625" style="8" customWidth="1"/>
    <col min="6658" max="6658" width="112.28515625" style="8" customWidth="1"/>
    <col min="6659" max="6659" width="19.7109375" style="8" customWidth="1"/>
    <col min="6660" max="6684" width="9.140625" style="8" customWidth="1"/>
    <col min="6685" max="6689" width="15.140625" style="8" bestFit="1" customWidth="1"/>
    <col min="6690" max="6690" width="19.42578125" style="8" bestFit="1" customWidth="1"/>
    <col min="6691" max="6707" width="15.140625" style="8" bestFit="1" customWidth="1"/>
    <col min="6708" max="6708" width="20.42578125" style="8" bestFit="1" customWidth="1"/>
    <col min="6709" max="6709" width="19.42578125" style="8" bestFit="1" customWidth="1"/>
    <col min="6710" max="6722" width="15.140625" style="8" bestFit="1" customWidth="1"/>
    <col min="6723" max="6912" width="9.140625" style="8"/>
    <col min="6913" max="6913" width="9.140625" style="8" customWidth="1"/>
    <col min="6914" max="6914" width="112.28515625" style="8" customWidth="1"/>
    <col min="6915" max="6915" width="19.7109375" style="8" customWidth="1"/>
    <col min="6916" max="6940" width="9.140625" style="8" customWidth="1"/>
    <col min="6941" max="6945" width="15.140625" style="8" bestFit="1" customWidth="1"/>
    <col min="6946" max="6946" width="19.42578125" style="8" bestFit="1" customWidth="1"/>
    <col min="6947" max="6963" width="15.140625" style="8" bestFit="1" customWidth="1"/>
    <col min="6964" max="6964" width="20.42578125" style="8" bestFit="1" customWidth="1"/>
    <col min="6965" max="6965" width="19.42578125" style="8" bestFit="1" customWidth="1"/>
    <col min="6966" max="6978" width="15.140625" style="8" bestFit="1" customWidth="1"/>
    <col min="6979" max="7168" width="9.140625" style="8"/>
    <col min="7169" max="7169" width="9.140625" style="8" customWidth="1"/>
    <col min="7170" max="7170" width="112.28515625" style="8" customWidth="1"/>
    <col min="7171" max="7171" width="19.7109375" style="8" customWidth="1"/>
    <col min="7172" max="7196" width="9.140625" style="8" customWidth="1"/>
    <col min="7197" max="7201" width="15.140625" style="8" bestFit="1" customWidth="1"/>
    <col min="7202" max="7202" width="19.42578125" style="8" bestFit="1" customWidth="1"/>
    <col min="7203" max="7219" width="15.140625" style="8" bestFit="1" customWidth="1"/>
    <col min="7220" max="7220" width="20.42578125" style="8" bestFit="1" customWidth="1"/>
    <col min="7221" max="7221" width="19.42578125" style="8" bestFit="1" customWidth="1"/>
    <col min="7222" max="7234" width="15.140625" style="8" bestFit="1" customWidth="1"/>
    <col min="7235" max="7424" width="9.140625" style="8"/>
    <col min="7425" max="7425" width="9.140625" style="8" customWidth="1"/>
    <col min="7426" max="7426" width="112.28515625" style="8" customWidth="1"/>
    <col min="7427" max="7427" width="19.7109375" style="8" customWidth="1"/>
    <col min="7428" max="7452" width="9.140625" style="8" customWidth="1"/>
    <col min="7453" max="7457" width="15.140625" style="8" bestFit="1" customWidth="1"/>
    <col min="7458" max="7458" width="19.42578125" style="8" bestFit="1" customWidth="1"/>
    <col min="7459" max="7475" width="15.140625" style="8" bestFit="1" customWidth="1"/>
    <col min="7476" max="7476" width="20.42578125" style="8" bestFit="1" customWidth="1"/>
    <col min="7477" max="7477" width="19.42578125" style="8" bestFit="1" customWidth="1"/>
    <col min="7478" max="7490" width="15.140625" style="8" bestFit="1" customWidth="1"/>
    <col min="7491" max="7680" width="9.140625" style="8"/>
    <col min="7681" max="7681" width="9.140625" style="8" customWidth="1"/>
    <col min="7682" max="7682" width="112.28515625" style="8" customWidth="1"/>
    <col min="7683" max="7683" width="19.7109375" style="8" customWidth="1"/>
    <col min="7684" max="7708" width="9.140625" style="8" customWidth="1"/>
    <col min="7709" max="7713" width="15.140625" style="8" bestFit="1" customWidth="1"/>
    <col min="7714" max="7714" width="19.42578125" style="8" bestFit="1" customWidth="1"/>
    <col min="7715" max="7731" width="15.140625" style="8" bestFit="1" customWidth="1"/>
    <col min="7732" max="7732" width="20.42578125" style="8" bestFit="1" customWidth="1"/>
    <col min="7733" max="7733" width="19.42578125" style="8" bestFit="1" customWidth="1"/>
    <col min="7734" max="7746" width="15.140625" style="8" bestFit="1" customWidth="1"/>
    <col min="7747" max="7936" width="9.140625" style="8"/>
    <col min="7937" max="7937" width="9.140625" style="8" customWidth="1"/>
    <col min="7938" max="7938" width="112.28515625" style="8" customWidth="1"/>
    <col min="7939" max="7939" width="19.7109375" style="8" customWidth="1"/>
    <col min="7940" max="7964" width="9.140625" style="8" customWidth="1"/>
    <col min="7965" max="7969" width="15.140625" style="8" bestFit="1" customWidth="1"/>
    <col min="7970" max="7970" width="19.42578125" style="8" bestFit="1" customWidth="1"/>
    <col min="7971" max="7987" width="15.140625" style="8" bestFit="1" customWidth="1"/>
    <col min="7988" max="7988" width="20.42578125" style="8" bestFit="1" customWidth="1"/>
    <col min="7989" max="7989" width="19.42578125" style="8" bestFit="1" customWidth="1"/>
    <col min="7990" max="8002" width="15.140625" style="8" bestFit="1" customWidth="1"/>
    <col min="8003" max="8192" width="9.140625" style="8"/>
    <col min="8193" max="8193" width="9.140625" style="8" customWidth="1"/>
    <col min="8194" max="8194" width="112.28515625" style="8" customWidth="1"/>
    <col min="8195" max="8195" width="19.7109375" style="8" customWidth="1"/>
    <col min="8196" max="8220" width="9.140625" style="8" customWidth="1"/>
    <col min="8221" max="8225" width="15.140625" style="8" bestFit="1" customWidth="1"/>
    <col min="8226" max="8226" width="19.42578125" style="8" bestFit="1" customWidth="1"/>
    <col min="8227" max="8243" width="15.140625" style="8" bestFit="1" customWidth="1"/>
    <col min="8244" max="8244" width="20.42578125" style="8" bestFit="1" customWidth="1"/>
    <col min="8245" max="8245" width="19.42578125" style="8" bestFit="1" customWidth="1"/>
    <col min="8246" max="8258" width="15.140625" style="8" bestFit="1" customWidth="1"/>
    <col min="8259" max="8448" width="9.140625" style="8"/>
    <col min="8449" max="8449" width="9.140625" style="8" customWidth="1"/>
    <col min="8450" max="8450" width="112.28515625" style="8" customWidth="1"/>
    <col min="8451" max="8451" width="19.7109375" style="8" customWidth="1"/>
    <col min="8452" max="8476" width="9.140625" style="8" customWidth="1"/>
    <col min="8477" max="8481" width="15.140625" style="8" bestFit="1" customWidth="1"/>
    <col min="8482" max="8482" width="19.42578125" style="8" bestFit="1" customWidth="1"/>
    <col min="8483" max="8499" width="15.140625" style="8" bestFit="1" customWidth="1"/>
    <col min="8500" max="8500" width="20.42578125" style="8" bestFit="1" customWidth="1"/>
    <col min="8501" max="8501" width="19.42578125" style="8" bestFit="1" customWidth="1"/>
    <col min="8502" max="8514" width="15.140625" style="8" bestFit="1" customWidth="1"/>
    <col min="8515" max="8704" width="9.140625" style="8"/>
    <col min="8705" max="8705" width="9.140625" style="8" customWidth="1"/>
    <col min="8706" max="8706" width="112.28515625" style="8" customWidth="1"/>
    <col min="8707" max="8707" width="19.7109375" style="8" customWidth="1"/>
    <col min="8708" max="8732" width="9.140625" style="8" customWidth="1"/>
    <col min="8733" max="8737" width="15.140625" style="8" bestFit="1" customWidth="1"/>
    <col min="8738" max="8738" width="19.42578125" style="8" bestFit="1" customWidth="1"/>
    <col min="8739" max="8755" width="15.140625" style="8" bestFit="1" customWidth="1"/>
    <col min="8756" max="8756" width="20.42578125" style="8" bestFit="1" customWidth="1"/>
    <col min="8757" max="8757" width="19.42578125" style="8" bestFit="1" customWidth="1"/>
    <col min="8758" max="8770" width="15.140625" style="8" bestFit="1" customWidth="1"/>
    <col min="8771" max="8960" width="9.140625" style="8"/>
    <col min="8961" max="8961" width="9.140625" style="8" customWidth="1"/>
    <col min="8962" max="8962" width="112.28515625" style="8" customWidth="1"/>
    <col min="8963" max="8963" width="19.7109375" style="8" customWidth="1"/>
    <col min="8964" max="8988" width="9.140625" style="8" customWidth="1"/>
    <col min="8989" max="8993" width="15.140625" style="8" bestFit="1" customWidth="1"/>
    <col min="8994" max="8994" width="19.42578125" style="8" bestFit="1" customWidth="1"/>
    <col min="8995" max="9011" width="15.140625" style="8" bestFit="1" customWidth="1"/>
    <col min="9012" max="9012" width="20.42578125" style="8" bestFit="1" customWidth="1"/>
    <col min="9013" max="9013" width="19.42578125" style="8" bestFit="1" customWidth="1"/>
    <col min="9014" max="9026" width="15.140625" style="8" bestFit="1" customWidth="1"/>
    <col min="9027" max="9216" width="9.140625" style="8"/>
    <col min="9217" max="9217" width="9.140625" style="8" customWidth="1"/>
    <col min="9218" max="9218" width="112.28515625" style="8" customWidth="1"/>
    <col min="9219" max="9219" width="19.7109375" style="8" customWidth="1"/>
    <col min="9220" max="9244" width="9.140625" style="8" customWidth="1"/>
    <col min="9245" max="9249" width="15.140625" style="8" bestFit="1" customWidth="1"/>
    <col min="9250" max="9250" width="19.42578125" style="8" bestFit="1" customWidth="1"/>
    <col min="9251" max="9267" width="15.140625" style="8" bestFit="1" customWidth="1"/>
    <col min="9268" max="9268" width="20.42578125" style="8" bestFit="1" customWidth="1"/>
    <col min="9269" max="9269" width="19.42578125" style="8" bestFit="1" customWidth="1"/>
    <col min="9270" max="9282" width="15.140625" style="8" bestFit="1" customWidth="1"/>
    <col min="9283" max="9472" width="9.140625" style="8"/>
    <col min="9473" max="9473" width="9.140625" style="8" customWidth="1"/>
    <col min="9474" max="9474" width="112.28515625" style="8" customWidth="1"/>
    <col min="9475" max="9475" width="19.7109375" style="8" customWidth="1"/>
    <col min="9476" max="9500" width="9.140625" style="8" customWidth="1"/>
    <col min="9501" max="9505" width="15.140625" style="8" bestFit="1" customWidth="1"/>
    <col min="9506" max="9506" width="19.42578125" style="8" bestFit="1" customWidth="1"/>
    <col min="9507" max="9523" width="15.140625" style="8" bestFit="1" customWidth="1"/>
    <col min="9524" max="9524" width="20.42578125" style="8" bestFit="1" customWidth="1"/>
    <col min="9525" max="9525" width="19.42578125" style="8" bestFit="1" customWidth="1"/>
    <col min="9526" max="9538" width="15.140625" style="8" bestFit="1" customWidth="1"/>
    <col min="9539" max="9728" width="9.140625" style="8"/>
    <col min="9729" max="9729" width="9.140625" style="8" customWidth="1"/>
    <col min="9730" max="9730" width="112.28515625" style="8" customWidth="1"/>
    <col min="9731" max="9731" width="19.7109375" style="8" customWidth="1"/>
    <col min="9732" max="9756" width="9.140625" style="8" customWidth="1"/>
    <col min="9757" max="9761" width="15.140625" style="8" bestFit="1" customWidth="1"/>
    <col min="9762" max="9762" width="19.42578125" style="8" bestFit="1" customWidth="1"/>
    <col min="9763" max="9779" width="15.140625" style="8" bestFit="1" customWidth="1"/>
    <col min="9780" max="9780" width="20.42578125" style="8" bestFit="1" customWidth="1"/>
    <col min="9781" max="9781" width="19.42578125" style="8" bestFit="1" customWidth="1"/>
    <col min="9782" max="9794" width="15.140625" style="8" bestFit="1" customWidth="1"/>
    <col min="9795" max="9984" width="9.140625" style="8"/>
    <col min="9985" max="9985" width="9.140625" style="8" customWidth="1"/>
    <col min="9986" max="9986" width="112.28515625" style="8" customWidth="1"/>
    <col min="9987" max="9987" width="19.7109375" style="8" customWidth="1"/>
    <col min="9988" max="10012" width="9.140625" style="8" customWidth="1"/>
    <col min="10013" max="10017" width="15.140625" style="8" bestFit="1" customWidth="1"/>
    <col min="10018" max="10018" width="19.42578125" style="8" bestFit="1" customWidth="1"/>
    <col min="10019" max="10035" width="15.140625" style="8" bestFit="1" customWidth="1"/>
    <col min="10036" max="10036" width="20.42578125" style="8" bestFit="1" customWidth="1"/>
    <col min="10037" max="10037" width="19.42578125" style="8" bestFit="1" customWidth="1"/>
    <col min="10038" max="10050" width="15.140625" style="8" bestFit="1" customWidth="1"/>
    <col min="10051" max="10240" width="9.140625" style="8"/>
    <col min="10241" max="10241" width="9.140625" style="8" customWidth="1"/>
    <col min="10242" max="10242" width="112.28515625" style="8" customWidth="1"/>
    <col min="10243" max="10243" width="19.7109375" style="8" customWidth="1"/>
    <col min="10244" max="10268" width="9.140625" style="8" customWidth="1"/>
    <col min="10269" max="10273" width="15.140625" style="8" bestFit="1" customWidth="1"/>
    <col min="10274" max="10274" width="19.42578125" style="8" bestFit="1" customWidth="1"/>
    <col min="10275" max="10291" width="15.140625" style="8" bestFit="1" customWidth="1"/>
    <col min="10292" max="10292" width="20.42578125" style="8" bestFit="1" customWidth="1"/>
    <col min="10293" max="10293" width="19.42578125" style="8" bestFit="1" customWidth="1"/>
    <col min="10294" max="10306" width="15.140625" style="8" bestFit="1" customWidth="1"/>
    <col min="10307" max="10496" width="9.140625" style="8"/>
    <col min="10497" max="10497" width="9.140625" style="8" customWidth="1"/>
    <col min="10498" max="10498" width="112.28515625" style="8" customWidth="1"/>
    <col min="10499" max="10499" width="19.7109375" style="8" customWidth="1"/>
    <col min="10500" max="10524" width="9.140625" style="8" customWidth="1"/>
    <col min="10525" max="10529" width="15.140625" style="8" bestFit="1" customWidth="1"/>
    <col min="10530" max="10530" width="19.42578125" style="8" bestFit="1" customWidth="1"/>
    <col min="10531" max="10547" width="15.140625" style="8" bestFit="1" customWidth="1"/>
    <col min="10548" max="10548" width="20.42578125" style="8" bestFit="1" customWidth="1"/>
    <col min="10549" max="10549" width="19.42578125" style="8" bestFit="1" customWidth="1"/>
    <col min="10550" max="10562" width="15.140625" style="8" bestFit="1" customWidth="1"/>
    <col min="10563" max="10752" width="9.140625" style="8"/>
    <col min="10753" max="10753" width="9.140625" style="8" customWidth="1"/>
    <col min="10754" max="10754" width="112.28515625" style="8" customWidth="1"/>
    <col min="10755" max="10755" width="19.7109375" style="8" customWidth="1"/>
    <col min="10756" max="10780" width="9.140625" style="8" customWidth="1"/>
    <col min="10781" max="10785" width="15.140625" style="8" bestFit="1" customWidth="1"/>
    <col min="10786" max="10786" width="19.42578125" style="8" bestFit="1" customWidth="1"/>
    <col min="10787" max="10803" width="15.140625" style="8" bestFit="1" customWidth="1"/>
    <col min="10804" max="10804" width="20.42578125" style="8" bestFit="1" customWidth="1"/>
    <col min="10805" max="10805" width="19.42578125" style="8" bestFit="1" customWidth="1"/>
    <col min="10806" max="10818" width="15.140625" style="8" bestFit="1" customWidth="1"/>
    <col min="10819" max="11008" width="9.140625" style="8"/>
    <col min="11009" max="11009" width="9.140625" style="8" customWidth="1"/>
    <col min="11010" max="11010" width="112.28515625" style="8" customWidth="1"/>
    <col min="11011" max="11011" width="19.7109375" style="8" customWidth="1"/>
    <col min="11012" max="11036" width="9.140625" style="8" customWidth="1"/>
    <col min="11037" max="11041" width="15.140625" style="8" bestFit="1" customWidth="1"/>
    <col min="11042" max="11042" width="19.42578125" style="8" bestFit="1" customWidth="1"/>
    <col min="11043" max="11059" width="15.140625" style="8" bestFit="1" customWidth="1"/>
    <col min="11060" max="11060" width="20.42578125" style="8" bestFit="1" customWidth="1"/>
    <col min="11061" max="11061" width="19.42578125" style="8" bestFit="1" customWidth="1"/>
    <col min="11062" max="11074" width="15.140625" style="8" bestFit="1" customWidth="1"/>
    <col min="11075" max="11264" width="9.140625" style="8"/>
    <col min="11265" max="11265" width="9.140625" style="8" customWidth="1"/>
    <col min="11266" max="11266" width="112.28515625" style="8" customWidth="1"/>
    <col min="11267" max="11267" width="19.7109375" style="8" customWidth="1"/>
    <col min="11268" max="11292" width="9.140625" style="8" customWidth="1"/>
    <col min="11293" max="11297" width="15.140625" style="8" bestFit="1" customWidth="1"/>
    <col min="11298" max="11298" width="19.42578125" style="8" bestFit="1" customWidth="1"/>
    <col min="11299" max="11315" width="15.140625" style="8" bestFit="1" customWidth="1"/>
    <col min="11316" max="11316" width="20.42578125" style="8" bestFit="1" customWidth="1"/>
    <col min="11317" max="11317" width="19.42578125" style="8" bestFit="1" customWidth="1"/>
    <col min="11318" max="11330" width="15.140625" style="8" bestFit="1" customWidth="1"/>
    <col min="11331" max="11520" width="9.140625" style="8"/>
    <col min="11521" max="11521" width="9.140625" style="8" customWidth="1"/>
    <col min="11522" max="11522" width="112.28515625" style="8" customWidth="1"/>
    <col min="11523" max="11523" width="19.7109375" style="8" customWidth="1"/>
    <col min="11524" max="11548" width="9.140625" style="8" customWidth="1"/>
    <col min="11549" max="11553" width="15.140625" style="8" bestFit="1" customWidth="1"/>
    <col min="11554" max="11554" width="19.42578125" style="8" bestFit="1" customWidth="1"/>
    <col min="11555" max="11571" width="15.140625" style="8" bestFit="1" customWidth="1"/>
    <col min="11572" max="11572" width="20.42578125" style="8" bestFit="1" customWidth="1"/>
    <col min="11573" max="11573" width="19.42578125" style="8" bestFit="1" customWidth="1"/>
    <col min="11574" max="11586" width="15.140625" style="8" bestFit="1" customWidth="1"/>
    <col min="11587" max="11776" width="9.140625" style="8"/>
    <col min="11777" max="11777" width="9.140625" style="8" customWidth="1"/>
    <col min="11778" max="11778" width="112.28515625" style="8" customWidth="1"/>
    <col min="11779" max="11779" width="19.7109375" style="8" customWidth="1"/>
    <col min="11780" max="11804" width="9.140625" style="8" customWidth="1"/>
    <col min="11805" max="11809" width="15.140625" style="8" bestFit="1" customWidth="1"/>
    <col min="11810" max="11810" width="19.42578125" style="8" bestFit="1" customWidth="1"/>
    <col min="11811" max="11827" width="15.140625" style="8" bestFit="1" customWidth="1"/>
    <col min="11828" max="11828" width="20.42578125" style="8" bestFit="1" customWidth="1"/>
    <col min="11829" max="11829" width="19.42578125" style="8" bestFit="1" customWidth="1"/>
    <col min="11830" max="11842" width="15.140625" style="8" bestFit="1" customWidth="1"/>
    <col min="11843" max="12032" width="9.140625" style="8"/>
    <col min="12033" max="12033" width="9.140625" style="8" customWidth="1"/>
    <col min="12034" max="12034" width="112.28515625" style="8" customWidth="1"/>
    <col min="12035" max="12035" width="19.7109375" style="8" customWidth="1"/>
    <col min="12036" max="12060" width="9.140625" style="8" customWidth="1"/>
    <col min="12061" max="12065" width="15.140625" style="8" bestFit="1" customWidth="1"/>
    <col min="12066" max="12066" width="19.42578125" style="8" bestFit="1" customWidth="1"/>
    <col min="12067" max="12083" width="15.140625" style="8" bestFit="1" customWidth="1"/>
    <col min="12084" max="12084" width="20.42578125" style="8" bestFit="1" customWidth="1"/>
    <col min="12085" max="12085" width="19.42578125" style="8" bestFit="1" customWidth="1"/>
    <col min="12086" max="12098" width="15.140625" style="8" bestFit="1" customWidth="1"/>
    <col min="12099" max="12288" width="9.140625" style="8"/>
    <col min="12289" max="12289" width="9.140625" style="8" customWidth="1"/>
    <col min="12290" max="12290" width="112.28515625" style="8" customWidth="1"/>
    <col min="12291" max="12291" width="19.7109375" style="8" customWidth="1"/>
    <col min="12292" max="12316" width="9.140625" style="8" customWidth="1"/>
    <col min="12317" max="12321" width="15.140625" style="8" bestFit="1" customWidth="1"/>
    <col min="12322" max="12322" width="19.42578125" style="8" bestFit="1" customWidth="1"/>
    <col min="12323" max="12339" width="15.140625" style="8" bestFit="1" customWidth="1"/>
    <col min="12340" max="12340" width="20.42578125" style="8" bestFit="1" customWidth="1"/>
    <col min="12341" max="12341" width="19.42578125" style="8" bestFit="1" customWidth="1"/>
    <col min="12342" max="12354" width="15.140625" style="8" bestFit="1" customWidth="1"/>
    <col min="12355" max="12544" width="9.140625" style="8"/>
    <col min="12545" max="12545" width="9.140625" style="8" customWidth="1"/>
    <col min="12546" max="12546" width="112.28515625" style="8" customWidth="1"/>
    <col min="12547" max="12547" width="19.7109375" style="8" customWidth="1"/>
    <col min="12548" max="12572" width="9.140625" style="8" customWidth="1"/>
    <col min="12573" max="12577" width="15.140625" style="8" bestFit="1" customWidth="1"/>
    <col min="12578" max="12578" width="19.42578125" style="8" bestFit="1" customWidth="1"/>
    <col min="12579" max="12595" width="15.140625" style="8" bestFit="1" customWidth="1"/>
    <col min="12596" max="12596" width="20.42578125" style="8" bestFit="1" customWidth="1"/>
    <col min="12597" max="12597" width="19.42578125" style="8" bestFit="1" customWidth="1"/>
    <col min="12598" max="12610" width="15.140625" style="8" bestFit="1" customWidth="1"/>
    <col min="12611" max="12800" width="9.140625" style="8"/>
    <col min="12801" max="12801" width="9.140625" style="8" customWidth="1"/>
    <col min="12802" max="12802" width="112.28515625" style="8" customWidth="1"/>
    <col min="12803" max="12803" width="19.7109375" style="8" customWidth="1"/>
    <col min="12804" max="12828" width="9.140625" style="8" customWidth="1"/>
    <col min="12829" max="12833" width="15.140625" style="8" bestFit="1" customWidth="1"/>
    <col min="12834" max="12834" width="19.42578125" style="8" bestFit="1" customWidth="1"/>
    <col min="12835" max="12851" width="15.140625" style="8" bestFit="1" customWidth="1"/>
    <col min="12852" max="12852" width="20.42578125" style="8" bestFit="1" customWidth="1"/>
    <col min="12853" max="12853" width="19.42578125" style="8" bestFit="1" customWidth="1"/>
    <col min="12854" max="12866" width="15.140625" style="8" bestFit="1" customWidth="1"/>
    <col min="12867" max="13056" width="9.140625" style="8"/>
    <col min="13057" max="13057" width="9.140625" style="8" customWidth="1"/>
    <col min="13058" max="13058" width="112.28515625" style="8" customWidth="1"/>
    <col min="13059" max="13059" width="19.7109375" style="8" customWidth="1"/>
    <col min="13060" max="13084" width="9.140625" style="8" customWidth="1"/>
    <col min="13085" max="13089" width="15.140625" style="8" bestFit="1" customWidth="1"/>
    <col min="13090" max="13090" width="19.42578125" style="8" bestFit="1" customWidth="1"/>
    <col min="13091" max="13107" width="15.140625" style="8" bestFit="1" customWidth="1"/>
    <col min="13108" max="13108" width="20.42578125" style="8" bestFit="1" customWidth="1"/>
    <col min="13109" max="13109" width="19.42578125" style="8" bestFit="1" customWidth="1"/>
    <col min="13110" max="13122" width="15.140625" style="8" bestFit="1" customWidth="1"/>
    <col min="13123" max="13312" width="9.140625" style="8"/>
    <col min="13313" max="13313" width="9.140625" style="8" customWidth="1"/>
    <col min="13314" max="13314" width="112.28515625" style="8" customWidth="1"/>
    <col min="13315" max="13315" width="19.7109375" style="8" customWidth="1"/>
    <col min="13316" max="13340" width="9.140625" style="8" customWidth="1"/>
    <col min="13341" max="13345" width="15.140625" style="8" bestFit="1" customWidth="1"/>
    <col min="13346" max="13346" width="19.42578125" style="8" bestFit="1" customWidth="1"/>
    <col min="13347" max="13363" width="15.140625" style="8" bestFit="1" customWidth="1"/>
    <col min="13364" max="13364" width="20.42578125" style="8" bestFit="1" customWidth="1"/>
    <col min="13365" max="13365" width="19.42578125" style="8" bestFit="1" customWidth="1"/>
    <col min="13366" max="13378" width="15.140625" style="8" bestFit="1" customWidth="1"/>
    <col min="13379" max="13568" width="9.140625" style="8"/>
    <col min="13569" max="13569" width="9.140625" style="8" customWidth="1"/>
    <col min="13570" max="13570" width="112.28515625" style="8" customWidth="1"/>
    <col min="13571" max="13571" width="19.7109375" style="8" customWidth="1"/>
    <col min="13572" max="13596" width="9.140625" style="8" customWidth="1"/>
    <col min="13597" max="13601" width="15.140625" style="8" bestFit="1" customWidth="1"/>
    <col min="13602" max="13602" width="19.42578125" style="8" bestFit="1" customWidth="1"/>
    <col min="13603" max="13619" width="15.140625" style="8" bestFit="1" customWidth="1"/>
    <col min="13620" max="13620" width="20.42578125" style="8" bestFit="1" customWidth="1"/>
    <col min="13621" max="13621" width="19.42578125" style="8" bestFit="1" customWidth="1"/>
    <col min="13622" max="13634" width="15.140625" style="8" bestFit="1" customWidth="1"/>
    <col min="13635" max="13824" width="9.140625" style="8"/>
    <col min="13825" max="13825" width="9.140625" style="8" customWidth="1"/>
    <col min="13826" max="13826" width="112.28515625" style="8" customWidth="1"/>
    <col min="13827" max="13827" width="19.7109375" style="8" customWidth="1"/>
    <col min="13828" max="13852" width="9.140625" style="8" customWidth="1"/>
    <col min="13853" max="13857" width="15.140625" style="8" bestFit="1" customWidth="1"/>
    <col min="13858" max="13858" width="19.42578125" style="8" bestFit="1" customWidth="1"/>
    <col min="13859" max="13875" width="15.140625" style="8" bestFit="1" customWidth="1"/>
    <col min="13876" max="13876" width="20.42578125" style="8" bestFit="1" customWidth="1"/>
    <col min="13877" max="13877" width="19.42578125" style="8" bestFit="1" customWidth="1"/>
    <col min="13878" max="13890" width="15.140625" style="8" bestFit="1" customWidth="1"/>
    <col min="13891" max="14080" width="9.140625" style="8"/>
    <col min="14081" max="14081" width="9.140625" style="8" customWidth="1"/>
    <col min="14082" max="14082" width="112.28515625" style="8" customWidth="1"/>
    <col min="14083" max="14083" width="19.7109375" style="8" customWidth="1"/>
    <col min="14084" max="14108" width="9.140625" style="8" customWidth="1"/>
    <col min="14109" max="14113" width="15.140625" style="8" bestFit="1" customWidth="1"/>
    <col min="14114" max="14114" width="19.42578125" style="8" bestFit="1" customWidth="1"/>
    <col min="14115" max="14131" width="15.140625" style="8" bestFit="1" customWidth="1"/>
    <col min="14132" max="14132" width="20.42578125" style="8" bestFit="1" customWidth="1"/>
    <col min="14133" max="14133" width="19.42578125" style="8" bestFit="1" customWidth="1"/>
    <col min="14134" max="14146" width="15.140625" style="8" bestFit="1" customWidth="1"/>
    <col min="14147" max="14336" width="9.140625" style="8"/>
    <col min="14337" max="14337" width="9.140625" style="8" customWidth="1"/>
    <col min="14338" max="14338" width="112.28515625" style="8" customWidth="1"/>
    <col min="14339" max="14339" width="19.7109375" style="8" customWidth="1"/>
    <col min="14340" max="14364" width="9.140625" style="8" customWidth="1"/>
    <col min="14365" max="14369" width="15.140625" style="8" bestFit="1" customWidth="1"/>
    <col min="14370" max="14370" width="19.42578125" style="8" bestFit="1" customWidth="1"/>
    <col min="14371" max="14387" width="15.140625" style="8" bestFit="1" customWidth="1"/>
    <col min="14388" max="14388" width="20.42578125" style="8" bestFit="1" customWidth="1"/>
    <col min="14389" max="14389" width="19.42578125" style="8" bestFit="1" customWidth="1"/>
    <col min="14390" max="14402" width="15.140625" style="8" bestFit="1" customWidth="1"/>
    <col min="14403" max="14592" width="9.140625" style="8"/>
    <col min="14593" max="14593" width="9.140625" style="8" customWidth="1"/>
    <col min="14594" max="14594" width="112.28515625" style="8" customWidth="1"/>
    <col min="14595" max="14595" width="19.7109375" style="8" customWidth="1"/>
    <col min="14596" max="14620" width="9.140625" style="8" customWidth="1"/>
    <col min="14621" max="14625" width="15.140625" style="8" bestFit="1" customWidth="1"/>
    <col min="14626" max="14626" width="19.42578125" style="8" bestFit="1" customWidth="1"/>
    <col min="14627" max="14643" width="15.140625" style="8" bestFit="1" customWidth="1"/>
    <col min="14644" max="14644" width="20.42578125" style="8" bestFit="1" customWidth="1"/>
    <col min="14645" max="14645" width="19.42578125" style="8" bestFit="1" customWidth="1"/>
    <col min="14646" max="14658" width="15.140625" style="8" bestFit="1" customWidth="1"/>
    <col min="14659" max="14848" width="9.140625" style="8"/>
    <col min="14849" max="14849" width="9.140625" style="8" customWidth="1"/>
    <col min="14850" max="14850" width="112.28515625" style="8" customWidth="1"/>
    <col min="14851" max="14851" width="19.7109375" style="8" customWidth="1"/>
    <col min="14852" max="14876" width="9.140625" style="8" customWidth="1"/>
    <col min="14877" max="14881" width="15.140625" style="8" bestFit="1" customWidth="1"/>
    <col min="14882" max="14882" width="19.42578125" style="8" bestFit="1" customWidth="1"/>
    <col min="14883" max="14899" width="15.140625" style="8" bestFit="1" customWidth="1"/>
    <col min="14900" max="14900" width="20.42578125" style="8" bestFit="1" customWidth="1"/>
    <col min="14901" max="14901" width="19.42578125" style="8" bestFit="1" customWidth="1"/>
    <col min="14902" max="14914" width="15.140625" style="8" bestFit="1" customWidth="1"/>
    <col min="14915" max="15104" width="9.140625" style="8"/>
    <col min="15105" max="15105" width="9.140625" style="8" customWidth="1"/>
    <col min="15106" max="15106" width="112.28515625" style="8" customWidth="1"/>
    <col min="15107" max="15107" width="19.7109375" style="8" customWidth="1"/>
    <col min="15108" max="15132" width="9.140625" style="8" customWidth="1"/>
    <col min="15133" max="15137" width="15.140625" style="8" bestFit="1" customWidth="1"/>
    <col min="15138" max="15138" width="19.42578125" style="8" bestFit="1" customWidth="1"/>
    <col min="15139" max="15155" width="15.140625" style="8" bestFit="1" customWidth="1"/>
    <col min="15156" max="15156" width="20.42578125" style="8" bestFit="1" customWidth="1"/>
    <col min="15157" max="15157" width="19.42578125" style="8" bestFit="1" customWidth="1"/>
    <col min="15158" max="15170" width="15.140625" style="8" bestFit="1" customWidth="1"/>
    <col min="15171" max="15360" width="9.140625" style="8"/>
    <col min="15361" max="15361" width="9.140625" style="8" customWidth="1"/>
    <col min="15362" max="15362" width="112.28515625" style="8" customWidth="1"/>
    <col min="15363" max="15363" width="19.7109375" style="8" customWidth="1"/>
    <col min="15364" max="15388" width="9.140625" style="8" customWidth="1"/>
    <col min="15389" max="15393" width="15.140625" style="8" bestFit="1" customWidth="1"/>
    <col min="15394" max="15394" width="19.42578125" style="8" bestFit="1" customWidth="1"/>
    <col min="15395" max="15411" width="15.140625" style="8" bestFit="1" customWidth="1"/>
    <col min="15412" max="15412" width="20.42578125" style="8" bestFit="1" customWidth="1"/>
    <col min="15413" max="15413" width="19.42578125" style="8" bestFit="1" customWidth="1"/>
    <col min="15414" max="15426" width="15.140625" style="8" bestFit="1" customWidth="1"/>
    <col min="15427" max="15616" width="9.140625" style="8"/>
    <col min="15617" max="15617" width="9.140625" style="8" customWidth="1"/>
    <col min="15618" max="15618" width="112.28515625" style="8" customWidth="1"/>
    <col min="15619" max="15619" width="19.7109375" style="8" customWidth="1"/>
    <col min="15620" max="15644" width="9.140625" style="8" customWidth="1"/>
    <col min="15645" max="15649" width="15.140625" style="8" bestFit="1" customWidth="1"/>
    <col min="15650" max="15650" width="19.42578125" style="8" bestFit="1" customWidth="1"/>
    <col min="15651" max="15667" width="15.140625" style="8" bestFit="1" customWidth="1"/>
    <col min="15668" max="15668" width="20.42578125" style="8" bestFit="1" customWidth="1"/>
    <col min="15669" max="15669" width="19.42578125" style="8" bestFit="1" customWidth="1"/>
    <col min="15670" max="15682" width="15.140625" style="8" bestFit="1" customWidth="1"/>
    <col min="15683" max="15872" width="9.140625" style="8"/>
    <col min="15873" max="15873" width="9.140625" style="8" customWidth="1"/>
    <col min="15874" max="15874" width="112.28515625" style="8" customWidth="1"/>
    <col min="15875" max="15875" width="19.7109375" style="8" customWidth="1"/>
    <col min="15876" max="15900" width="9.140625" style="8" customWidth="1"/>
    <col min="15901" max="15905" width="15.140625" style="8" bestFit="1" customWidth="1"/>
    <col min="15906" max="15906" width="19.42578125" style="8" bestFit="1" customWidth="1"/>
    <col min="15907" max="15923" width="15.140625" style="8" bestFit="1" customWidth="1"/>
    <col min="15924" max="15924" width="20.42578125" style="8" bestFit="1" customWidth="1"/>
    <col min="15925" max="15925" width="19.42578125" style="8" bestFit="1" customWidth="1"/>
    <col min="15926" max="15938" width="15.140625" style="8" bestFit="1" customWidth="1"/>
    <col min="15939" max="16128" width="9.140625" style="8"/>
    <col min="16129" max="16129" width="9.140625" style="8" customWidth="1"/>
    <col min="16130" max="16130" width="112.28515625" style="8" customWidth="1"/>
    <col min="16131" max="16131" width="19.7109375" style="8" customWidth="1"/>
    <col min="16132" max="16156" width="9.140625" style="8" customWidth="1"/>
    <col min="16157" max="16161" width="15.140625" style="8" bestFit="1" customWidth="1"/>
    <col min="16162" max="16162" width="19.42578125" style="8" bestFit="1" customWidth="1"/>
    <col min="16163" max="16179" width="15.140625" style="8" bestFit="1" customWidth="1"/>
    <col min="16180" max="16180" width="20.42578125" style="8" bestFit="1" customWidth="1"/>
    <col min="16181" max="16181" width="19.42578125" style="8" bestFit="1" customWidth="1"/>
    <col min="16182" max="16194" width="15.140625" style="8" bestFit="1" customWidth="1"/>
    <col min="16195" max="16384" width="9.140625" style="8"/>
  </cols>
  <sheetData>
    <row r="1" spans="1:66" s="1" customFormat="1" x14ac:dyDescent="0.2">
      <c r="A1" s="1" t="s">
        <v>0</v>
      </c>
      <c r="B1" s="1" t="s">
        <v>0</v>
      </c>
      <c r="C1" s="2" t="s">
        <v>1</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2">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2">
      <c r="A3" s="4" t="s">
        <v>66</v>
      </c>
      <c r="B3" s="4" t="s">
        <v>67</v>
      </c>
      <c r="C3" s="5" t="s">
        <v>68</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2">
      <c r="A4" s="8" t="s">
        <v>69</v>
      </c>
      <c r="B4" s="8" t="s">
        <v>70</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2">
      <c r="A5" s="8" t="s">
        <v>71</v>
      </c>
      <c r="B5" s="8" t="s">
        <v>72</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2">
      <c r="A6" s="8" t="s">
        <v>73</v>
      </c>
      <c r="B6" s="8" t="s">
        <v>74</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2">
      <c r="A7" s="11" t="s">
        <v>75</v>
      </c>
      <c r="B7" s="11" t="s">
        <v>76</v>
      </c>
      <c r="C7" s="12" t="s">
        <v>68</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2">
      <c r="A8" s="8" t="s">
        <v>77</v>
      </c>
      <c r="B8" s="8" t="s">
        <v>78</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2">
      <c r="A9" s="8" t="s">
        <v>79</v>
      </c>
      <c r="B9" s="8" t="s">
        <v>80</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2">
      <c r="A10" s="8" t="s">
        <v>81</v>
      </c>
      <c r="B10" s="8" t="s">
        <v>82</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2">
      <c r="A11" s="14" t="s">
        <v>83</v>
      </c>
      <c r="B11" s="15" t="s">
        <v>84</v>
      </c>
      <c r="C11" s="16" t="s">
        <v>85</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2">
      <c r="A12" s="17" t="s">
        <v>86</v>
      </c>
      <c r="B12" s="18" t="s">
        <v>87</v>
      </c>
      <c r="C12" s="19" t="s">
        <v>88</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2">
      <c r="A13" s="8" t="s">
        <v>86</v>
      </c>
      <c r="B13" s="21" t="s">
        <v>417</v>
      </c>
      <c r="C13" s="22" t="s">
        <v>90</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2">
      <c r="A14" s="8" t="s">
        <v>91</v>
      </c>
      <c r="B14" s="21" t="s">
        <v>418</v>
      </c>
      <c r="C14" s="22" t="s">
        <v>90</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2">
      <c r="A15" s="17" t="s">
        <v>93</v>
      </c>
      <c r="B15" s="18" t="s">
        <v>94</v>
      </c>
      <c r="C15" s="19" t="s">
        <v>88</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2">
      <c r="A16" s="8" t="s">
        <v>95</v>
      </c>
      <c r="B16" s="21" t="s">
        <v>96</v>
      </c>
      <c r="C16" s="22" t="s">
        <v>90</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2">
      <c r="A17" s="8" t="s">
        <v>97</v>
      </c>
      <c r="B17" s="21" t="s">
        <v>98</v>
      </c>
      <c r="C17" s="22" t="s">
        <v>90</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2">
      <c r="A18" s="8" t="s">
        <v>99</v>
      </c>
      <c r="B18" s="21" t="s">
        <v>100</v>
      </c>
      <c r="C18" s="22" t="s">
        <v>90</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2">
      <c r="A19" s="8" t="s">
        <v>101</v>
      </c>
      <c r="B19" s="21" t="s">
        <v>102</v>
      </c>
      <c r="C19" s="22" t="s">
        <v>90</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2">
      <c r="A20" s="8" t="s">
        <v>103</v>
      </c>
      <c r="B20" s="21" t="s">
        <v>104</v>
      </c>
      <c r="C20" s="22" t="s">
        <v>90</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2">
      <c r="A21" s="8" t="s">
        <v>105</v>
      </c>
      <c r="B21" s="21" t="s">
        <v>106</v>
      </c>
      <c r="C21" s="22" t="s">
        <v>90</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2">
      <c r="A22" s="17" t="s">
        <v>107</v>
      </c>
      <c r="B22" s="18" t="s">
        <v>108</v>
      </c>
      <c r="C22" s="19" t="s">
        <v>88</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2">
      <c r="A23" s="8" t="s">
        <v>109</v>
      </c>
      <c r="B23" s="21" t="s">
        <v>110</v>
      </c>
      <c r="C23" s="22" t="s">
        <v>90</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2">
      <c r="A24" s="8" t="s">
        <v>111</v>
      </c>
      <c r="B24" s="21" t="s">
        <v>112</v>
      </c>
      <c r="C24" s="22" t="s">
        <v>90</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2">
      <c r="A25" s="8" t="s">
        <v>113</v>
      </c>
      <c r="B25" s="21" t="s">
        <v>114</v>
      </c>
      <c r="C25" s="22" t="s">
        <v>90</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2">
      <c r="A26" s="8" t="s">
        <v>115</v>
      </c>
      <c r="B26" s="21" t="s">
        <v>116</v>
      </c>
      <c r="C26" s="22" t="s">
        <v>90</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2">
      <c r="A27" s="8" t="s">
        <v>117</v>
      </c>
      <c r="B27" s="21" t="s">
        <v>118</v>
      </c>
      <c r="C27" s="22" t="s">
        <v>90</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2">
      <c r="A28" s="8" t="s">
        <v>119</v>
      </c>
      <c r="B28" s="21" t="s">
        <v>120</v>
      </c>
      <c r="C28" s="22" t="s">
        <v>90</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2">
      <c r="A29" s="17" t="s">
        <v>121</v>
      </c>
      <c r="B29" s="18" t="s">
        <v>122</v>
      </c>
      <c r="C29" s="19" t="s">
        <v>88</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2">
      <c r="A30" s="8" t="s">
        <v>123</v>
      </c>
      <c r="B30" s="21" t="s">
        <v>124</v>
      </c>
      <c r="C30" s="22" t="s">
        <v>90</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2">
      <c r="A31" s="8" t="s">
        <v>125</v>
      </c>
      <c r="B31" s="21" t="s">
        <v>126</v>
      </c>
      <c r="C31" s="22" t="s">
        <v>90</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2">
      <c r="A32" s="8" t="s">
        <v>127</v>
      </c>
      <c r="B32" s="21" t="s">
        <v>128</v>
      </c>
      <c r="C32" s="22" t="s">
        <v>90</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2">
      <c r="A33" s="8" t="s">
        <v>129</v>
      </c>
      <c r="B33" s="21" t="s">
        <v>130</v>
      </c>
      <c r="C33" s="22" t="s">
        <v>90</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2">
      <c r="A34" s="8" t="s">
        <v>131</v>
      </c>
      <c r="B34" s="21" t="s">
        <v>132</v>
      </c>
      <c r="C34" s="22" t="s">
        <v>90</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2">
      <c r="A35" s="14" t="s">
        <v>133</v>
      </c>
      <c r="B35" s="15" t="s">
        <v>134</v>
      </c>
      <c r="C35" s="16" t="s">
        <v>85</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2">
      <c r="A36" s="18" t="s">
        <v>135</v>
      </c>
      <c r="B36" s="18" t="s">
        <v>419</v>
      </c>
      <c r="C36" s="19" t="s">
        <v>88</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2">
      <c r="A37" s="8" t="s">
        <v>137</v>
      </c>
      <c r="B37" s="21" t="s">
        <v>138</v>
      </c>
      <c r="C37" s="22" t="s">
        <v>90</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2">
      <c r="A38" s="8" t="s">
        <v>139</v>
      </c>
      <c r="B38" s="21" t="s">
        <v>140</v>
      </c>
      <c r="C38" s="22" t="s">
        <v>90</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2">
      <c r="A39" s="8" t="s">
        <v>141</v>
      </c>
      <c r="B39" s="21" t="s">
        <v>142</v>
      </c>
      <c r="C39" s="22" t="s">
        <v>90</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2">
      <c r="A40" s="8" t="s">
        <v>143</v>
      </c>
      <c r="B40" s="21" t="s">
        <v>144</v>
      </c>
      <c r="C40" s="22" t="s">
        <v>90</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2">
      <c r="A41" s="8" t="s">
        <v>145</v>
      </c>
      <c r="B41" s="21" t="s">
        <v>146</v>
      </c>
      <c r="C41" s="22" t="s">
        <v>90</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2">
      <c r="A42" s="8" t="s">
        <v>147</v>
      </c>
      <c r="B42" s="21" t="s">
        <v>148</v>
      </c>
      <c r="C42" s="22" t="s">
        <v>90</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2">
      <c r="A43" s="18" t="s">
        <v>149</v>
      </c>
      <c r="B43" s="18" t="s">
        <v>150</v>
      </c>
      <c r="C43" s="19" t="s">
        <v>88</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2">
      <c r="A44" s="8" t="s">
        <v>151</v>
      </c>
      <c r="B44" s="21" t="s">
        <v>152</v>
      </c>
      <c r="C44" s="22" t="s">
        <v>90</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2">
      <c r="A45" s="8" t="s">
        <v>153</v>
      </c>
      <c r="B45" s="21" t="s">
        <v>154</v>
      </c>
      <c r="C45" s="22" t="s">
        <v>90</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2">
      <c r="A46" s="8" t="s">
        <v>155</v>
      </c>
      <c r="B46" s="21" t="s">
        <v>156</v>
      </c>
      <c r="C46" s="22" t="s">
        <v>90</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2">
      <c r="A47" s="18" t="s">
        <v>157</v>
      </c>
      <c r="B47" s="18" t="s">
        <v>158</v>
      </c>
      <c r="C47" s="19" t="s">
        <v>88</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2">
      <c r="A48" s="8" t="s">
        <v>159</v>
      </c>
      <c r="B48" s="21" t="s">
        <v>160</v>
      </c>
      <c r="C48" s="22" t="s">
        <v>90</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2">
      <c r="A49" s="8" t="s">
        <v>161</v>
      </c>
      <c r="B49" s="21" t="s">
        <v>162</v>
      </c>
      <c r="C49" s="22" t="s">
        <v>90</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2">
      <c r="A50" s="8" t="s">
        <v>163</v>
      </c>
      <c r="B50" s="21" t="s">
        <v>164</v>
      </c>
      <c r="C50" s="22" t="s">
        <v>90</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2">
      <c r="A51" s="18" t="s">
        <v>165</v>
      </c>
      <c r="B51" s="18" t="s">
        <v>166</v>
      </c>
      <c r="C51" s="19" t="s">
        <v>88</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2">
      <c r="A52" s="8" t="s">
        <v>167</v>
      </c>
      <c r="B52" s="21" t="s">
        <v>168</v>
      </c>
      <c r="C52" s="22" t="s">
        <v>90</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2">
      <c r="A53" s="8" t="s">
        <v>169</v>
      </c>
      <c r="B53" s="21" t="s">
        <v>170</v>
      </c>
      <c r="C53" s="22" t="s">
        <v>90</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2">
      <c r="A54" s="8" t="s">
        <v>171</v>
      </c>
      <c r="B54" s="21" t="s">
        <v>172</v>
      </c>
      <c r="C54" s="22" t="s">
        <v>90</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2">
      <c r="A55" s="8" t="s">
        <v>173</v>
      </c>
      <c r="B55" s="21" t="s">
        <v>174</v>
      </c>
      <c r="C55" s="22" t="s">
        <v>175</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2">
      <c r="A56" s="25" t="s">
        <v>176</v>
      </c>
      <c r="B56" s="21" t="s">
        <v>177</v>
      </c>
      <c r="C56" s="22" t="s">
        <v>90</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2">
      <c r="A57" s="8" t="s">
        <v>178</v>
      </c>
      <c r="B57" s="21" t="s">
        <v>179</v>
      </c>
      <c r="C57" s="22" t="s">
        <v>90</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2">
      <c r="A58" s="8" t="s">
        <v>180</v>
      </c>
      <c r="B58" s="21" t="s">
        <v>181</v>
      </c>
      <c r="C58" s="22" t="s">
        <v>90</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2">
      <c r="A59" s="8" t="s">
        <v>182</v>
      </c>
      <c r="B59" s="21" t="s">
        <v>183</v>
      </c>
      <c r="C59" s="22" t="s">
        <v>90</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2">
      <c r="A60" s="8" t="s">
        <v>184</v>
      </c>
      <c r="B60" s="21" t="s">
        <v>185</v>
      </c>
      <c r="C60" s="22" t="s">
        <v>90</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2">
      <c r="A61" s="14" t="s">
        <v>186</v>
      </c>
      <c r="B61" s="15" t="s">
        <v>187</v>
      </c>
      <c r="C61" s="16" t="s">
        <v>85</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2">
      <c r="A62" s="18" t="s">
        <v>188</v>
      </c>
      <c r="B62" s="18" t="s">
        <v>189</v>
      </c>
      <c r="C62" s="19" t="s">
        <v>190</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2">
      <c r="A63" s="8" t="s">
        <v>191</v>
      </c>
      <c r="B63" s="21" t="s">
        <v>192</v>
      </c>
      <c r="C63" s="22" t="s">
        <v>90</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2">
      <c r="A64" s="8" t="s">
        <v>193</v>
      </c>
      <c r="B64" s="21" t="s">
        <v>194</v>
      </c>
      <c r="C64" s="22" t="s">
        <v>90</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2">
      <c r="A65" s="8" t="s">
        <v>195</v>
      </c>
      <c r="B65" s="21" t="s">
        <v>196</v>
      </c>
      <c r="C65" s="22" t="s">
        <v>90</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2">
      <c r="A66" s="8" t="s">
        <v>197</v>
      </c>
      <c r="B66" s="21" t="s">
        <v>198</v>
      </c>
      <c r="C66" s="22" t="s">
        <v>90</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2">
      <c r="A67" s="8" t="s">
        <v>199</v>
      </c>
      <c r="B67" s="21" t="s">
        <v>200</v>
      </c>
      <c r="C67" s="22" t="s">
        <v>90</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2">
      <c r="A68" s="8" t="s">
        <v>201</v>
      </c>
      <c r="B68" s="21" t="s">
        <v>202</v>
      </c>
      <c r="C68" s="22" t="s">
        <v>90</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2">
      <c r="A69" s="8" t="s">
        <v>203</v>
      </c>
      <c r="B69" s="21" t="s">
        <v>204</v>
      </c>
      <c r="C69" s="22" t="s">
        <v>90</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2">
      <c r="A70" s="8" t="s">
        <v>205</v>
      </c>
      <c r="B70" s="21" t="s">
        <v>206</v>
      </c>
      <c r="C70" s="22" t="s">
        <v>90</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2">
      <c r="A71" s="18" t="s">
        <v>207</v>
      </c>
      <c r="B71" s="18" t="s">
        <v>421</v>
      </c>
      <c r="C71" s="19" t="s">
        <v>190</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2">
      <c r="A72" s="8" t="s">
        <v>209</v>
      </c>
      <c r="B72" s="21" t="s">
        <v>210</v>
      </c>
      <c r="C72" s="22" t="s">
        <v>90</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2">
      <c r="A73" s="8" t="s">
        <v>211</v>
      </c>
      <c r="B73" s="21" t="s">
        <v>212</v>
      </c>
      <c r="C73" s="22" t="s">
        <v>90</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2">
      <c r="A74" s="18" t="s">
        <v>213</v>
      </c>
      <c r="B74" s="18" t="s">
        <v>420</v>
      </c>
      <c r="C74" s="19" t="s">
        <v>190</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2">
      <c r="A75" s="8" t="s">
        <v>215</v>
      </c>
      <c r="B75" s="21" t="s">
        <v>216</v>
      </c>
      <c r="C75" s="22" t="s">
        <v>90</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2">
      <c r="A76" s="8" t="s">
        <v>217</v>
      </c>
      <c r="B76" s="21" t="s">
        <v>218</v>
      </c>
      <c r="C76" s="22" t="s">
        <v>90</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2">
      <c r="A77" s="8" t="s">
        <v>219</v>
      </c>
      <c r="B77" s="21" t="s">
        <v>220</v>
      </c>
      <c r="C77" s="22" t="s">
        <v>90</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2">
      <c r="A78" s="14" t="s">
        <v>221</v>
      </c>
      <c r="B78" s="15" t="s">
        <v>222</v>
      </c>
      <c r="C78" s="16" t="s">
        <v>85</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2">
      <c r="A79" s="18" t="s">
        <v>223</v>
      </c>
      <c r="B79" s="18" t="s">
        <v>224</v>
      </c>
      <c r="C79" s="19" t="s">
        <v>88</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2">
      <c r="A80" s="8" t="s">
        <v>225</v>
      </c>
      <c r="B80" s="21" t="s">
        <v>226</v>
      </c>
      <c r="C80" s="22" t="s">
        <v>90</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2">
      <c r="A81" s="8" t="s">
        <v>227</v>
      </c>
      <c r="B81" s="21" t="s">
        <v>228</v>
      </c>
      <c r="C81" s="22" t="s">
        <v>90</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2">
      <c r="A82" s="8" t="s">
        <v>229</v>
      </c>
      <c r="B82" s="21" t="s">
        <v>237</v>
      </c>
      <c r="C82" s="22" t="s">
        <v>90</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2">
      <c r="A83" s="8" t="s">
        <v>231</v>
      </c>
      <c r="B83" s="21" t="s">
        <v>232</v>
      </c>
      <c r="C83" s="22" t="s">
        <v>90</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2">
      <c r="A84" s="8" t="s">
        <v>233</v>
      </c>
      <c r="B84" s="21" t="s">
        <v>230</v>
      </c>
      <c r="C84" s="22" t="s">
        <v>90</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2">
      <c r="A85" s="18" t="s">
        <v>234</v>
      </c>
      <c r="B85" s="18" t="s">
        <v>235</v>
      </c>
      <c r="C85" s="19" t="s">
        <v>88</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2">
      <c r="A86" s="8" t="s">
        <v>236</v>
      </c>
      <c r="B86" s="21" t="s">
        <v>423</v>
      </c>
      <c r="C86" s="22" t="s">
        <v>90</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2">
      <c r="A87" s="8" t="s">
        <v>238</v>
      </c>
      <c r="B87" s="21" t="s">
        <v>424</v>
      </c>
      <c r="C87" s="22" t="s">
        <v>90</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2">
      <c r="A88" s="18" t="s">
        <v>239</v>
      </c>
      <c r="B88" s="18" t="s">
        <v>240</v>
      </c>
      <c r="C88" s="19" t="s">
        <v>88</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2">
      <c r="A89" s="8" t="s">
        <v>241</v>
      </c>
      <c r="B89" s="21" t="s">
        <v>242</v>
      </c>
      <c r="C89" s="22" t="s">
        <v>90</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5.5" x14ac:dyDescent="0.2">
      <c r="A90" s="8" t="s">
        <v>243</v>
      </c>
      <c r="B90" s="21" t="s">
        <v>244</v>
      </c>
      <c r="C90" s="22" t="s">
        <v>245</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2">
      <c r="A91" s="18" t="s">
        <v>246</v>
      </c>
      <c r="B91" s="18" t="s">
        <v>422</v>
      </c>
      <c r="C91" s="19" t="s">
        <v>88</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2">
      <c r="A92" s="8" t="s">
        <v>248</v>
      </c>
      <c r="B92" s="21" t="s">
        <v>249</v>
      </c>
      <c r="C92" s="22" t="s">
        <v>90</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2">
      <c r="A93" s="8" t="s">
        <v>250</v>
      </c>
      <c r="B93" s="21" t="s">
        <v>251</v>
      </c>
      <c r="C93" s="22" t="s">
        <v>90</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2">
      <c r="A94" s="8" t="s">
        <v>252</v>
      </c>
      <c r="B94" s="21" t="s">
        <v>253</v>
      </c>
      <c r="C94" s="22" t="s">
        <v>254</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2">
      <c r="A95" s="8" t="s">
        <v>255</v>
      </c>
      <c r="B95" s="21" t="s">
        <v>256</v>
      </c>
      <c r="C95" s="22" t="s">
        <v>90</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2">
      <c r="A96" s="7" t="s">
        <v>257</v>
      </c>
      <c r="B96" s="29" t="s">
        <v>258</v>
      </c>
      <c r="C96" s="30" t="s">
        <v>90</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2">
      <c r="A97" s="7" t="s">
        <v>259</v>
      </c>
      <c r="B97" s="29" t="s">
        <v>260</v>
      </c>
      <c r="C97" s="30" t="s">
        <v>90</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2">
      <c r="A98" s="14" t="s">
        <v>261</v>
      </c>
      <c r="B98" s="15" t="s">
        <v>262</v>
      </c>
      <c r="C98" s="16" t="s">
        <v>85</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2">
      <c r="A99" s="18" t="s">
        <v>263</v>
      </c>
      <c r="B99" s="18" t="s">
        <v>264</v>
      </c>
      <c r="C99" s="19" t="s">
        <v>88</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2">
      <c r="A100" s="8" t="s">
        <v>265</v>
      </c>
      <c r="B100" s="8" t="s">
        <v>266</v>
      </c>
      <c r="C100" s="22" t="s">
        <v>90</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2">
      <c r="A101" s="8" t="s">
        <v>267</v>
      </c>
      <c r="B101" s="21" t="s">
        <v>268</v>
      </c>
      <c r="C101" s="22" t="s">
        <v>269</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2">
      <c r="A102" s="8" t="s">
        <v>270</v>
      </c>
      <c r="B102" s="21" t="s">
        <v>271</v>
      </c>
      <c r="C102" s="22" t="s">
        <v>272</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2">
      <c r="A103" s="18" t="s">
        <v>273</v>
      </c>
      <c r="B103" s="18" t="s">
        <v>274</v>
      </c>
      <c r="C103" s="19" t="s">
        <v>88</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2">
      <c r="A104" t="s">
        <v>275</v>
      </c>
      <c r="B104" s="8" t="s">
        <v>276</v>
      </c>
      <c r="C104" s="22" t="s">
        <v>90</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2">
      <c r="A105" s="8" t="s">
        <v>277</v>
      </c>
      <c r="B105" s="8" t="s">
        <v>278</v>
      </c>
      <c r="C105" s="22" t="s">
        <v>90</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2">
      <c r="A106" s="8" t="s">
        <v>279</v>
      </c>
      <c r="B106" s="21" t="s">
        <v>280</v>
      </c>
      <c r="C106" s="22" t="s">
        <v>90</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2">
      <c r="A107" s="8" t="s">
        <v>281</v>
      </c>
      <c r="B107" s="21" t="s">
        <v>282</v>
      </c>
      <c r="C107" s="22" t="s">
        <v>90</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2">
      <c r="A108" s="8" t="s">
        <v>283</v>
      </c>
      <c r="B108" s="21" t="s">
        <v>284</v>
      </c>
      <c r="C108" s="22" t="s">
        <v>269</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2">
      <c r="A109" s="8" t="s">
        <v>285</v>
      </c>
      <c r="B109" s="8" t="s">
        <v>271</v>
      </c>
      <c r="C109" s="22" t="s">
        <v>272</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2">
      <c r="A110" s="18" t="s">
        <v>286</v>
      </c>
      <c r="B110" s="18" t="s">
        <v>287</v>
      </c>
      <c r="C110" s="19" t="s">
        <v>88</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2">
      <c r="A111" s="8" t="s">
        <v>288</v>
      </c>
      <c r="B111" s="8" t="s">
        <v>289</v>
      </c>
      <c r="C111" s="22" t="s">
        <v>90</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2">
      <c r="A112" s="8" t="s">
        <v>290</v>
      </c>
      <c r="B112" s="35" t="s">
        <v>291</v>
      </c>
      <c r="C112" s="36" t="s">
        <v>90</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2">
      <c r="A113" s="8" t="s">
        <v>292</v>
      </c>
      <c r="B113" s="35" t="s">
        <v>293</v>
      </c>
      <c r="C113" s="36" t="s">
        <v>90</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2">
      <c r="A114" s="8" t="s">
        <v>294</v>
      </c>
      <c r="B114" s="35" t="s">
        <v>295</v>
      </c>
      <c r="C114" s="36" t="s">
        <v>269</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2">
      <c r="A115" s="8" t="s">
        <v>296</v>
      </c>
      <c r="B115" s="8" t="s">
        <v>271</v>
      </c>
      <c r="C115" s="22" t="s">
        <v>272</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2">
      <c r="A116" s="18" t="s">
        <v>297</v>
      </c>
      <c r="B116" s="18" t="s">
        <v>298</v>
      </c>
      <c r="C116" s="19" t="s">
        <v>88</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2">
      <c r="A117" s="8" t="s">
        <v>299</v>
      </c>
      <c r="B117" s="8" t="s">
        <v>300</v>
      </c>
      <c r="C117" s="22" t="s">
        <v>90</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2">
      <c r="A118" s="8" t="s">
        <v>301</v>
      </c>
      <c r="B118" s="35" t="s">
        <v>302</v>
      </c>
      <c r="C118" s="36" t="s">
        <v>90</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2">
      <c r="A119" s="8" t="s">
        <v>303</v>
      </c>
      <c r="B119" s="35" t="s">
        <v>304</v>
      </c>
      <c r="C119" s="36" t="s">
        <v>269</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2">
      <c r="A120" s="8" t="s">
        <v>305</v>
      </c>
      <c r="B120" s="35" t="s">
        <v>271</v>
      </c>
      <c r="C120" s="36" t="s">
        <v>272</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2">
      <c r="A121" s="14" t="s">
        <v>306</v>
      </c>
      <c r="B121" s="15" t="s">
        <v>307</v>
      </c>
      <c r="C121" s="16" t="s">
        <v>85</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2">
      <c r="A122" s="18" t="s">
        <v>308</v>
      </c>
      <c r="B122" s="37" t="s">
        <v>309</v>
      </c>
      <c r="C122" s="38" t="s">
        <v>88</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2">
      <c r="A123" s="8" t="s">
        <v>310</v>
      </c>
      <c r="B123" s="35" t="s">
        <v>311</v>
      </c>
      <c r="C123" s="36" t="s">
        <v>90</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2">
      <c r="A124" s="8" t="s">
        <v>312</v>
      </c>
      <c r="B124" s="35" t="s">
        <v>313</v>
      </c>
      <c r="C124" s="36" t="s">
        <v>269</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2">
      <c r="A125" s="8" t="s">
        <v>314</v>
      </c>
      <c r="B125" s="35" t="s">
        <v>315</v>
      </c>
      <c r="C125" s="36" t="s">
        <v>245</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2">
      <c r="A126" s="8" t="s">
        <v>316</v>
      </c>
      <c r="B126" s="35" t="s">
        <v>317</v>
      </c>
      <c r="C126" s="36" t="s">
        <v>90</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2">
      <c r="A127" s="8" t="s">
        <v>318</v>
      </c>
      <c r="B127" s="35" t="s">
        <v>319</v>
      </c>
      <c r="C127" s="36" t="s">
        <v>90</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2">
      <c r="A128" s="8" t="s">
        <v>320</v>
      </c>
      <c r="B128" s="35" t="s">
        <v>321</v>
      </c>
      <c r="C128" s="36" t="s">
        <v>85</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2">
      <c r="A129" s="18" t="s">
        <v>322</v>
      </c>
      <c r="B129" s="37" t="s">
        <v>323</v>
      </c>
      <c r="C129" s="38" t="s">
        <v>88</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2">
      <c r="A130" s="8" t="s">
        <v>324</v>
      </c>
      <c r="B130" s="35" t="s">
        <v>325</v>
      </c>
      <c r="C130" s="36" t="s">
        <v>326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2">
      <c r="A131" s="8" t="s">
        <v>327</v>
      </c>
      <c r="B131" s="35" t="s">
        <v>328</v>
      </c>
      <c r="C131" s="36" t="s">
        <v>326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2">
      <c r="A132" s="8" t="s">
        <v>329</v>
      </c>
      <c r="B132" s="35" t="s">
        <v>330</v>
      </c>
      <c r="C132" s="36" t="s">
        <v>245</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2">
      <c r="A133" s="8" t="s">
        <v>331</v>
      </c>
      <c r="B133" s="35" t="s">
        <v>332</v>
      </c>
      <c r="C133" s="36" t="s">
        <v>333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2">
      <c r="A134" s="18" t="s">
        <v>334</v>
      </c>
      <c r="B134" s="37" t="s">
        <v>335</v>
      </c>
      <c r="C134" s="38" t="s">
        <v>88</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2">
      <c r="A135" s="8" t="s">
        <v>336</v>
      </c>
      <c r="B135" s="35" t="s">
        <v>337</v>
      </c>
      <c r="C135" s="36" t="s">
        <v>90</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2">
      <c r="A136" s="8" t="s">
        <v>338</v>
      </c>
      <c r="B136" s="35" t="s">
        <v>339</v>
      </c>
      <c r="C136" s="36" t="s">
        <v>90</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2">
      <c r="A137" s="8" t="s">
        <v>340</v>
      </c>
      <c r="B137" s="35" t="s">
        <v>341</v>
      </c>
      <c r="C137" s="36" t="s">
        <v>342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2">
      <c r="A138" s="8" t="s">
        <v>343</v>
      </c>
      <c r="B138" s="35" t="s">
        <v>344</v>
      </c>
      <c r="C138" s="36" t="s">
        <v>269</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5.5" x14ac:dyDescent="0.2">
      <c r="A139" s="8" t="s">
        <v>345</v>
      </c>
      <c r="B139" s="35" t="s">
        <v>346</v>
      </c>
      <c r="C139" s="36" t="s">
        <v>90</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2">
      <c r="A140" s="8" t="s">
        <v>347</v>
      </c>
      <c r="B140" s="35" t="s">
        <v>348</v>
      </c>
      <c r="C140" s="36" t="s">
        <v>90</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2">
      <c r="A141" s="18" t="s">
        <v>349</v>
      </c>
      <c r="B141" s="37" t="s">
        <v>350</v>
      </c>
      <c r="C141" s="38" t="s">
        <v>88</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2">
      <c r="A142" s="8" t="s">
        <v>351</v>
      </c>
      <c r="B142" s="35" t="s">
        <v>352</v>
      </c>
      <c r="C142" s="36" t="s">
        <v>175</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2">
      <c r="A143" s="8" t="s">
        <v>353</v>
      </c>
      <c r="B143" s="35" t="s">
        <v>354</v>
      </c>
      <c r="C143" s="36" t="s">
        <v>90</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2">
      <c r="A144" s="8" t="s">
        <v>355</v>
      </c>
      <c r="B144" s="35" t="s">
        <v>356</v>
      </c>
      <c r="C144" s="36" t="s">
        <v>90</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2">
      <c r="A145" s="8" t="s">
        <v>357</v>
      </c>
      <c r="B145" s="35" t="s">
        <v>358</v>
      </c>
      <c r="C145" s="36" t="s">
        <v>175</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2">
      <c r="A146" s="8" t="s">
        <v>359</v>
      </c>
      <c r="B146" s="35" t="s">
        <v>360</v>
      </c>
      <c r="C146" s="36" t="s">
        <v>175</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2">
      <c r="A147" s="14" t="s">
        <v>361</v>
      </c>
      <c r="B147" s="15" t="s">
        <v>362</v>
      </c>
      <c r="C147" s="16" t="s">
        <v>85</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2">
      <c r="A148" s="18" t="s">
        <v>363</v>
      </c>
      <c r="B148" s="37" t="s">
        <v>364</v>
      </c>
      <c r="C148" s="38" t="s">
        <v>190</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2">
      <c r="A149" s="8" t="s">
        <v>365</v>
      </c>
      <c r="B149" s="35" t="s">
        <v>366</v>
      </c>
      <c r="C149" s="36" t="s">
        <v>90</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2">
      <c r="A150" s="8" t="s">
        <v>367</v>
      </c>
      <c r="B150" s="35" t="s">
        <v>368</v>
      </c>
      <c r="C150" s="36" t="s">
        <v>90</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2">
      <c r="A151" s="8" t="s">
        <v>369</v>
      </c>
      <c r="B151" s="35" t="s">
        <v>370</v>
      </c>
      <c r="C151" s="36" t="s">
        <v>90</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2">
      <c r="A152" s="8" t="s">
        <v>371</v>
      </c>
      <c r="B152" s="35" t="s">
        <v>372</v>
      </c>
      <c r="C152" s="36" t="s">
        <v>90</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2">
      <c r="A153" s="18" t="s">
        <v>373</v>
      </c>
      <c r="B153" s="37" t="s">
        <v>374</v>
      </c>
      <c r="C153" s="38" t="s">
        <v>190</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2">
      <c r="A154" s="8" t="s">
        <v>375</v>
      </c>
      <c r="B154" s="35" t="s">
        <v>376</v>
      </c>
      <c r="C154" s="36" t="s">
        <v>90</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2">
      <c r="A155" s="8" t="s">
        <v>377</v>
      </c>
      <c r="B155" s="35" t="s">
        <v>378</v>
      </c>
      <c r="C155" s="36" t="s">
        <v>90</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2">
      <c r="A156" s="8" t="s">
        <v>379</v>
      </c>
      <c r="B156" s="35" t="s">
        <v>380</v>
      </c>
      <c r="C156" s="36" t="s">
        <v>90</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2">
      <c r="A157" s="18" t="s">
        <v>381</v>
      </c>
      <c r="B157" s="37" t="s">
        <v>382</v>
      </c>
      <c r="C157" s="38" t="s">
        <v>190</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2">
      <c r="A158" s="8" t="s">
        <v>383</v>
      </c>
      <c r="B158" s="35" t="s">
        <v>384</v>
      </c>
      <c r="C158" s="36" t="s">
        <v>90</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2">
      <c r="A159" s="8" t="s">
        <v>385</v>
      </c>
      <c r="B159" s="35" t="s">
        <v>386</v>
      </c>
      <c r="C159" s="36" t="s">
        <v>90</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2">
      <c r="A160" s="8" t="s">
        <v>387</v>
      </c>
      <c r="B160" s="35" t="s">
        <v>388</v>
      </c>
      <c r="C160" s="36" t="s">
        <v>90</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2">
      <c r="A161" s="14" t="s">
        <v>389</v>
      </c>
      <c r="B161" s="15" t="s">
        <v>390</v>
      </c>
      <c r="C161" s="16" t="s">
        <v>85</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2">
      <c r="A162" s="18" t="s">
        <v>391</v>
      </c>
      <c r="B162" s="37" t="s">
        <v>392</v>
      </c>
      <c r="C162" s="38" t="s">
        <v>190</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5.5" x14ac:dyDescent="0.2">
      <c r="A163" s="8" t="s">
        <v>393</v>
      </c>
      <c r="B163" s="35" t="s">
        <v>394</v>
      </c>
      <c r="C163" s="36" t="s">
        <v>90</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5.5" x14ac:dyDescent="0.2">
      <c r="A164" s="8" t="s">
        <v>395</v>
      </c>
      <c r="B164" s="35" t="s">
        <v>396</v>
      </c>
      <c r="C164" s="36" t="s">
        <v>90</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5.5" x14ac:dyDescent="0.2">
      <c r="A165" s="8" t="s">
        <v>397</v>
      </c>
      <c r="B165" s="35" t="s">
        <v>398</v>
      </c>
      <c r="C165" s="36" t="s">
        <v>90</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2">
      <c r="A166" s="18" t="s">
        <v>399</v>
      </c>
      <c r="B166" s="37" t="s">
        <v>400</v>
      </c>
      <c r="C166" s="38" t="s">
        <v>190</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2">
      <c r="A167" s="8" t="s">
        <v>401</v>
      </c>
      <c r="B167" s="39" t="s">
        <v>402</v>
      </c>
      <c r="C167" s="40" t="s">
        <v>90</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2">
      <c r="A168" s="8" t="s">
        <v>403</v>
      </c>
      <c r="B168" s="21" t="s">
        <v>404</v>
      </c>
      <c r="C168" s="22" t="s">
        <v>90</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2">
      <c r="A169" s="18" t="s">
        <v>405</v>
      </c>
      <c r="B169" s="41" t="s">
        <v>406</v>
      </c>
      <c r="C169" s="42" t="s">
        <v>190</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2">
      <c r="A170" s="8" t="s">
        <v>407</v>
      </c>
      <c r="B170" s="8" t="s">
        <v>408</v>
      </c>
      <c r="C170" s="40" t="s">
        <v>90</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2">
      <c r="A171" s="8" t="s">
        <v>409</v>
      </c>
      <c r="B171" s="8" t="s">
        <v>410</v>
      </c>
      <c r="C171" s="40" t="s">
        <v>90</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2">
      <c r="A172" s="56" t="s">
        <v>411</v>
      </c>
      <c r="B172" s="56" t="s">
        <v>412</v>
      </c>
      <c r="C172" s="60" t="s">
        <v>90</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2">
      <c r="A174" s="7" t="s">
        <v>413</v>
      </c>
      <c r="B174" s="7" t="s">
        <v>414</v>
      </c>
    </row>
    <row r="175" spans="1:66" s="7" customFormat="1" x14ac:dyDescent="0.2">
      <c r="A175" s="7" t="s">
        <v>415</v>
      </c>
      <c r="B175" s="7" t="s">
        <v>416</v>
      </c>
    </row>
    <row r="176" spans="1:66" s="7" customFormat="1" x14ac:dyDescent="0.2">
      <c r="A176" s="7" t="s">
        <v>433</v>
      </c>
      <c r="B176" s="7" t="s">
        <v>434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52" workbookViewId="0">
      <selection activeCell="A82" sqref="A82:A84"/>
    </sheetView>
  </sheetViews>
  <sheetFormatPr defaultColWidth="8.85546875" defaultRowHeight="12.75" x14ac:dyDescent="0.2"/>
  <cols>
    <col min="1" max="1" width="132.7109375" style="8" customWidth="1"/>
    <col min="2" max="2" width="15.140625" style="9" customWidth="1"/>
    <col min="3" max="4" width="10.7109375" style="8" hidden="1" customWidth="1"/>
    <col min="5" max="5" width="11.42578125" style="8" hidden="1" customWidth="1"/>
    <col min="6" max="6" width="10.7109375" style="8" hidden="1" customWidth="1"/>
    <col min="7" max="7" width="11.42578125" style="8" hidden="1" customWidth="1"/>
    <col min="8" max="16" width="10.7109375" style="8" hidden="1" customWidth="1"/>
    <col min="17" max="17" width="11.42578125" style="8" hidden="1" customWidth="1"/>
    <col min="18" max="20" width="10.7109375" style="8" hidden="1" customWidth="1"/>
    <col min="21" max="21" width="11.42578125" style="8" hidden="1" customWidth="1"/>
    <col min="22" max="22" width="10.7109375" style="8" hidden="1" customWidth="1"/>
    <col min="23" max="24" width="11.42578125" style="8" hidden="1" customWidth="1"/>
    <col min="25" max="26" width="10.7109375" style="8" hidden="1" customWidth="1"/>
    <col min="27" max="27" width="11.42578125" style="8" hidden="1" customWidth="1"/>
    <col min="28" max="30" width="10.7109375" style="8" hidden="1" customWidth="1"/>
    <col min="31" max="33" width="11.42578125" style="8" hidden="1" customWidth="1"/>
    <col min="34" max="37" width="10.7109375" style="8" hidden="1" customWidth="1"/>
    <col min="38" max="39" width="11.42578125" style="8" hidden="1" customWidth="1"/>
    <col min="40" max="40" width="10.7109375" style="8" hidden="1" customWidth="1"/>
    <col min="41" max="43" width="11.42578125" style="8" hidden="1" customWidth="1"/>
    <col min="44" max="44" width="10.7109375" style="8" customWidth="1"/>
    <col min="45" max="49" width="11.42578125" style="8" customWidth="1"/>
    <col min="50" max="50" width="10.7109375" style="8" customWidth="1"/>
    <col min="51" max="53" width="11.42578125" style="8" customWidth="1"/>
    <col min="54" max="54" width="10.7109375" style="8" customWidth="1"/>
    <col min="55" max="55" width="11.42578125" style="8" customWidth="1"/>
    <col min="56" max="57" width="10.7109375" style="8" bestFit="1" customWidth="1"/>
    <col min="58" max="58" width="11.42578125" style="8" bestFit="1" customWidth="1"/>
    <col min="59" max="59" width="10.7109375" style="8" bestFit="1" customWidth="1"/>
    <col min="60" max="60" width="11.42578125" style="8" bestFit="1" customWidth="1"/>
    <col min="61" max="61" width="10.7109375" style="8" bestFit="1" customWidth="1"/>
    <col min="62" max="62" width="11.42578125" style="8" bestFit="1" customWidth="1"/>
    <col min="63" max="63" width="10.7109375" style="8" bestFit="1" customWidth="1"/>
    <col min="64" max="65" width="11.42578125" style="8" bestFit="1" customWidth="1"/>
    <col min="66" max="256" width="9.140625" style="8"/>
    <col min="257" max="257" width="132.7109375" style="8" customWidth="1"/>
    <col min="258" max="258" width="15.140625" style="8" customWidth="1"/>
    <col min="259" max="260" width="10.7109375" style="8" bestFit="1" customWidth="1"/>
    <col min="261" max="261" width="11.42578125" style="8" bestFit="1" customWidth="1"/>
    <col min="262" max="262" width="10.7109375" style="8" bestFit="1" customWidth="1"/>
    <col min="263" max="263" width="11.42578125" style="8" bestFit="1" customWidth="1"/>
    <col min="264" max="272" width="10.7109375" style="8" bestFit="1" customWidth="1"/>
    <col min="273" max="273" width="11.42578125" style="8" bestFit="1" customWidth="1"/>
    <col min="274" max="276" width="10.7109375" style="8" bestFit="1" customWidth="1"/>
    <col min="277" max="277" width="11.42578125" style="8" bestFit="1" customWidth="1"/>
    <col min="278" max="278" width="10.7109375" style="8" bestFit="1" customWidth="1"/>
    <col min="279" max="280" width="11.42578125" style="8" bestFit="1" customWidth="1"/>
    <col min="281" max="282" width="10.7109375" style="8" bestFit="1" customWidth="1"/>
    <col min="283" max="283" width="11.42578125" style="8" bestFit="1" customWidth="1"/>
    <col min="284" max="286" width="10.7109375" style="8" bestFit="1" customWidth="1"/>
    <col min="287" max="289" width="11.42578125" style="8" bestFit="1" customWidth="1"/>
    <col min="290" max="293" width="10.7109375" style="8" bestFit="1" customWidth="1"/>
    <col min="294" max="295" width="11.42578125" style="8" bestFit="1" customWidth="1"/>
    <col min="296" max="296" width="10.7109375" style="8" bestFit="1" customWidth="1"/>
    <col min="297" max="299" width="11.42578125" style="8" bestFit="1" customWidth="1"/>
    <col min="300" max="300" width="10.7109375" style="8" bestFit="1" customWidth="1"/>
    <col min="301" max="305" width="11.42578125" style="8" bestFit="1" customWidth="1"/>
    <col min="306" max="306" width="10.7109375" style="8" bestFit="1" customWidth="1"/>
    <col min="307" max="309" width="11.42578125" style="8" bestFit="1" customWidth="1"/>
    <col min="310" max="310" width="10.7109375" style="8" bestFit="1" customWidth="1"/>
    <col min="311" max="311" width="11.42578125" style="8" bestFit="1" customWidth="1"/>
    <col min="312" max="313" width="10.7109375" style="8" bestFit="1" customWidth="1"/>
    <col min="314" max="314" width="11.42578125" style="8" bestFit="1" customWidth="1"/>
    <col min="315" max="315" width="10.7109375" style="8" bestFit="1" customWidth="1"/>
    <col min="316" max="316" width="11.42578125" style="8" bestFit="1" customWidth="1"/>
    <col min="317" max="317" width="10.7109375" style="8" bestFit="1" customWidth="1"/>
    <col min="318" max="318" width="11.42578125" style="8" bestFit="1" customWidth="1"/>
    <col min="319" max="319" width="10.7109375" style="8" bestFit="1" customWidth="1"/>
    <col min="320" max="321" width="11.42578125" style="8" bestFit="1" customWidth="1"/>
    <col min="322" max="512" width="9.140625" style="8"/>
    <col min="513" max="513" width="132.7109375" style="8" customWidth="1"/>
    <col min="514" max="514" width="15.140625" style="8" customWidth="1"/>
    <col min="515" max="516" width="10.7109375" style="8" bestFit="1" customWidth="1"/>
    <col min="517" max="517" width="11.42578125" style="8" bestFit="1" customWidth="1"/>
    <col min="518" max="518" width="10.7109375" style="8" bestFit="1" customWidth="1"/>
    <col min="519" max="519" width="11.42578125" style="8" bestFit="1" customWidth="1"/>
    <col min="520" max="528" width="10.7109375" style="8" bestFit="1" customWidth="1"/>
    <col min="529" max="529" width="11.42578125" style="8" bestFit="1" customWidth="1"/>
    <col min="530" max="532" width="10.7109375" style="8" bestFit="1" customWidth="1"/>
    <col min="533" max="533" width="11.42578125" style="8" bestFit="1" customWidth="1"/>
    <col min="534" max="534" width="10.7109375" style="8" bestFit="1" customWidth="1"/>
    <col min="535" max="536" width="11.42578125" style="8" bestFit="1" customWidth="1"/>
    <col min="537" max="538" width="10.7109375" style="8" bestFit="1" customWidth="1"/>
    <col min="539" max="539" width="11.42578125" style="8" bestFit="1" customWidth="1"/>
    <col min="540" max="542" width="10.7109375" style="8" bestFit="1" customWidth="1"/>
    <col min="543" max="545" width="11.42578125" style="8" bestFit="1" customWidth="1"/>
    <col min="546" max="549" width="10.7109375" style="8" bestFit="1" customWidth="1"/>
    <col min="550" max="551" width="11.42578125" style="8" bestFit="1" customWidth="1"/>
    <col min="552" max="552" width="10.7109375" style="8" bestFit="1" customWidth="1"/>
    <col min="553" max="555" width="11.42578125" style="8" bestFit="1" customWidth="1"/>
    <col min="556" max="556" width="10.7109375" style="8" bestFit="1" customWidth="1"/>
    <col min="557" max="561" width="11.42578125" style="8" bestFit="1" customWidth="1"/>
    <col min="562" max="562" width="10.7109375" style="8" bestFit="1" customWidth="1"/>
    <col min="563" max="565" width="11.42578125" style="8" bestFit="1" customWidth="1"/>
    <col min="566" max="566" width="10.7109375" style="8" bestFit="1" customWidth="1"/>
    <col min="567" max="567" width="11.42578125" style="8" bestFit="1" customWidth="1"/>
    <col min="568" max="569" width="10.7109375" style="8" bestFit="1" customWidth="1"/>
    <col min="570" max="570" width="11.42578125" style="8" bestFit="1" customWidth="1"/>
    <col min="571" max="571" width="10.7109375" style="8" bestFit="1" customWidth="1"/>
    <col min="572" max="572" width="11.42578125" style="8" bestFit="1" customWidth="1"/>
    <col min="573" max="573" width="10.7109375" style="8" bestFit="1" customWidth="1"/>
    <col min="574" max="574" width="11.42578125" style="8" bestFit="1" customWidth="1"/>
    <col min="575" max="575" width="10.7109375" style="8" bestFit="1" customWidth="1"/>
    <col min="576" max="577" width="11.42578125" style="8" bestFit="1" customWidth="1"/>
    <col min="578" max="768" width="9.140625" style="8"/>
    <col min="769" max="769" width="132.7109375" style="8" customWidth="1"/>
    <col min="770" max="770" width="15.140625" style="8" customWidth="1"/>
    <col min="771" max="772" width="10.7109375" style="8" bestFit="1" customWidth="1"/>
    <col min="773" max="773" width="11.42578125" style="8" bestFit="1" customWidth="1"/>
    <col min="774" max="774" width="10.7109375" style="8" bestFit="1" customWidth="1"/>
    <col min="775" max="775" width="11.42578125" style="8" bestFit="1" customWidth="1"/>
    <col min="776" max="784" width="10.7109375" style="8" bestFit="1" customWidth="1"/>
    <col min="785" max="785" width="11.42578125" style="8" bestFit="1" customWidth="1"/>
    <col min="786" max="788" width="10.7109375" style="8" bestFit="1" customWidth="1"/>
    <col min="789" max="789" width="11.42578125" style="8" bestFit="1" customWidth="1"/>
    <col min="790" max="790" width="10.7109375" style="8" bestFit="1" customWidth="1"/>
    <col min="791" max="792" width="11.42578125" style="8" bestFit="1" customWidth="1"/>
    <col min="793" max="794" width="10.7109375" style="8" bestFit="1" customWidth="1"/>
    <col min="795" max="795" width="11.42578125" style="8" bestFit="1" customWidth="1"/>
    <col min="796" max="798" width="10.7109375" style="8" bestFit="1" customWidth="1"/>
    <col min="799" max="801" width="11.42578125" style="8" bestFit="1" customWidth="1"/>
    <col min="802" max="805" width="10.7109375" style="8" bestFit="1" customWidth="1"/>
    <col min="806" max="807" width="11.42578125" style="8" bestFit="1" customWidth="1"/>
    <col min="808" max="808" width="10.7109375" style="8" bestFit="1" customWidth="1"/>
    <col min="809" max="811" width="11.42578125" style="8" bestFit="1" customWidth="1"/>
    <col min="812" max="812" width="10.7109375" style="8" bestFit="1" customWidth="1"/>
    <col min="813" max="817" width="11.42578125" style="8" bestFit="1" customWidth="1"/>
    <col min="818" max="818" width="10.7109375" style="8" bestFit="1" customWidth="1"/>
    <col min="819" max="821" width="11.42578125" style="8" bestFit="1" customWidth="1"/>
    <col min="822" max="822" width="10.7109375" style="8" bestFit="1" customWidth="1"/>
    <col min="823" max="823" width="11.42578125" style="8" bestFit="1" customWidth="1"/>
    <col min="824" max="825" width="10.7109375" style="8" bestFit="1" customWidth="1"/>
    <col min="826" max="826" width="11.42578125" style="8" bestFit="1" customWidth="1"/>
    <col min="827" max="827" width="10.7109375" style="8" bestFit="1" customWidth="1"/>
    <col min="828" max="828" width="11.42578125" style="8" bestFit="1" customWidth="1"/>
    <col min="829" max="829" width="10.7109375" style="8" bestFit="1" customWidth="1"/>
    <col min="830" max="830" width="11.42578125" style="8" bestFit="1" customWidth="1"/>
    <col min="831" max="831" width="10.7109375" style="8" bestFit="1" customWidth="1"/>
    <col min="832" max="833" width="11.42578125" style="8" bestFit="1" customWidth="1"/>
    <col min="834" max="1024" width="9.140625" style="8"/>
    <col min="1025" max="1025" width="132.7109375" style="8" customWidth="1"/>
    <col min="1026" max="1026" width="15.140625" style="8" customWidth="1"/>
    <col min="1027" max="1028" width="10.7109375" style="8" bestFit="1" customWidth="1"/>
    <col min="1029" max="1029" width="11.42578125" style="8" bestFit="1" customWidth="1"/>
    <col min="1030" max="1030" width="10.7109375" style="8" bestFit="1" customWidth="1"/>
    <col min="1031" max="1031" width="11.42578125" style="8" bestFit="1" customWidth="1"/>
    <col min="1032" max="1040" width="10.7109375" style="8" bestFit="1" customWidth="1"/>
    <col min="1041" max="1041" width="11.42578125" style="8" bestFit="1" customWidth="1"/>
    <col min="1042" max="1044" width="10.7109375" style="8" bestFit="1" customWidth="1"/>
    <col min="1045" max="1045" width="11.42578125" style="8" bestFit="1" customWidth="1"/>
    <col min="1046" max="1046" width="10.7109375" style="8" bestFit="1" customWidth="1"/>
    <col min="1047" max="1048" width="11.42578125" style="8" bestFit="1" customWidth="1"/>
    <col min="1049" max="1050" width="10.7109375" style="8" bestFit="1" customWidth="1"/>
    <col min="1051" max="1051" width="11.42578125" style="8" bestFit="1" customWidth="1"/>
    <col min="1052" max="1054" width="10.7109375" style="8" bestFit="1" customWidth="1"/>
    <col min="1055" max="1057" width="11.42578125" style="8" bestFit="1" customWidth="1"/>
    <col min="1058" max="1061" width="10.7109375" style="8" bestFit="1" customWidth="1"/>
    <col min="1062" max="1063" width="11.42578125" style="8" bestFit="1" customWidth="1"/>
    <col min="1064" max="1064" width="10.7109375" style="8" bestFit="1" customWidth="1"/>
    <col min="1065" max="1067" width="11.42578125" style="8" bestFit="1" customWidth="1"/>
    <col min="1068" max="1068" width="10.7109375" style="8" bestFit="1" customWidth="1"/>
    <col min="1069" max="1073" width="11.42578125" style="8" bestFit="1" customWidth="1"/>
    <col min="1074" max="1074" width="10.7109375" style="8" bestFit="1" customWidth="1"/>
    <col min="1075" max="1077" width="11.42578125" style="8" bestFit="1" customWidth="1"/>
    <col min="1078" max="1078" width="10.7109375" style="8" bestFit="1" customWidth="1"/>
    <col min="1079" max="1079" width="11.42578125" style="8" bestFit="1" customWidth="1"/>
    <col min="1080" max="1081" width="10.7109375" style="8" bestFit="1" customWidth="1"/>
    <col min="1082" max="1082" width="11.42578125" style="8" bestFit="1" customWidth="1"/>
    <col min="1083" max="1083" width="10.7109375" style="8" bestFit="1" customWidth="1"/>
    <col min="1084" max="1084" width="11.42578125" style="8" bestFit="1" customWidth="1"/>
    <col min="1085" max="1085" width="10.7109375" style="8" bestFit="1" customWidth="1"/>
    <col min="1086" max="1086" width="11.42578125" style="8" bestFit="1" customWidth="1"/>
    <col min="1087" max="1087" width="10.7109375" style="8" bestFit="1" customWidth="1"/>
    <col min="1088" max="1089" width="11.42578125" style="8" bestFit="1" customWidth="1"/>
    <col min="1090" max="1280" width="9.140625" style="8"/>
    <col min="1281" max="1281" width="132.7109375" style="8" customWidth="1"/>
    <col min="1282" max="1282" width="15.140625" style="8" customWidth="1"/>
    <col min="1283" max="1284" width="10.7109375" style="8" bestFit="1" customWidth="1"/>
    <col min="1285" max="1285" width="11.42578125" style="8" bestFit="1" customWidth="1"/>
    <col min="1286" max="1286" width="10.7109375" style="8" bestFit="1" customWidth="1"/>
    <col min="1287" max="1287" width="11.42578125" style="8" bestFit="1" customWidth="1"/>
    <col min="1288" max="1296" width="10.7109375" style="8" bestFit="1" customWidth="1"/>
    <col min="1297" max="1297" width="11.42578125" style="8" bestFit="1" customWidth="1"/>
    <col min="1298" max="1300" width="10.7109375" style="8" bestFit="1" customWidth="1"/>
    <col min="1301" max="1301" width="11.42578125" style="8" bestFit="1" customWidth="1"/>
    <col min="1302" max="1302" width="10.7109375" style="8" bestFit="1" customWidth="1"/>
    <col min="1303" max="1304" width="11.42578125" style="8" bestFit="1" customWidth="1"/>
    <col min="1305" max="1306" width="10.7109375" style="8" bestFit="1" customWidth="1"/>
    <col min="1307" max="1307" width="11.42578125" style="8" bestFit="1" customWidth="1"/>
    <col min="1308" max="1310" width="10.7109375" style="8" bestFit="1" customWidth="1"/>
    <col min="1311" max="1313" width="11.42578125" style="8" bestFit="1" customWidth="1"/>
    <col min="1314" max="1317" width="10.7109375" style="8" bestFit="1" customWidth="1"/>
    <col min="1318" max="1319" width="11.42578125" style="8" bestFit="1" customWidth="1"/>
    <col min="1320" max="1320" width="10.7109375" style="8" bestFit="1" customWidth="1"/>
    <col min="1321" max="1323" width="11.42578125" style="8" bestFit="1" customWidth="1"/>
    <col min="1324" max="1324" width="10.7109375" style="8" bestFit="1" customWidth="1"/>
    <col min="1325" max="1329" width="11.42578125" style="8" bestFit="1" customWidth="1"/>
    <col min="1330" max="1330" width="10.7109375" style="8" bestFit="1" customWidth="1"/>
    <col min="1331" max="1333" width="11.42578125" style="8" bestFit="1" customWidth="1"/>
    <col min="1334" max="1334" width="10.7109375" style="8" bestFit="1" customWidth="1"/>
    <col min="1335" max="1335" width="11.42578125" style="8" bestFit="1" customWidth="1"/>
    <col min="1336" max="1337" width="10.7109375" style="8" bestFit="1" customWidth="1"/>
    <col min="1338" max="1338" width="11.42578125" style="8" bestFit="1" customWidth="1"/>
    <col min="1339" max="1339" width="10.7109375" style="8" bestFit="1" customWidth="1"/>
    <col min="1340" max="1340" width="11.42578125" style="8" bestFit="1" customWidth="1"/>
    <col min="1341" max="1341" width="10.7109375" style="8" bestFit="1" customWidth="1"/>
    <col min="1342" max="1342" width="11.42578125" style="8" bestFit="1" customWidth="1"/>
    <col min="1343" max="1343" width="10.7109375" style="8" bestFit="1" customWidth="1"/>
    <col min="1344" max="1345" width="11.42578125" style="8" bestFit="1" customWidth="1"/>
    <col min="1346" max="1536" width="9.140625" style="8"/>
    <col min="1537" max="1537" width="132.7109375" style="8" customWidth="1"/>
    <col min="1538" max="1538" width="15.140625" style="8" customWidth="1"/>
    <col min="1539" max="1540" width="10.7109375" style="8" bestFit="1" customWidth="1"/>
    <col min="1541" max="1541" width="11.42578125" style="8" bestFit="1" customWidth="1"/>
    <col min="1542" max="1542" width="10.7109375" style="8" bestFit="1" customWidth="1"/>
    <col min="1543" max="1543" width="11.42578125" style="8" bestFit="1" customWidth="1"/>
    <col min="1544" max="1552" width="10.7109375" style="8" bestFit="1" customWidth="1"/>
    <col min="1553" max="1553" width="11.42578125" style="8" bestFit="1" customWidth="1"/>
    <col min="1554" max="1556" width="10.7109375" style="8" bestFit="1" customWidth="1"/>
    <col min="1557" max="1557" width="11.42578125" style="8" bestFit="1" customWidth="1"/>
    <col min="1558" max="1558" width="10.7109375" style="8" bestFit="1" customWidth="1"/>
    <col min="1559" max="1560" width="11.42578125" style="8" bestFit="1" customWidth="1"/>
    <col min="1561" max="1562" width="10.7109375" style="8" bestFit="1" customWidth="1"/>
    <col min="1563" max="1563" width="11.42578125" style="8" bestFit="1" customWidth="1"/>
    <col min="1564" max="1566" width="10.7109375" style="8" bestFit="1" customWidth="1"/>
    <col min="1567" max="1569" width="11.42578125" style="8" bestFit="1" customWidth="1"/>
    <col min="1570" max="1573" width="10.7109375" style="8" bestFit="1" customWidth="1"/>
    <col min="1574" max="1575" width="11.42578125" style="8" bestFit="1" customWidth="1"/>
    <col min="1576" max="1576" width="10.7109375" style="8" bestFit="1" customWidth="1"/>
    <col min="1577" max="1579" width="11.42578125" style="8" bestFit="1" customWidth="1"/>
    <col min="1580" max="1580" width="10.7109375" style="8" bestFit="1" customWidth="1"/>
    <col min="1581" max="1585" width="11.42578125" style="8" bestFit="1" customWidth="1"/>
    <col min="1586" max="1586" width="10.7109375" style="8" bestFit="1" customWidth="1"/>
    <col min="1587" max="1589" width="11.42578125" style="8" bestFit="1" customWidth="1"/>
    <col min="1590" max="1590" width="10.7109375" style="8" bestFit="1" customWidth="1"/>
    <col min="1591" max="1591" width="11.42578125" style="8" bestFit="1" customWidth="1"/>
    <col min="1592" max="1593" width="10.7109375" style="8" bestFit="1" customWidth="1"/>
    <col min="1594" max="1594" width="11.42578125" style="8" bestFit="1" customWidth="1"/>
    <col min="1595" max="1595" width="10.7109375" style="8" bestFit="1" customWidth="1"/>
    <col min="1596" max="1596" width="11.42578125" style="8" bestFit="1" customWidth="1"/>
    <col min="1597" max="1597" width="10.7109375" style="8" bestFit="1" customWidth="1"/>
    <col min="1598" max="1598" width="11.42578125" style="8" bestFit="1" customWidth="1"/>
    <col min="1599" max="1599" width="10.7109375" style="8" bestFit="1" customWidth="1"/>
    <col min="1600" max="1601" width="11.42578125" style="8" bestFit="1" customWidth="1"/>
    <col min="1602" max="1792" width="9.140625" style="8"/>
    <col min="1793" max="1793" width="132.7109375" style="8" customWidth="1"/>
    <col min="1794" max="1794" width="15.140625" style="8" customWidth="1"/>
    <col min="1795" max="1796" width="10.7109375" style="8" bestFit="1" customWidth="1"/>
    <col min="1797" max="1797" width="11.42578125" style="8" bestFit="1" customWidth="1"/>
    <col min="1798" max="1798" width="10.7109375" style="8" bestFit="1" customWidth="1"/>
    <col min="1799" max="1799" width="11.42578125" style="8" bestFit="1" customWidth="1"/>
    <col min="1800" max="1808" width="10.7109375" style="8" bestFit="1" customWidth="1"/>
    <col min="1809" max="1809" width="11.42578125" style="8" bestFit="1" customWidth="1"/>
    <col min="1810" max="1812" width="10.7109375" style="8" bestFit="1" customWidth="1"/>
    <col min="1813" max="1813" width="11.42578125" style="8" bestFit="1" customWidth="1"/>
    <col min="1814" max="1814" width="10.7109375" style="8" bestFit="1" customWidth="1"/>
    <col min="1815" max="1816" width="11.42578125" style="8" bestFit="1" customWidth="1"/>
    <col min="1817" max="1818" width="10.7109375" style="8" bestFit="1" customWidth="1"/>
    <col min="1819" max="1819" width="11.42578125" style="8" bestFit="1" customWidth="1"/>
    <col min="1820" max="1822" width="10.7109375" style="8" bestFit="1" customWidth="1"/>
    <col min="1823" max="1825" width="11.42578125" style="8" bestFit="1" customWidth="1"/>
    <col min="1826" max="1829" width="10.7109375" style="8" bestFit="1" customWidth="1"/>
    <col min="1830" max="1831" width="11.42578125" style="8" bestFit="1" customWidth="1"/>
    <col min="1832" max="1832" width="10.7109375" style="8" bestFit="1" customWidth="1"/>
    <col min="1833" max="1835" width="11.42578125" style="8" bestFit="1" customWidth="1"/>
    <col min="1836" max="1836" width="10.7109375" style="8" bestFit="1" customWidth="1"/>
    <col min="1837" max="1841" width="11.42578125" style="8" bestFit="1" customWidth="1"/>
    <col min="1842" max="1842" width="10.7109375" style="8" bestFit="1" customWidth="1"/>
    <col min="1843" max="1845" width="11.42578125" style="8" bestFit="1" customWidth="1"/>
    <col min="1846" max="1846" width="10.7109375" style="8" bestFit="1" customWidth="1"/>
    <col min="1847" max="1847" width="11.42578125" style="8" bestFit="1" customWidth="1"/>
    <col min="1848" max="1849" width="10.7109375" style="8" bestFit="1" customWidth="1"/>
    <col min="1850" max="1850" width="11.42578125" style="8" bestFit="1" customWidth="1"/>
    <col min="1851" max="1851" width="10.7109375" style="8" bestFit="1" customWidth="1"/>
    <col min="1852" max="1852" width="11.42578125" style="8" bestFit="1" customWidth="1"/>
    <col min="1853" max="1853" width="10.7109375" style="8" bestFit="1" customWidth="1"/>
    <col min="1854" max="1854" width="11.42578125" style="8" bestFit="1" customWidth="1"/>
    <col min="1855" max="1855" width="10.7109375" style="8" bestFit="1" customWidth="1"/>
    <col min="1856" max="1857" width="11.42578125" style="8" bestFit="1" customWidth="1"/>
    <col min="1858" max="2048" width="9.140625" style="8"/>
    <col min="2049" max="2049" width="132.7109375" style="8" customWidth="1"/>
    <col min="2050" max="2050" width="15.140625" style="8" customWidth="1"/>
    <col min="2051" max="2052" width="10.7109375" style="8" bestFit="1" customWidth="1"/>
    <col min="2053" max="2053" width="11.42578125" style="8" bestFit="1" customWidth="1"/>
    <col min="2054" max="2054" width="10.7109375" style="8" bestFit="1" customWidth="1"/>
    <col min="2055" max="2055" width="11.42578125" style="8" bestFit="1" customWidth="1"/>
    <col min="2056" max="2064" width="10.7109375" style="8" bestFit="1" customWidth="1"/>
    <col min="2065" max="2065" width="11.42578125" style="8" bestFit="1" customWidth="1"/>
    <col min="2066" max="2068" width="10.7109375" style="8" bestFit="1" customWidth="1"/>
    <col min="2069" max="2069" width="11.42578125" style="8" bestFit="1" customWidth="1"/>
    <col min="2070" max="2070" width="10.7109375" style="8" bestFit="1" customWidth="1"/>
    <col min="2071" max="2072" width="11.42578125" style="8" bestFit="1" customWidth="1"/>
    <col min="2073" max="2074" width="10.7109375" style="8" bestFit="1" customWidth="1"/>
    <col min="2075" max="2075" width="11.42578125" style="8" bestFit="1" customWidth="1"/>
    <col min="2076" max="2078" width="10.7109375" style="8" bestFit="1" customWidth="1"/>
    <col min="2079" max="2081" width="11.42578125" style="8" bestFit="1" customWidth="1"/>
    <col min="2082" max="2085" width="10.7109375" style="8" bestFit="1" customWidth="1"/>
    <col min="2086" max="2087" width="11.42578125" style="8" bestFit="1" customWidth="1"/>
    <col min="2088" max="2088" width="10.7109375" style="8" bestFit="1" customWidth="1"/>
    <col min="2089" max="2091" width="11.42578125" style="8" bestFit="1" customWidth="1"/>
    <col min="2092" max="2092" width="10.7109375" style="8" bestFit="1" customWidth="1"/>
    <col min="2093" max="2097" width="11.42578125" style="8" bestFit="1" customWidth="1"/>
    <col min="2098" max="2098" width="10.7109375" style="8" bestFit="1" customWidth="1"/>
    <col min="2099" max="2101" width="11.42578125" style="8" bestFit="1" customWidth="1"/>
    <col min="2102" max="2102" width="10.7109375" style="8" bestFit="1" customWidth="1"/>
    <col min="2103" max="2103" width="11.42578125" style="8" bestFit="1" customWidth="1"/>
    <col min="2104" max="2105" width="10.7109375" style="8" bestFit="1" customWidth="1"/>
    <col min="2106" max="2106" width="11.42578125" style="8" bestFit="1" customWidth="1"/>
    <col min="2107" max="2107" width="10.7109375" style="8" bestFit="1" customWidth="1"/>
    <col min="2108" max="2108" width="11.42578125" style="8" bestFit="1" customWidth="1"/>
    <col min="2109" max="2109" width="10.7109375" style="8" bestFit="1" customWidth="1"/>
    <col min="2110" max="2110" width="11.42578125" style="8" bestFit="1" customWidth="1"/>
    <col min="2111" max="2111" width="10.7109375" style="8" bestFit="1" customWidth="1"/>
    <col min="2112" max="2113" width="11.42578125" style="8" bestFit="1" customWidth="1"/>
    <col min="2114" max="2304" width="9.140625" style="8"/>
    <col min="2305" max="2305" width="132.7109375" style="8" customWidth="1"/>
    <col min="2306" max="2306" width="15.140625" style="8" customWidth="1"/>
    <col min="2307" max="2308" width="10.7109375" style="8" bestFit="1" customWidth="1"/>
    <col min="2309" max="2309" width="11.42578125" style="8" bestFit="1" customWidth="1"/>
    <col min="2310" max="2310" width="10.7109375" style="8" bestFit="1" customWidth="1"/>
    <col min="2311" max="2311" width="11.42578125" style="8" bestFit="1" customWidth="1"/>
    <col min="2312" max="2320" width="10.7109375" style="8" bestFit="1" customWidth="1"/>
    <col min="2321" max="2321" width="11.42578125" style="8" bestFit="1" customWidth="1"/>
    <col min="2322" max="2324" width="10.7109375" style="8" bestFit="1" customWidth="1"/>
    <col min="2325" max="2325" width="11.42578125" style="8" bestFit="1" customWidth="1"/>
    <col min="2326" max="2326" width="10.7109375" style="8" bestFit="1" customWidth="1"/>
    <col min="2327" max="2328" width="11.42578125" style="8" bestFit="1" customWidth="1"/>
    <col min="2329" max="2330" width="10.7109375" style="8" bestFit="1" customWidth="1"/>
    <col min="2331" max="2331" width="11.42578125" style="8" bestFit="1" customWidth="1"/>
    <col min="2332" max="2334" width="10.7109375" style="8" bestFit="1" customWidth="1"/>
    <col min="2335" max="2337" width="11.42578125" style="8" bestFit="1" customWidth="1"/>
    <col min="2338" max="2341" width="10.7109375" style="8" bestFit="1" customWidth="1"/>
    <col min="2342" max="2343" width="11.42578125" style="8" bestFit="1" customWidth="1"/>
    <col min="2344" max="2344" width="10.7109375" style="8" bestFit="1" customWidth="1"/>
    <col min="2345" max="2347" width="11.42578125" style="8" bestFit="1" customWidth="1"/>
    <col min="2348" max="2348" width="10.7109375" style="8" bestFit="1" customWidth="1"/>
    <col min="2349" max="2353" width="11.42578125" style="8" bestFit="1" customWidth="1"/>
    <col min="2354" max="2354" width="10.7109375" style="8" bestFit="1" customWidth="1"/>
    <col min="2355" max="2357" width="11.42578125" style="8" bestFit="1" customWidth="1"/>
    <col min="2358" max="2358" width="10.7109375" style="8" bestFit="1" customWidth="1"/>
    <col min="2359" max="2359" width="11.42578125" style="8" bestFit="1" customWidth="1"/>
    <col min="2360" max="2361" width="10.7109375" style="8" bestFit="1" customWidth="1"/>
    <col min="2362" max="2362" width="11.42578125" style="8" bestFit="1" customWidth="1"/>
    <col min="2363" max="2363" width="10.7109375" style="8" bestFit="1" customWidth="1"/>
    <col min="2364" max="2364" width="11.42578125" style="8" bestFit="1" customWidth="1"/>
    <col min="2365" max="2365" width="10.7109375" style="8" bestFit="1" customWidth="1"/>
    <col min="2366" max="2366" width="11.42578125" style="8" bestFit="1" customWidth="1"/>
    <col min="2367" max="2367" width="10.7109375" style="8" bestFit="1" customWidth="1"/>
    <col min="2368" max="2369" width="11.42578125" style="8" bestFit="1" customWidth="1"/>
    <col min="2370" max="2560" width="9.140625" style="8"/>
    <col min="2561" max="2561" width="132.7109375" style="8" customWidth="1"/>
    <col min="2562" max="2562" width="15.140625" style="8" customWidth="1"/>
    <col min="2563" max="2564" width="10.7109375" style="8" bestFit="1" customWidth="1"/>
    <col min="2565" max="2565" width="11.42578125" style="8" bestFit="1" customWidth="1"/>
    <col min="2566" max="2566" width="10.7109375" style="8" bestFit="1" customWidth="1"/>
    <col min="2567" max="2567" width="11.42578125" style="8" bestFit="1" customWidth="1"/>
    <col min="2568" max="2576" width="10.7109375" style="8" bestFit="1" customWidth="1"/>
    <col min="2577" max="2577" width="11.42578125" style="8" bestFit="1" customWidth="1"/>
    <col min="2578" max="2580" width="10.7109375" style="8" bestFit="1" customWidth="1"/>
    <col min="2581" max="2581" width="11.42578125" style="8" bestFit="1" customWidth="1"/>
    <col min="2582" max="2582" width="10.7109375" style="8" bestFit="1" customWidth="1"/>
    <col min="2583" max="2584" width="11.42578125" style="8" bestFit="1" customWidth="1"/>
    <col min="2585" max="2586" width="10.7109375" style="8" bestFit="1" customWidth="1"/>
    <col min="2587" max="2587" width="11.42578125" style="8" bestFit="1" customWidth="1"/>
    <col min="2588" max="2590" width="10.7109375" style="8" bestFit="1" customWidth="1"/>
    <col min="2591" max="2593" width="11.42578125" style="8" bestFit="1" customWidth="1"/>
    <col min="2594" max="2597" width="10.7109375" style="8" bestFit="1" customWidth="1"/>
    <col min="2598" max="2599" width="11.42578125" style="8" bestFit="1" customWidth="1"/>
    <col min="2600" max="2600" width="10.7109375" style="8" bestFit="1" customWidth="1"/>
    <col min="2601" max="2603" width="11.42578125" style="8" bestFit="1" customWidth="1"/>
    <col min="2604" max="2604" width="10.7109375" style="8" bestFit="1" customWidth="1"/>
    <col min="2605" max="2609" width="11.42578125" style="8" bestFit="1" customWidth="1"/>
    <col min="2610" max="2610" width="10.7109375" style="8" bestFit="1" customWidth="1"/>
    <col min="2611" max="2613" width="11.42578125" style="8" bestFit="1" customWidth="1"/>
    <col min="2614" max="2614" width="10.7109375" style="8" bestFit="1" customWidth="1"/>
    <col min="2615" max="2615" width="11.42578125" style="8" bestFit="1" customWidth="1"/>
    <col min="2616" max="2617" width="10.7109375" style="8" bestFit="1" customWidth="1"/>
    <col min="2618" max="2618" width="11.42578125" style="8" bestFit="1" customWidth="1"/>
    <col min="2619" max="2619" width="10.7109375" style="8" bestFit="1" customWidth="1"/>
    <col min="2620" max="2620" width="11.42578125" style="8" bestFit="1" customWidth="1"/>
    <col min="2621" max="2621" width="10.7109375" style="8" bestFit="1" customWidth="1"/>
    <col min="2622" max="2622" width="11.42578125" style="8" bestFit="1" customWidth="1"/>
    <col min="2623" max="2623" width="10.7109375" style="8" bestFit="1" customWidth="1"/>
    <col min="2624" max="2625" width="11.42578125" style="8" bestFit="1" customWidth="1"/>
    <col min="2626" max="2816" width="9.140625" style="8"/>
    <col min="2817" max="2817" width="132.7109375" style="8" customWidth="1"/>
    <col min="2818" max="2818" width="15.140625" style="8" customWidth="1"/>
    <col min="2819" max="2820" width="10.7109375" style="8" bestFit="1" customWidth="1"/>
    <col min="2821" max="2821" width="11.42578125" style="8" bestFit="1" customWidth="1"/>
    <col min="2822" max="2822" width="10.7109375" style="8" bestFit="1" customWidth="1"/>
    <col min="2823" max="2823" width="11.42578125" style="8" bestFit="1" customWidth="1"/>
    <col min="2824" max="2832" width="10.7109375" style="8" bestFit="1" customWidth="1"/>
    <col min="2833" max="2833" width="11.42578125" style="8" bestFit="1" customWidth="1"/>
    <col min="2834" max="2836" width="10.7109375" style="8" bestFit="1" customWidth="1"/>
    <col min="2837" max="2837" width="11.42578125" style="8" bestFit="1" customWidth="1"/>
    <col min="2838" max="2838" width="10.7109375" style="8" bestFit="1" customWidth="1"/>
    <col min="2839" max="2840" width="11.42578125" style="8" bestFit="1" customWidth="1"/>
    <col min="2841" max="2842" width="10.7109375" style="8" bestFit="1" customWidth="1"/>
    <col min="2843" max="2843" width="11.42578125" style="8" bestFit="1" customWidth="1"/>
    <col min="2844" max="2846" width="10.7109375" style="8" bestFit="1" customWidth="1"/>
    <col min="2847" max="2849" width="11.42578125" style="8" bestFit="1" customWidth="1"/>
    <col min="2850" max="2853" width="10.7109375" style="8" bestFit="1" customWidth="1"/>
    <col min="2854" max="2855" width="11.42578125" style="8" bestFit="1" customWidth="1"/>
    <col min="2856" max="2856" width="10.7109375" style="8" bestFit="1" customWidth="1"/>
    <col min="2857" max="2859" width="11.42578125" style="8" bestFit="1" customWidth="1"/>
    <col min="2860" max="2860" width="10.7109375" style="8" bestFit="1" customWidth="1"/>
    <col min="2861" max="2865" width="11.42578125" style="8" bestFit="1" customWidth="1"/>
    <col min="2866" max="2866" width="10.7109375" style="8" bestFit="1" customWidth="1"/>
    <col min="2867" max="2869" width="11.42578125" style="8" bestFit="1" customWidth="1"/>
    <col min="2870" max="2870" width="10.7109375" style="8" bestFit="1" customWidth="1"/>
    <col min="2871" max="2871" width="11.42578125" style="8" bestFit="1" customWidth="1"/>
    <col min="2872" max="2873" width="10.7109375" style="8" bestFit="1" customWidth="1"/>
    <col min="2874" max="2874" width="11.42578125" style="8" bestFit="1" customWidth="1"/>
    <col min="2875" max="2875" width="10.7109375" style="8" bestFit="1" customWidth="1"/>
    <col min="2876" max="2876" width="11.42578125" style="8" bestFit="1" customWidth="1"/>
    <col min="2877" max="2877" width="10.7109375" style="8" bestFit="1" customWidth="1"/>
    <col min="2878" max="2878" width="11.42578125" style="8" bestFit="1" customWidth="1"/>
    <col min="2879" max="2879" width="10.7109375" style="8" bestFit="1" customWidth="1"/>
    <col min="2880" max="2881" width="11.42578125" style="8" bestFit="1" customWidth="1"/>
    <col min="2882" max="3072" width="9.140625" style="8"/>
    <col min="3073" max="3073" width="132.7109375" style="8" customWidth="1"/>
    <col min="3074" max="3074" width="15.140625" style="8" customWidth="1"/>
    <col min="3075" max="3076" width="10.7109375" style="8" bestFit="1" customWidth="1"/>
    <col min="3077" max="3077" width="11.42578125" style="8" bestFit="1" customWidth="1"/>
    <col min="3078" max="3078" width="10.7109375" style="8" bestFit="1" customWidth="1"/>
    <col min="3079" max="3079" width="11.42578125" style="8" bestFit="1" customWidth="1"/>
    <col min="3080" max="3088" width="10.7109375" style="8" bestFit="1" customWidth="1"/>
    <col min="3089" max="3089" width="11.42578125" style="8" bestFit="1" customWidth="1"/>
    <col min="3090" max="3092" width="10.7109375" style="8" bestFit="1" customWidth="1"/>
    <col min="3093" max="3093" width="11.42578125" style="8" bestFit="1" customWidth="1"/>
    <col min="3094" max="3094" width="10.7109375" style="8" bestFit="1" customWidth="1"/>
    <col min="3095" max="3096" width="11.42578125" style="8" bestFit="1" customWidth="1"/>
    <col min="3097" max="3098" width="10.7109375" style="8" bestFit="1" customWidth="1"/>
    <col min="3099" max="3099" width="11.42578125" style="8" bestFit="1" customWidth="1"/>
    <col min="3100" max="3102" width="10.7109375" style="8" bestFit="1" customWidth="1"/>
    <col min="3103" max="3105" width="11.42578125" style="8" bestFit="1" customWidth="1"/>
    <col min="3106" max="3109" width="10.7109375" style="8" bestFit="1" customWidth="1"/>
    <col min="3110" max="3111" width="11.42578125" style="8" bestFit="1" customWidth="1"/>
    <col min="3112" max="3112" width="10.7109375" style="8" bestFit="1" customWidth="1"/>
    <col min="3113" max="3115" width="11.42578125" style="8" bestFit="1" customWidth="1"/>
    <col min="3116" max="3116" width="10.7109375" style="8" bestFit="1" customWidth="1"/>
    <col min="3117" max="3121" width="11.42578125" style="8" bestFit="1" customWidth="1"/>
    <col min="3122" max="3122" width="10.7109375" style="8" bestFit="1" customWidth="1"/>
    <col min="3123" max="3125" width="11.42578125" style="8" bestFit="1" customWidth="1"/>
    <col min="3126" max="3126" width="10.7109375" style="8" bestFit="1" customWidth="1"/>
    <col min="3127" max="3127" width="11.42578125" style="8" bestFit="1" customWidth="1"/>
    <col min="3128" max="3129" width="10.7109375" style="8" bestFit="1" customWidth="1"/>
    <col min="3130" max="3130" width="11.42578125" style="8" bestFit="1" customWidth="1"/>
    <col min="3131" max="3131" width="10.7109375" style="8" bestFit="1" customWidth="1"/>
    <col min="3132" max="3132" width="11.42578125" style="8" bestFit="1" customWidth="1"/>
    <col min="3133" max="3133" width="10.7109375" style="8" bestFit="1" customWidth="1"/>
    <col min="3134" max="3134" width="11.42578125" style="8" bestFit="1" customWidth="1"/>
    <col min="3135" max="3135" width="10.7109375" style="8" bestFit="1" customWidth="1"/>
    <col min="3136" max="3137" width="11.42578125" style="8" bestFit="1" customWidth="1"/>
    <col min="3138" max="3328" width="9.140625" style="8"/>
    <col min="3329" max="3329" width="132.7109375" style="8" customWidth="1"/>
    <col min="3330" max="3330" width="15.140625" style="8" customWidth="1"/>
    <col min="3331" max="3332" width="10.7109375" style="8" bestFit="1" customWidth="1"/>
    <col min="3333" max="3333" width="11.42578125" style="8" bestFit="1" customWidth="1"/>
    <col min="3334" max="3334" width="10.7109375" style="8" bestFit="1" customWidth="1"/>
    <col min="3335" max="3335" width="11.42578125" style="8" bestFit="1" customWidth="1"/>
    <col min="3336" max="3344" width="10.7109375" style="8" bestFit="1" customWidth="1"/>
    <col min="3345" max="3345" width="11.42578125" style="8" bestFit="1" customWidth="1"/>
    <col min="3346" max="3348" width="10.7109375" style="8" bestFit="1" customWidth="1"/>
    <col min="3349" max="3349" width="11.42578125" style="8" bestFit="1" customWidth="1"/>
    <col min="3350" max="3350" width="10.7109375" style="8" bestFit="1" customWidth="1"/>
    <col min="3351" max="3352" width="11.42578125" style="8" bestFit="1" customWidth="1"/>
    <col min="3353" max="3354" width="10.7109375" style="8" bestFit="1" customWidth="1"/>
    <col min="3355" max="3355" width="11.42578125" style="8" bestFit="1" customWidth="1"/>
    <col min="3356" max="3358" width="10.7109375" style="8" bestFit="1" customWidth="1"/>
    <col min="3359" max="3361" width="11.42578125" style="8" bestFit="1" customWidth="1"/>
    <col min="3362" max="3365" width="10.7109375" style="8" bestFit="1" customWidth="1"/>
    <col min="3366" max="3367" width="11.42578125" style="8" bestFit="1" customWidth="1"/>
    <col min="3368" max="3368" width="10.7109375" style="8" bestFit="1" customWidth="1"/>
    <col min="3369" max="3371" width="11.42578125" style="8" bestFit="1" customWidth="1"/>
    <col min="3372" max="3372" width="10.7109375" style="8" bestFit="1" customWidth="1"/>
    <col min="3373" max="3377" width="11.42578125" style="8" bestFit="1" customWidth="1"/>
    <col min="3378" max="3378" width="10.7109375" style="8" bestFit="1" customWidth="1"/>
    <col min="3379" max="3381" width="11.42578125" style="8" bestFit="1" customWidth="1"/>
    <col min="3382" max="3382" width="10.7109375" style="8" bestFit="1" customWidth="1"/>
    <col min="3383" max="3383" width="11.42578125" style="8" bestFit="1" customWidth="1"/>
    <col min="3384" max="3385" width="10.7109375" style="8" bestFit="1" customWidth="1"/>
    <col min="3386" max="3386" width="11.42578125" style="8" bestFit="1" customWidth="1"/>
    <col min="3387" max="3387" width="10.7109375" style="8" bestFit="1" customWidth="1"/>
    <col min="3388" max="3388" width="11.42578125" style="8" bestFit="1" customWidth="1"/>
    <col min="3389" max="3389" width="10.7109375" style="8" bestFit="1" customWidth="1"/>
    <col min="3390" max="3390" width="11.42578125" style="8" bestFit="1" customWidth="1"/>
    <col min="3391" max="3391" width="10.7109375" style="8" bestFit="1" customWidth="1"/>
    <col min="3392" max="3393" width="11.42578125" style="8" bestFit="1" customWidth="1"/>
    <col min="3394" max="3584" width="9.140625" style="8"/>
    <col min="3585" max="3585" width="132.7109375" style="8" customWidth="1"/>
    <col min="3586" max="3586" width="15.140625" style="8" customWidth="1"/>
    <col min="3587" max="3588" width="10.7109375" style="8" bestFit="1" customWidth="1"/>
    <col min="3589" max="3589" width="11.42578125" style="8" bestFit="1" customWidth="1"/>
    <col min="3590" max="3590" width="10.7109375" style="8" bestFit="1" customWidth="1"/>
    <col min="3591" max="3591" width="11.42578125" style="8" bestFit="1" customWidth="1"/>
    <col min="3592" max="3600" width="10.7109375" style="8" bestFit="1" customWidth="1"/>
    <col min="3601" max="3601" width="11.42578125" style="8" bestFit="1" customWidth="1"/>
    <col min="3602" max="3604" width="10.7109375" style="8" bestFit="1" customWidth="1"/>
    <col min="3605" max="3605" width="11.42578125" style="8" bestFit="1" customWidth="1"/>
    <col min="3606" max="3606" width="10.7109375" style="8" bestFit="1" customWidth="1"/>
    <col min="3607" max="3608" width="11.42578125" style="8" bestFit="1" customWidth="1"/>
    <col min="3609" max="3610" width="10.7109375" style="8" bestFit="1" customWidth="1"/>
    <col min="3611" max="3611" width="11.42578125" style="8" bestFit="1" customWidth="1"/>
    <col min="3612" max="3614" width="10.7109375" style="8" bestFit="1" customWidth="1"/>
    <col min="3615" max="3617" width="11.42578125" style="8" bestFit="1" customWidth="1"/>
    <col min="3618" max="3621" width="10.7109375" style="8" bestFit="1" customWidth="1"/>
    <col min="3622" max="3623" width="11.42578125" style="8" bestFit="1" customWidth="1"/>
    <col min="3624" max="3624" width="10.7109375" style="8" bestFit="1" customWidth="1"/>
    <col min="3625" max="3627" width="11.42578125" style="8" bestFit="1" customWidth="1"/>
    <col min="3628" max="3628" width="10.7109375" style="8" bestFit="1" customWidth="1"/>
    <col min="3629" max="3633" width="11.42578125" style="8" bestFit="1" customWidth="1"/>
    <col min="3634" max="3634" width="10.7109375" style="8" bestFit="1" customWidth="1"/>
    <col min="3635" max="3637" width="11.42578125" style="8" bestFit="1" customWidth="1"/>
    <col min="3638" max="3638" width="10.7109375" style="8" bestFit="1" customWidth="1"/>
    <col min="3639" max="3639" width="11.42578125" style="8" bestFit="1" customWidth="1"/>
    <col min="3640" max="3641" width="10.7109375" style="8" bestFit="1" customWidth="1"/>
    <col min="3642" max="3642" width="11.42578125" style="8" bestFit="1" customWidth="1"/>
    <col min="3643" max="3643" width="10.7109375" style="8" bestFit="1" customWidth="1"/>
    <col min="3644" max="3644" width="11.42578125" style="8" bestFit="1" customWidth="1"/>
    <col min="3645" max="3645" width="10.7109375" style="8" bestFit="1" customWidth="1"/>
    <col min="3646" max="3646" width="11.42578125" style="8" bestFit="1" customWidth="1"/>
    <col min="3647" max="3647" width="10.7109375" style="8" bestFit="1" customWidth="1"/>
    <col min="3648" max="3649" width="11.42578125" style="8" bestFit="1" customWidth="1"/>
    <col min="3650" max="3840" width="9.140625" style="8"/>
    <col min="3841" max="3841" width="132.7109375" style="8" customWidth="1"/>
    <col min="3842" max="3842" width="15.140625" style="8" customWidth="1"/>
    <col min="3843" max="3844" width="10.7109375" style="8" bestFit="1" customWidth="1"/>
    <col min="3845" max="3845" width="11.42578125" style="8" bestFit="1" customWidth="1"/>
    <col min="3846" max="3846" width="10.7109375" style="8" bestFit="1" customWidth="1"/>
    <col min="3847" max="3847" width="11.42578125" style="8" bestFit="1" customWidth="1"/>
    <col min="3848" max="3856" width="10.7109375" style="8" bestFit="1" customWidth="1"/>
    <col min="3857" max="3857" width="11.42578125" style="8" bestFit="1" customWidth="1"/>
    <col min="3858" max="3860" width="10.7109375" style="8" bestFit="1" customWidth="1"/>
    <col min="3861" max="3861" width="11.42578125" style="8" bestFit="1" customWidth="1"/>
    <col min="3862" max="3862" width="10.7109375" style="8" bestFit="1" customWidth="1"/>
    <col min="3863" max="3864" width="11.42578125" style="8" bestFit="1" customWidth="1"/>
    <col min="3865" max="3866" width="10.7109375" style="8" bestFit="1" customWidth="1"/>
    <col min="3867" max="3867" width="11.42578125" style="8" bestFit="1" customWidth="1"/>
    <col min="3868" max="3870" width="10.7109375" style="8" bestFit="1" customWidth="1"/>
    <col min="3871" max="3873" width="11.42578125" style="8" bestFit="1" customWidth="1"/>
    <col min="3874" max="3877" width="10.7109375" style="8" bestFit="1" customWidth="1"/>
    <col min="3878" max="3879" width="11.42578125" style="8" bestFit="1" customWidth="1"/>
    <col min="3880" max="3880" width="10.7109375" style="8" bestFit="1" customWidth="1"/>
    <col min="3881" max="3883" width="11.42578125" style="8" bestFit="1" customWidth="1"/>
    <col min="3884" max="3884" width="10.7109375" style="8" bestFit="1" customWidth="1"/>
    <col min="3885" max="3889" width="11.42578125" style="8" bestFit="1" customWidth="1"/>
    <col min="3890" max="3890" width="10.7109375" style="8" bestFit="1" customWidth="1"/>
    <col min="3891" max="3893" width="11.42578125" style="8" bestFit="1" customWidth="1"/>
    <col min="3894" max="3894" width="10.7109375" style="8" bestFit="1" customWidth="1"/>
    <col min="3895" max="3895" width="11.42578125" style="8" bestFit="1" customWidth="1"/>
    <col min="3896" max="3897" width="10.7109375" style="8" bestFit="1" customWidth="1"/>
    <col min="3898" max="3898" width="11.42578125" style="8" bestFit="1" customWidth="1"/>
    <col min="3899" max="3899" width="10.7109375" style="8" bestFit="1" customWidth="1"/>
    <col min="3900" max="3900" width="11.42578125" style="8" bestFit="1" customWidth="1"/>
    <col min="3901" max="3901" width="10.7109375" style="8" bestFit="1" customWidth="1"/>
    <col min="3902" max="3902" width="11.42578125" style="8" bestFit="1" customWidth="1"/>
    <col min="3903" max="3903" width="10.7109375" style="8" bestFit="1" customWidth="1"/>
    <col min="3904" max="3905" width="11.42578125" style="8" bestFit="1" customWidth="1"/>
    <col min="3906" max="4096" width="9.140625" style="8"/>
    <col min="4097" max="4097" width="132.7109375" style="8" customWidth="1"/>
    <col min="4098" max="4098" width="15.140625" style="8" customWidth="1"/>
    <col min="4099" max="4100" width="10.7109375" style="8" bestFit="1" customWidth="1"/>
    <col min="4101" max="4101" width="11.42578125" style="8" bestFit="1" customWidth="1"/>
    <col min="4102" max="4102" width="10.7109375" style="8" bestFit="1" customWidth="1"/>
    <col min="4103" max="4103" width="11.42578125" style="8" bestFit="1" customWidth="1"/>
    <col min="4104" max="4112" width="10.7109375" style="8" bestFit="1" customWidth="1"/>
    <col min="4113" max="4113" width="11.42578125" style="8" bestFit="1" customWidth="1"/>
    <col min="4114" max="4116" width="10.7109375" style="8" bestFit="1" customWidth="1"/>
    <col min="4117" max="4117" width="11.42578125" style="8" bestFit="1" customWidth="1"/>
    <col min="4118" max="4118" width="10.7109375" style="8" bestFit="1" customWidth="1"/>
    <col min="4119" max="4120" width="11.42578125" style="8" bestFit="1" customWidth="1"/>
    <col min="4121" max="4122" width="10.7109375" style="8" bestFit="1" customWidth="1"/>
    <col min="4123" max="4123" width="11.42578125" style="8" bestFit="1" customWidth="1"/>
    <col min="4124" max="4126" width="10.7109375" style="8" bestFit="1" customWidth="1"/>
    <col min="4127" max="4129" width="11.42578125" style="8" bestFit="1" customWidth="1"/>
    <col min="4130" max="4133" width="10.7109375" style="8" bestFit="1" customWidth="1"/>
    <col min="4134" max="4135" width="11.42578125" style="8" bestFit="1" customWidth="1"/>
    <col min="4136" max="4136" width="10.7109375" style="8" bestFit="1" customWidth="1"/>
    <col min="4137" max="4139" width="11.42578125" style="8" bestFit="1" customWidth="1"/>
    <col min="4140" max="4140" width="10.7109375" style="8" bestFit="1" customWidth="1"/>
    <col min="4141" max="4145" width="11.42578125" style="8" bestFit="1" customWidth="1"/>
    <col min="4146" max="4146" width="10.7109375" style="8" bestFit="1" customWidth="1"/>
    <col min="4147" max="4149" width="11.42578125" style="8" bestFit="1" customWidth="1"/>
    <col min="4150" max="4150" width="10.7109375" style="8" bestFit="1" customWidth="1"/>
    <col min="4151" max="4151" width="11.42578125" style="8" bestFit="1" customWidth="1"/>
    <col min="4152" max="4153" width="10.7109375" style="8" bestFit="1" customWidth="1"/>
    <col min="4154" max="4154" width="11.42578125" style="8" bestFit="1" customWidth="1"/>
    <col min="4155" max="4155" width="10.7109375" style="8" bestFit="1" customWidth="1"/>
    <col min="4156" max="4156" width="11.42578125" style="8" bestFit="1" customWidth="1"/>
    <col min="4157" max="4157" width="10.7109375" style="8" bestFit="1" customWidth="1"/>
    <col min="4158" max="4158" width="11.42578125" style="8" bestFit="1" customWidth="1"/>
    <col min="4159" max="4159" width="10.7109375" style="8" bestFit="1" customWidth="1"/>
    <col min="4160" max="4161" width="11.42578125" style="8" bestFit="1" customWidth="1"/>
    <col min="4162" max="4352" width="9.140625" style="8"/>
    <col min="4353" max="4353" width="132.7109375" style="8" customWidth="1"/>
    <col min="4354" max="4354" width="15.140625" style="8" customWidth="1"/>
    <col min="4355" max="4356" width="10.7109375" style="8" bestFit="1" customWidth="1"/>
    <col min="4357" max="4357" width="11.42578125" style="8" bestFit="1" customWidth="1"/>
    <col min="4358" max="4358" width="10.7109375" style="8" bestFit="1" customWidth="1"/>
    <col min="4359" max="4359" width="11.42578125" style="8" bestFit="1" customWidth="1"/>
    <col min="4360" max="4368" width="10.7109375" style="8" bestFit="1" customWidth="1"/>
    <col min="4369" max="4369" width="11.42578125" style="8" bestFit="1" customWidth="1"/>
    <col min="4370" max="4372" width="10.7109375" style="8" bestFit="1" customWidth="1"/>
    <col min="4373" max="4373" width="11.42578125" style="8" bestFit="1" customWidth="1"/>
    <col min="4374" max="4374" width="10.7109375" style="8" bestFit="1" customWidth="1"/>
    <col min="4375" max="4376" width="11.42578125" style="8" bestFit="1" customWidth="1"/>
    <col min="4377" max="4378" width="10.7109375" style="8" bestFit="1" customWidth="1"/>
    <col min="4379" max="4379" width="11.42578125" style="8" bestFit="1" customWidth="1"/>
    <col min="4380" max="4382" width="10.7109375" style="8" bestFit="1" customWidth="1"/>
    <col min="4383" max="4385" width="11.42578125" style="8" bestFit="1" customWidth="1"/>
    <col min="4386" max="4389" width="10.7109375" style="8" bestFit="1" customWidth="1"/>
    <col min="4390" max="4391" width="11.42578125" style="8" bestFit="1" customWidth="1"/>
    <col min="4392" max="4392" width="10.7109375" style="8" bestFit="1" customWidth="1"/>
    <col min="4393" max="4395" width="11.42578125" style="8" bestFit="1" customWidth="1"/>
    <col min="4396" max="4396" width="10.7109375" style="8" bestFit="1" customWidth="1"/>
    <col min="4397" max="4401" width="11.42578125" style="8" bestFit="1" customWidth="1"/>
    <col min="4402" max="4402" width="10.7109375" style="8" bestFit="1" customWidth="1"/>
    <col min="4403" max="4405" width="11.42578125" style="8" bestFit="1" customWidth="1"/>
    <col min="4406" max="4406" width="10.7109375" style="8" bestFit="1" customWidth="1"/>
    <col min="4407" max="4407" width="11.42578125" style="8" bestFit="1" customWidth="1"/>
    <col min="4408" max="4409" width="10.7109375" style="8" bestFit="1" customWidth="1"/>
    <col min="4410" max="4410" width="11.42578125" style="8" bestFit="1" customWidth="1"/>
    <col min="4411" max="4411" width="10.7109375" style="8" bestFit="1" customWidth="1"/>
    <col min="4412" max="4412" width="11.42578125" style="8" bestFit="1" customWidth="1"/>
    <col min="4413" max="4413" width="10.7109375" style="8" bestFit="1" customWidth="1"/>
    <col min="4414" max="4414" width="11.42578125" style="8" bestFit="1" customWidth="1"/>
    <col min="4415" max="4415" width="10.7109375" style="8" bestFit="1" customWidth="1"/>
    <col min="4416" max="4417" width="11.42578125" style="8" bestFit="1" customWidth="1"/>
    <col min="4418" max="4608" width="9.140625" style="8"/>
    <col min="4609" max="4609" width="132.7109375" style="8" customWidth="1"/>
    <col min="4610" max="4610" width="15.140625" style="8" customWidth="1"/>
    <col min="4611" max="4612" width="10.7109375" style="8" bestFit="1" customWidth="1"/>
    <col min="4613" max="4613" width="11.42578125" style="8" bestFit="1" customWidth="1"/>
    <col min="4614" max="4614" width="10.7109375" style="8" bestFit="1" customWidth="1"/>
    <col min="4615" max="4615" width="11.42578125" style="8" bestFit="1" customWidth="1"/>
    <col min="4616" max="4624" width="10.7109375" style="8" bestFit="1" customWidth="1"/>
    <col min="4625" max="4625" width="11.42578125" style="8" bestFit="1" customWidth="1"/>
    <col min="4626" max="4628" width="10.7109375" style="8" bestFit="1" customWidth="1"/>
    <col min="4629" max="4629" width="11.42578125" style="8" bestFit="1" customWidth="1"/>
    <col min="4630" max="4630" width="10.7109375" style="8" bestFit="1" customWidth="1"/>
    <col min="4631" max="4632" width="11.42578125" style="8" bestFit="1" customWidth="1"/>
    <col min="4633" max="4634" width="10.7109375" style="8" bestFit="1" customWidth="1"/>
    <col min="4635" max="4635" width="11.42578125" style="8" bestFit="1" customWidth="1"/>
    <col min="4636" max="4638" width="10.7109375" style="8" bestFit="1" customWidth="1"/>
    <col min="4639" max="4641" width="11.42578125" style="8" bestFit="1" customWidth="1"/>
    <col min="4642" max="4645" width="10.7109375" style="8" bestFit="1" customWidth="1"/>
    <col min="4646" max="4647" width="11.42578125" style="8" bestFit="1" customWidth="1"/>
    <col min="4648" max="4648" width="10.7109375" style="8" bestFit="1" customWidth="1"/>
    <col min="4649" max="4651" width="11.42578125" style="8" bestFit="1" customWidth="1"/>
    <col min="4652" max="4652" width="10.7109375" style="8" bestFit="1" customWidth="1"/>
    <col min="4653" max="4657" width="11.42578125" style="8" bestFit="1" customWidth="1"/>
    <col min="4658" max="4658" width="10.7109375" style="8" bestFit="1" customWidth="1"/>
    <col min="4659" max="4661" width="11.42578125" style="8" bestFit="1" customWidth="1"/>
    <col min="4662" max="4662" width="10.7109375" style="8" bestFit="1" customWidth="1"/>
    <col min="4663" max="4663" width="11.42578125" style="8" bestFit="1" customWidth="1"/>
    <col min="4664" max="4665" width="10.7109375" style="8" bestFit="1" customWidth="1"/>
    <col min="4666" max="4666" width="11.42578125" style="8" bestFit="1" customWidth="1"/>
    <col min="4667" max="4667" width="10.7109375" style="8" bestFit="1" customWidth="1"/>
    <col min="4668" max="4668" width="11.42578125" style="8" bestFit="1" customWidth="1"/>
    <col min="4669" max="4669" width="10.7109375" style="8" bestFit="1" customWidth="1"/>
    <col min="4670" max="4670" width="11.42578125" style="8" bestFit="1" customWidth="1"/>
    <col min="4671" max="4671" width="10.7109375" style="8" bestFit="1" customWidth="1"/>
    <col min="4672" max="4673" width="11.42578125" style="8" bestFit="1" customWidth="1"/>
    <col min="4674" max="4864" width="9.140625" style="8"/>
    <col min="4865" max="4865" width="132.7109375" style="8" customWidth="1"/>
    <col min="4866" max="4866" width="15.140625" style="8" customWidth="1"/>
    <col min="4867" max="4868" width="10.7109375" style="8" bestFit="1" customWidth="1"/>
    <col min="4869" max="4869" width="11.42578125" style="8" bestFit="1" customWidth="1"/>
    <col min="4870" max="4870" width="10.7109375" style="8" bestFit="1" customWidth="1"/>
    <col min="4871" max="4871" width="11.42578125" style="8" bestFit="1" customWidth="1"/>
    <col min="4872" max="4880" width="10.7109375" style="8" bestFit="1" customWidth="1"/>
    <col min="4881" max="4881" width="11.42578125" style="8" bestFit="1" customWidth="1"/>
    <col min="4882" max="4884" width="10.7109375" style="8" bestFit="1" customWidth="1"/>
    <col min="4885" max="4885" width="11.42578125" style="8" bestFit="1" customWidth="1"/>
    <col min="4886" max="4886" width="10.7109375" style="8" bestFit="1" customWidth="1"/>
    <col min="4887" max="4888" width="11.42578125" style="8" bestFit="1" customWidth="1"/>
    <col min="4889" max="4890" width="10.7109375" style="8" bestFit="1" customWidth="1"/>
    <col min="4891" max="4891" width="11.42578125" style="8" bestFit="1" customWidth="1"/>
    <col min="4892" max="4894" width="10.7109375" style="8" bestFit="1" customWidth="1"/>
    <col min="4895" max="4897" width="11.42578125" style="8" bestFit="1" customWidth="1"/>
    <col min="4898" max="4901" width="10.7109375" style="8" bestFit="1" customWidth="1"/>
    <col min="4902" max="4903" width="11.42578125" style="8" bestFit="1" customWidth="1"/>
    <col min="4904" max="4904" width="10.7109375" style="8" bestFit="1" customWidth="1"/>
    <col min="4905" max="4907" width="11.42578125" style="8" bestFit="1" customWidth="1"/>
    <col min="4908" max="4908" width="10.7109375" style="8" bestFit="1" customWidth="1"/>
    <col min="4909" max="4913" width="11.42578125" style="8" bestFit="1" customWidth="1"/>
    <col min="4914" max="4914" width="10.7109375" style="8" bestFit="1" customWidth="1"/>
    <col min="4915" max="4917" width="11.42578125" style="8" bestFit="1" customWidth="1"/>
    <col min="4918" max="4918" width="10.7109375" style="8" bestFit="1" customWidth="1"/>
    <col min="4919" max="4919" width="11.42578125" style="8" bestFit="1" customWidth="1"/>
    <col min="4920" max="4921" width="10.7109375" style="8" bestFit="1" customWidth="1"/>
    <col min="4922" max="4922" width="11.42578125" style="8" bestFit="1" customWidth="1"/>
    <col min="4923" max="4923" width="10.7109375" style="8" bestFit="1" customWidth="1"/>
    <col min="4924" max="4924" width="11.42578125" style="8" bestFit="1" customWidth="1"/>
    <col min="4925" max="4925" width="10.7109375" style="8" bestFit="1" customWidth="1"/>
    <col min="4926" max="4926" width="11.42578125" style="8" bestFit="1" customWidth="1"/>
    <col min="4927" max="4927" width="10.7109375" style="8" bestFit="1" customWidth="1"/>
    <col min="4928" max="4929" width="11.42578125" style="8" bestFit="1" customWidth="1"/>
    <col min="4930" max="5120" width="9.140625" style="8"/>
    <col min="5121" max="5121" width="132.7109375" style="8" customWidth="1"/>
    <col min="5122" max="5122" width="15.140625" style="8" customWidth="1"/>
    <col min="5123" max="5124" width="10.7109375" style="8" bestFit="1" customWidth="1"/>
    <col min="5125" max="5125" width="11.42578125" style="8" bestFit="1" customWidth="1"/>
    <col min="5126" max="5126" width="10.7109375" style="8" bestFit="1" customWidth="1"/>
    <col min="5127" max="5127" width="11.42578125" style="8" bestFit="1" customWidth="1"/>
    <col min="5128" max="5136" width="10.7109375" style="8" bestFit="1" customWidth="1"/>
    <col min="5137" max="5137" width="11.42578125" style="8" bestFit="1" customWidth="1"/>
    <col min="5138" max="5140" width="10.7109375" style="8" bestFit="1" customWidth="1"/>
    <col min="5141" max="5141" width="11.42578125" style="8" bestFit="1" customWidth="1"/>
    <col min="5142" max="5142" width="10.7109375" style="8" bestFit="1" customWidth="1"/>
    <col min="5143" max="5144" width="11.42578125" style="8" bestFit="1" customWidth="1"/>
    <col min="5145" max="5146" width="10.7109375" style="8" bestFit="1" customWidth="1"/>
    <col min="5147" max="5147" width="11.42578125" style="8" bestFit="1" customWidth="1"/>
    <col min="5148" max="5150" width="10.7109375" style="8" bestFit="1" customWidth="1"/>
    <col min="5151" max="5153" width="11.42578125" style="8" bestFit="1" customWidth="1"/>
    <col min="5154" max="5157" width="10.7109375" style="8" bestFit="1" customWidth="1"/>
    <col min="5158" max="5159" width="11.42578125" style="8" bestFit="1" customWidth="1"/>
    <col min="5160" max="5160" width="10.7109375" style="8" bestFit="1" customWidth="1"/>
    <col min="5161" max="5163" width="11.42578125" style="8" bestFit="1" customWidth="1"/>
    <col min="5164" max="5164" width="10.7109375" style="8" bestFit="1" customWidth="1"/>
    <col min="5165" max="5169" width="11.42578125" style="8" bestFit="1" customWidth="1"/>
    <col min="5170" max="5170" width="10.7109375" style="8" bestFit="1" customWidth="1"/>
    <col min="5171" max="5173" width="11.42578125" style="8" bestFit="1" customWidth="1"/>
    <col min="5174" max="5174" width="10.7109375" style="8" bestFit="1" customWidth="1"/>
    <col min="5175" max="5175" width="11.42578125" style="8" bestFit="1" customWidth="1"/>
    <col min="5176" max="5177" width="10.7109375" style="8" bestFit="1" customWidth="1"/>
    <col min="5178" max="5178" width="11.42578125" style="8" bestFit="1" customWidth="1"/>
    <col min="5179" max="5179" width="10.7109375" style="8" bestFit="1" customWidth="1"/>
    <col min="5180" max="5180" width="11.42578125" style="8" bestFit="1" customWidth="1"/>
    <col min="5181" max="5181" width="10.7109375" style="8" bestFit="1" customWidth="1"/>
    <col min="5182" max="5182" width="11.42578125" style="8" bestFit="1" customWidth="1"/>
    <col min="5183" max="5183" width="10.7109375" style="8" bestFit="1" customWidth="1"/>
    <col min="5184" max="5185" width="11.42578125" style="8" bestFit="1" customWidth="1"/>
    <col min="5186" max="5376" width="9.140625" style="8"/>
    <col min="5377" max="5377" width="132.7109375" style="8" customWidth="1"/>
    <col min="5378" max="5378" width="15.140625" style="8" customWidth="1"/>
    <col min="5379" max="5380" width="10.7109375" style="8" bestFit="1" customWidth="1"/>
    <col min="5381" max="5381" width="11.42578125" style="8" bestFit="1" customWidth="1"/>
    <col min="5382" max="5382" width="10.7109375" style="8" bestFit="1" customWidth="1"/>
    <col min="5383" max="5383" width="11.42578125" style="8" bestFit="1" customWidth="1"/>
    <col min="5384" max="5392" width="10.7109375" style="8" bestFit="1" customWidth="1"/>
    <col min="5393" max="5393" width="11.42578125" style="8" bestFit="1" customWidth="1"/>
    <col min="5394" max="5396" width="10.7109375" style="8" bestFit="1" customWidth="1"/>
    <col min="5397" max="5397" width="11.42578125" style="8" bestFit="1" customWidth="1"/>
    <col min="5398" max="5398" width="10.7109375" style="8" bestFit="1" customWidth="1"/>
    <col min="5399" max="5400" width="11.42578125" style="8" bestFit="1" customWidth="1"/>
    <col min="5401" max="5402" width="10.7109375" style="8" bestFit="1" customWidth="1"/>
    <col min="5403" max="5403" width="11.42578125" style="8" bestFit="1" customWidth="1"/>
    <col min="5404" max="5406" width="10.7109375" style="8" bestFit="1" customWidth="1"/>
    <col min="5407" max="5409" width="11.42578125" style="8" bestFit="1" customWidth="1"/>
    <col min="5410" max="5413" width="10.7109375" style="8" bestFit="1" customWidth="1"/>
    <col min="5414" max="5415" width="11.42578125" style="8" bestFit="1" customWidth="1"/>
    <col min="5416" max="5416" width="10.7109375" style="8" bestFit="1" customWidth="1"/>
    <col min="5417" max="5419" width="11.42578125" style="8" bestFit="1" customWidth="1"/>
    <col min="5420" max="5420" width="10.7109375" style="8" bestFit="1" customWidth="1"/>
    <col min="5421" max="5425" width="11.42578125" style="8" bestFit="1" customWidth="1"/>
    <col min="5426" max="5426" width="10.7109375" style="8" bestFit="1" customWidth="1"/>
    <col min="5427" max="5429" width="11.42578125" style="8" bestFit="1" customWidth="1"/>
    <col min="5430" max="5430" width="10.7109375" style="8" bestFit="1" customWidth="1"/>
    <col min="5431" max="5431" width="11.42578125" style="8" bestFit="1" customWidth="1"/>
    <col min="5432" max="5433" width="10.7109375" style="8" bestFit="1" customWidth="1"/>
    <col min="5434" max="5434" width="11.42578125" style="8" bestFit="1" customWidth="1"/>
    <col min="5435" max="5435" width="10.7109375" style="8" bestFit="1" customWidth="1"/>
    <col min="5436" max="5436" width="11.42578125" style="8" bestFit="1" customWidth="1"/>
    <col min="5437" max="5437" width="10.7109375" style="8" bestFit="1" customWidth="1"/>
    <col min="5438" max="5438" width="11.42578125" style="8" bestFit="1" customWidth="1"/>
    <col min="5439" max="5439" width="10.7109375" style="8" bestFit="1" customWidth="1"/>
    <col min="5440" max="5441" width="11.42578125" style="8" bestFit="1" customWidth="1"/>
    <col min="5442" max="5632" width="9.140625" style="8"/>
    <col min="5633" max="5633" width="132.7109375" style="8" customWidth="1"/>
    <col min="5634" max="5634" width="15.140625" style="8" customWidth="1"/>
    <col min="5635" max="5636" width="10.7109375" style="8" bestFit="1" customWidth="1"/>
    <col min="5637" max="5637" width="11.42578125" style="8" bestFit="1" customWidth="1"/>
    <col min="5638" max="5638" width="10.7109375" style="8" bestFit="1" customWidth="1"/>
    <col min="5639" max="5639" width="11.42578125" style="8" bestFit="1" customWidth="1"/>
    <col min="5640" max="5648" width="10.7109375" style="8" bestFit="1" customWidth="1"/>
    <col min="5649" max="5649" width="11.42578125" style="8" bestFit="1" customWidth="1"/>
    <col min="5650" max="5652" width="10.7109375" style="8" bestFit="1" customWidth="1"/>
    <col min="5653" max="5653" width="11.42578125" style="8" bestFit="1" customWidth="1"/>
    <col min="5654" max="5654" width="10.7109375" style="8" bestFit="1" customWidth="1"/>
    <col min="5655" max="5656" width="11.42578125" style="8" bestFit="1" customWidth="1"/>
    <col min="5657" max="5658" width="10.7109375" style="8" bestFit="1" customWidth="1"/>
    <col min="5659" max="5659" width="11.42578125" style="8" bestFit="1" customWidth="1"/>
    <col min="5660" max="5662" width="10.7109375" style="8" bestFit="1" customWidth="1"/>
    <col min="5663" max="5665" width="11.42578125" style="8" bestFit="1" customWidth="1"/>
    <col min="5666" max="5669" width="10.7109375" style="8" bestFit="1" customWidth="1"/>
    <col min="5670" max="5671" width="11.42578125" style="8" bestFit="1" customWidth="1"/>
    <col min="5672" max="5672" width="10.7109375" style="8" bestFit="1" customWidth="1"/>
    <col min="5673" max="5675" width="11.42578125" style="8" bestFit="1" customWidth="1"/>
    <col min="5676" max="5676" width="10.7109375" style="8" bestFit="1" customWidth="1"/>
    <col min="5677" max="5681" width="11.42578125" style="8" bestFit="1" customWidth="1"/>
    <col min="5682" max="5682" width="10.7109375" style="8" bestFit="1" customWidth="1"/>
    <col min="5683" max="5685" width="11.42578125" style="8" bestFit="1" customWidth="1"/>
    <col min="5686" max="5686" width="10.7109375" style="8" bestFit="1" customWidth="1"/>
    <col min="5687" max="5687" width="11.42578125" style="8" bestFit="1" customWidth="1"/>
    <col min="5688" max="5689" width="10.7109375" style="8" bestFit="1" customWidth="1"/>
    <col min="5690" max="5690" width="11.42578125" style="8" bestFit="1" customWidth="1"/>
    <col min="5691" max="5691" width="10.7109375" style="8" bestFit="1" customWidth="1"/>
    <col min="5692" max="5692" width="11.42578125" style="8" bestFit="1" customWidth="1"/>
    <col min="5693" max="5693" width="10.7109375" style="8" bestFit="1" customWidth="1"/>
    <col min="5694" max="5694" width="11.42578125" style="8" bestFit="1" customWidth="1"/>
    <col min="5695" max="5695" width="10.7109375" style="8" bestFit="1" customWidth="1"/>
    <col min="5696" max="5697" width="11.42578125" style="8" bestFit="1" customWidth="1"/>
    <col min="5698" max="5888" width="9.140625" style="8"/>
    <col min="5889" max="5889" width="132.7109375" style="8" customWidth="1"/>
    <col min="5890" max="5890" width="15.140625" style="8" customWidth="1"/>
    <col min="5891" max="5892" width="10.7109375" style="8" bestFit="1" customWidth="1"/>
    <col min="5893" max="5893" width="11.42578125" style="8" bestFit="1" customWidth="1"/>
    <col min="5894" max="5894" width="10.7109375" style="8" bestFit="1" customWidth="1"/>
    <col min="5895" max="5895" width="11.42578125" style="8" bestFit="1" customWidth="1"/>
    <col min="5896" max="5904" width="10.7109375" style="8" bestFit="1" customWidth="1"/>
    <col min="5905" max="5905" width="11.42578125" style="8" bestFit="1" customWidth="1"/>
    <col min="5906" max="5908" width="10.7109375" style="8" bestFit="1" customWidth="1"/>
    <col min="5909" max="5909" width="11.42578125" style="8" bestFit="1" customWidth="1"/>
    <col min="5910" max="5910" width="10.7109375" style="8" bestFit="1" customWidth="1"/>
    <col min="5911" max="5912" width="11.42578125" style="8" bestFit="1" customWidth="1"/>
    <col min="5913" max="5914" width="10.7109375" style="8" bestFit="1" customWidth="1"/>
    <col min="5915" max="5915" width="11.42578125" style="8" bestFit="1" customWidth="1"/>
    <col min="5916" max="5918" width="10.7109375" style="8" bestFit="1" customWidth="1"/>
    <col min="5919" max="5921" width="11.42578125" style="8" bestFit="1" customWidth="1"/>
    <col min="5922" max="5925" width="10.7109375" style="8" bestFit="1" customWidth="1"/>
    <col min="5926" max="5927" width="11.42578125" style="8" bestFit="1" customWidth="1"/>
    <col min="5928" max="5928" width="10.7109375" style="8" bestFit="1" customWidth="1"/>
    <col min="5929" max="5931" width="11.42578125" style="8" bestFit="1" customWidth="1"/>
    <col min="5932" max="5932" width="10.7109375" style="8" bestFit="1" customWidth="1"/>
    <col min="5933" max="5937" width="11.42578125" style="8" bestFit="1" customWidth="1"/>
    <col min="5938" max="5938" width="10.7109375" style="8" bestFit="1" customWidth="1"/>
    <col min="5939" max="5941" width="11.42578125" style="8" bestFit="1" customWidth="1"/>
    <col min="5942" max="5942" width="10.7109375" style="8" bestFit="1" customWidth="1"/>
    <col min="5943" max="5943" width="11.42578125" style="8" bestFit="1" customWidth="1"/>
    <col min="5944" max="5945" width="10.7109375" style="8" bestFit="1" customWidth="1"/>
    <col min="5946" max="5946" width="11.42578125" style="8" bestFit="1" customWidth="1"/>
    <col min="5947" max="5947" width="10.7109375" style="8" bestFit="1" customWidth="1"/>
    <col min="5948" max="5948" width="11.42578125" style="8" bestFit="1" customWidth="1"/>
    <col min="5949" max="5949" width="10.7109375" style="8" bestFit="1" customWidth="1"/>
    <col min="5950" max="5950" width="11.42578125" style="8" bestFit="1" customWidth="1"/>
    <col min="5951" max="5951" width="10.7109375" style="8" bestFit="1" customWidth="1"/>
    <col min="5952" max="5953" width="11.42578125" style="8" bestFit="1" customWidth="1"/>
    <col min="5954" max="6144" width="9.140625" style="8"/>
    <col min="6145" max="6145" width="132.7109375" style="8" customWidth="1"/>
    <col min="6146" max="6146" width="15.140625" style="8" customWidth="1"/>
    <col min="6147" max="6148" width="10.7109375" style="8" bestFit="1" customWidth="1"/>
    <col min="6149" max="6149" width="11.42578125" style="8" bestFit="1" customWidth="1"/>
    <col min="6150" max="6150" width="10.7109375" style="8" bestFit="1" customWidth="1"/>
    <col min="6151" max="6151" width="11.42578125" style="8" bestFit="1" customWidth="1"/>
    <col min="6152" max="6160" width="10.7109375" style="8" bestFit="1" customWidth="1"/>
    <col min="6161" max="6161" width="11.42578125" style="8" bestFit="1" customWidth="1"/>
    <col min="6162" max="6164" width="10.7109375" style="8" bestFit="1" customWidth="1"/>
    <col min="6165" max="6165" width="11.42578125" style="8" bestFit="1" customWidth="1"/>
    <col min="6166" max="6166" width="10.7109375" style="8" bestFit="1" customWidth="1"/>
    <col min="6167" max="6168" width="11.42578125" style="8" bestFit="1" customWidth="1"/>
    <col min="6169" max="6170" width="10.7109375" style="8" bestFit="1" customWidth="1"/>
    <col min="6171" max="6171" width="11.42578125" style="8" bestFit="1" customWidth="1"/>
    <col min="6172" max="6174" width="10.7109375" style="8" bestFit="1" customWidth="1"/>
    <col min="6175" max="6177" width="11.42578125" style="8" bestFit="1" customWidth="1"/>
    <col min="6178" max="6181" width="10.7109375" style="8" bestFit="1" customWidth="1"/>
    <col min="6182" max="6183" width="11.42578125" style="8" bestFit="1" customWidth="1"/>
    <col min="6184" max="6184" width="10.7109375" style="8" bestFit="1" customWidth="1"/>
    <col min="6185" max="6187" width="11.42578125" style="8" bestFit="1" customWidth="1"/>
    <col min="6188" max="6188" width="10.7109375" style="8" bestFit="1" customWidth="1"/>
    <col min="6189" max="6193" width="11.42578125" style="8" bestFit="1" customWidth="1"/>
    <col min="6194" max="6194" width="10.7109375" style="8" bestFit="1" customWidth="1"/>
    <col min="6195" max="6197" width="11.42578125" style="8" bestFit="1" customWidth="1"/>
    <col min="6198" max="6198" width="10.7109375" style="8" bestFit="1" customWidth="1"/>
    <col min="6199" max="6199" width="11.42578125" style="8" bestFit="1" customWidth="1"/>
    <col min="6200" max="6201" width="10.7109375" style="8" bestFit="1" customWidth="1"/>
    <col min="6202" max="6202" width="11.42578125" style="8" bestFit="1" customWidth="1"/>
    <col min="6203" max="6203" width="10.7109375" style="8" bestFit="1" customWidth="1"/>
    <col min="6204" max="6204" width="11.42578125" style="8" bestFit="1" customWidth="1"/>
    <col min="6205" max="6205" width="10.7109375" style="8" bestFit="1" customWidth="1"/>
    <col min="6206" max="6206" width="11.42578125" style="8" bestFit="1" customWidth="1"/>
    <col min="6207" max="6207" width="10.7109375" style="8" bestFit="1" customWidth="1"/>
    <col min="6208" max="6209" width="11.42578125" style="8" bestFit="1" customWidth="1"/>
    <col min="6210" max="6400" width="9.140625" style="8"/>
    <col min="6401" max="6401" width="132.7109375" style="8" customWidth="1"/>
    <col min="6402" max="6402" width="15.140625" style="8" customWidth="1"/>
    <col min="6403" max="6404" width="10.7109375" style="8" bestFit="1" customWidth="1"/>
    <col min="6405" max="6405" width="11.42578125" style="8" bestFit="1" customWidth="1"/>
    <col min="6406" max="6406" width="10.7109375" style="8" bestFit="1" customWidth="1"/>
    <col min="6407" max="6407" width="11.42578125" style="8" bestFit="1" customWidth="1"/>
    <col min="6408" max="6416" width="10.7109375" style="8" bestFit="1" customWidth="1"/>
    <col min="6417" max="6417" width="11.42578125" style="8" bestFit="1" customWidth="1"/>
    <col min="6418" max="6420" width="10.7109375" style="8" bestFit="1" customWidth="1"/>
    <col min="6421" max="6421" width="11.42578125" style="8" bestFit="1" customWidth="1"/>
    <col min="6422" max="6422" width="10.7109375" style="8" bestFit="1" customWidth="1"/>
    <col min="6423" max="6424" width="11.42578125" style="8" bestFit="1" customWidth="1"/>
    <col min="6425" max="6426" width="10.7109375" style="8" bestFit="1" customWidth="1"/>
    <col min="6427" max="6427" width="11.42578125" style="8" bestFit="1" customWidth="1"/>
    <col min="6428" max="6430" width="10.7109375" style="8" bestFit="1" customWidth="1"/>
    <col min="6431" max="6433" width="11.42578125" style="8" bestFit="1" customWidth="1"/>
    <col min="6434" max="6437" width="10.7109375" style="8" bestFit="1" customWidth="1"/>
    <col min="6438" max="6439" width="11.42578125" style="8" bestFit="1" customWidth="1"/>
    <col min="6440" max="6440" width="10.7109375" style="8" bestFit="1" customWidth="1"/>
    <col min="6441" max="6443" width="11.42578125" style="8" bestFit="1" customWidth="1"/>
    <col min="6444" max="6444" width="10.7109375" style="8" bestFit="1" customWidth="1"/>
    <col min="6445" max="6449" width="11.42578125" style="8" bestFit="1" customWidth="1"/>
    <col min="6450" max="6450" width="10.7109375" style="8" bestFit="1" customWidth="1"/>
    <col min="6451" max="6453" width="11.42578125" style="8" bestFit="1" customWidth="1"/>
    <col min="6454" max="6454" width="10.7109375" style="8" bestFit="1" customWidth="1"/>
    <col min="6455" max="6455" width="11.42578125" style="8" bestFit="1" customWidth="1"/>
    <col min="6456" max="6457" width="10.7109375" style="8" bestFit="1" customWidth="1"/>
    <col min="6458" max="6458" width="11.42578125" style="8" bestFit="1" customWidth="1"/>
    <col min="6459" max="6459" width="10.7109375" style="8" bestFit="1" customWidth="1"/>
    <col min="6460" max="6460" width="11.42578125" style="8" bestFit="1" customWidth="1"/>
    <col min="6461" max="6461" width="10.7109375" style="8" bestFit="1" customWidth="1"/>
    <col min="6462" max="6462" width="11.42578125" style="8" bestFit="1" customWidth="1"/>
    <col min="6463" max="6463" width="10.7109375" style="8" bestFit="1" customWidth="1"/>
    <col min="6464" max="6465" width="11.42578125" style="8" bestFit="1" customWidth="1"/>
    <col min="6466" max="6656" width="9.140625" style="8"/>
    <col min="6657" max="6657" width="132.7109375" style="8" customWidth="1"/>
    <col min="6658" max="6658" width="15.140625" style="8" customWidth="1"/>
    <col min="6659" max="6660" width="10.7109375" style="8" bestFit="1" customWidth="1"/>
    <col min="6661" max="6661" width="11.42578125" style="8" bestFit="1" customWidth="1"/>
    <col min="6662" max="6662" width="10.7109375" style="8" bestFit="1" customWidth="1"/>
    <col min="6663" max="6663" width="11.42578125" style="8" bestFit="1" customWidth="1"/>
    <col min="6664" max="6672" width="10.7109375" style="8" bestFit="1" customWidth="1"/>
    <col min="6673" max="6673" width="11.42578125" style="8" bestFit="1" customWidth="1"/>
    <col min="6674" max="6676" width="10.7109375" style="8" bestFit="1" customWidth="1"/>
    <col min="6677" max="6677" width="11.42578125" style="8" bestFit="1" customWidth="1"/>
    <col min="6678" max="6678" width="10.7109375" style="8" bestFit="1" customWidth="1"/>
    <col min="6679" max="6680" width="11.42578125" style="8" bestFit="1" customWidth="1"/>
    <col min="6681" max="6682" width="10.7109375" style="8" bestFit="1" customWidth="1"/>
    <col min="6683" max="6683" width="11.42578125" style="8" bestFit="1" customWidth="1"/>
    <col min="6684" max="6686" width="10.7109375" style="8" bestFit="1" customWidth="1"/>
    <col min="6687" max="6689" width="11.42578125" style="8" bestFit="1" customWidth="1"/>
    <col min="6690" max="6693" width="10.7109375" style="8" bestFit="1" customWidth="1"/>
    <col min="6694" max="6695" width="11.42578125" style="8" bestFit="1" customWidth="1"/>
    <col min="6696" max="6696" width="10.7109375" style="8" bestFit="1" customWidth="1"/>
    <col min="6697" max="6699" width="11.42578125" style="8" bestFit="1" customWidth="1"/>
    <col min="6700" max="6700" width="10.7109375" style="8" bestFit="1" customWidth="1"/>
    <col min="6701" max="6705" width="11.42578125" style="8" bestFit="1" customWidth="1"/>
    <col min="6706" max="6706" width="10.7109375" style="8" bestFit="1" customWidth="1"/>
    <col min="6707" max="6709" width="11.42578125" style="8" bestFit="1" customWidth="1"/>
    <col min="6710" max="6710" width="10.7109375" style="8" bestFit="1" customWidth="1"/>
    <col min="6711" max="6711" width="11.42578125" style="8" bestFit="1" customWidth="1"/>
    <col min="6712" max="6713" width="10.7109375" style="8" bestFit="1" customWidth="1"/>
    <col min="6714" max="6714" width="11.42578125" style="8" bestFit="1" customWidth="1"/>
    <col min="6715" max="6715" width="10.7109375" style="8" bestFit="1" customWidth="1"/>
    <col min="6716" max="6716" width="11.42578125" style="8" bestFit="1" customWidth="1"/>
    <col min="6717" max="6717" width="10.7109375" style="8" bestFit="1" customWidth="1"/>
    <col min="6718" max="6718" width="11.42578125" style="8" bestFit="1" customWidth="1"/>
    <col min="6719" max="6719" width="10.7109375" style="8" bestFit="1" customWidth="1"/>
    <col min="6720" max="6721" width="11.42578125" style="8" bestFit="1" customWidth="1"/>
    <col min="6722" max="6912" width="9.140625" style="8"/>
    <col min="6913" max="6913" width="132.7109375" style="8" customWidth="1"/>
    <col min="6914" max="6914" width="15.140625" style="8" customWidth="1"/>
    <col min="6915" max="6916" width="10.7109375" style="8" bestFit="1" customWidth="1"/>
    <col min="6917" max="6917" width="11.42578125" style="8" bestFit="1" customWidth="1"/>
    <col min="6918" max="6918" width="10.7109375" style="8" bestFit="1" customWidth="1"/>
    <col min="6919" max="6919" width="11.42578125" style="8" bestFit="1" customWidth="1"/>
    <col min="6920" max="6928" width="10.7109375" style="8" bestFit="1" customWidth="1"/>
    <col min="6929" max="6929" width="11.42578125" style="8" bestFit="1" customWidth="1"/>
    <col min="6930" max="6932" width="10.7109375" style="8" bestFit="1" customWidth="1"/>
    <col min="6933" max="6933" width="11.42578125" style="8" bestFit="1" customWidth="1"/>
    <col min="6934" max="6934" width="10.7109375" style="8" bestFit="1" customWidth="1"/>
    <col min="6935" max="6936" width="11.42578125" style="8" bestFit="1" customWidth="1"/>
    <col min="6937" max="6938" width="10.7109375" style="8" bestFit="1" customWidth="1"/>
    <col min="6939" max="6939" width="11.42578125" style="8" bestFit="1" customWidth="1"/>
    <col min="6940" max="6942" width="10.7109375" style="8" bestFit="1" customWidth="1"/>
    <col min="6943" max="6945" width="11.42578125" style="8" bestFit="1" customWidth="1"/>
    <col min="6946" max="6949" width="10.7109375" style="8" bestFit="1" customWidth="1"/>
    <col min="6950" max="6951" width="11.42578125" style="8" bestFit="1" customWidth="1"/>
    <col min="6952" max="6952" width="10.7109375" style="8" bestFit="1" customWidth="1"/>
    <col min="6953" max="6955" width="11.42578125" style="8" bestFit="1" customWidth="1"/>
    <col min="6956" max="6956" width="10.7109375" style="8" bestFit="1" customWidth="1"/>
    <col min="6957" max="6961" width="11.42578125" style="8" bestFit="1" customWidth="1"/>
    <col min="6962" max="6962" width="10.7109375" style="8" bestFit="1" customWidth="1"/>
    <col min="6963" max="6965" width="11.42578125" style="8" bestFit="1" customWidth="1"/>
    <col min="6966" max="6966" width="10.7109375" style="8" bestFit="1" customWidth="1"/>
    <col min="6967" max="6967" width="11.42578125" style="8" bestFit="1" customWidth="1"/>
    <col min="6968" max="6969" width="10.7109375" style="8" bestFit="1" customWidth="1"/>
    <col min="6970" max="6970" width="11.42578125" style="8" bestFit="1" customWidth="1"/>
    <col min="6971" max="6971" width="10.7109375" style="8" bestFit="1" customWidth="1"/>
    <col min="6972" max="6972" width="11.42578125" style="8" bestFit="1" customWidth="1"/>
    <col min="6973" max="6973" width="10.7109375" style="8" bestFit="1" customWidth="1"/>
    <col min="6974" max="6974" width="11.42578125" style="8" bestFit="1" customWidth="1"/>
    <col min="6975" max="6975" width="10.7109375" style="8" bestFit="1" customWidth="1"/>
    <col min="6976" max="6977" width="11.42578125" style="8" bestFit="1" customWidth="1"/>
    <col min="6978" max="7168" width="9.140625" style="8"/>
    <col min="7169" max="7169" width="132.7109375" style="8" customWidth="1"/>
    <col min="7170" max="7170" width="15.140625" style="8" customWidth="1"/>
    <col min="7171" max="7172" width="10.7109375" style="8" bestFit="1" customWidth="1"/>
    <col min="7173" max="7173" width="11.42578125" style="8" bestFit="1" customWidth="1"/>
    <col min="7174" max="7174" width="10.7109375" style="8" bestFit="1" customWidth="1"/>
    <col min="7175" max="7175" width="11.42578125" style="8" bestFit="1" customWidth="1"/>
    <col min="7176" max="7184" width="10.7109375" style="8" bestFit="1" customWidth="1"/>
    <col min="7185" max="7185" width="11.42578125" style="8" bestFit="1" customWidth="1"/>
    <col min="7186" max="7188" width="10.7109375" style="8" bestFit="1" customWidth="1"/>
    <col min="7189" max="7189" width="11.42578125" style="8" bestFit="1" customWidth="1"/>
    <col min="7190" max="7190" width="10.7109375" style="8" bestFit="1" customWidth="1"/>
    <col min="7191" max="7192" width="11.42578125" style="8" bestFit="1" customWidth="1"/>
    <col min="7193" max="7194" width="10.7109375" style="8" bestFit="1" customWidth="1"/>
    <col min="7195" max="7195" width="11.42578125" style="8" bestFit="1" customWidth="1"/>
    <col min="7196" max="7198" width="10.7109375" style="8" bestFit="1" customWidth="1"/>
    <col min="7199" max="7201" width="11.42578125" style="8" bestFit="1" customWidth="1"/>
    <col min="7202" max="7205" width="10.7109375" style="8" bestFit="1" customWidth="1"/>
    <col min="7206" max="7207" width="11.42578125" style="8" bestFit="1" customWidth="1"/>
    <col min="7208" max="7208" width="10.7109375" style="8" bestFit="1" customWidth="1"/>
    <col min="7209" max="7211" width="11.42578125" style="8" bestFit="1" customWidth="1"/>
    <col min="7212" max="7212" width="10.7109375" style="8" bestFit="1" customWidth="1"/>
    <col min="7213" max="7217" width="11.42578125" style="8" bestFit="1" customWidth="1"/>
    <col min="7218" max="7218" width="10.7109375" style="8" bestFit="1" customWidth="1"/>
    <col min="7219" max="7221" width="11.42578125" style="8" bestFit="1" customWidth="1"/>
    <col min="7222" max="7222" width="10.7109375" style="8" bestFit="1" customWidth="1"/>
    <col min="7223" max="7223" width="11.42578125" style="8" bestFit="1" customWidth="1"/>
    <col min="7224" max="7225" width="10.7109375" style="8" bestFit="1" customWidth="1"/>
    <col min="7226" max="7226" width="11.42578125" style="8" bestFit="1" customWidth="1"/>
    <col min="7227" max="7227" width="10.7109375" style="8" bestFit="1" customWidth="1"/>
    <col min="7228" max="7228" width="11.42578125" style="8" bestFit="1" customWidth="1"/>
    <col min="7229" max="7229" width="10.7109375" style="8" bestFit="1" customWidth="1"/>
    <col min="7230" max="7230" width="11.42578125" style="8" bestFit="1" customWidth="1"/>
    <col min="7231" max="7231" width="10.7109375" style="8" bestFit="1" customWidth="1"/>
    <col min="7232" max="7233" width="11.42578125" style="8" bestFit="1" customWidth="1"/>
    <col min="7234" max="7424" width="9.140625" style="8"/>
    <col min="7425" max="7425" width="132.7109375" style="8" customWidth="1"/>
    <col min="7426" max="7426" width="15.140625" style="8" customWidth="1"/>
    <col min="7427" max="7428" width="10.7109375" style="8" bestFit="1" customWidth="1"/>
    <col min="7429" max="7429" width="11.42578125" style="8" bestFit="1" customWidth="1"/>
    <col min="7430" max="7430" width="10.7109375" style="8" bestFit="1" customWidth="1"/>
    <col min="7431" max="7431" width="11.42578125" style="8" bestFit="1" customWidth="1"/>
    <col min="7432" max="7440" width="10.7109375" style="8" bestFit="1" customWidth="1"/>
    <col min="7441" max="7441" width="11.42578125" style="8" bestFit="1" customWidth="1"/>
    <col min="7442" max="7444" width="10.7109375" style="8" bestFit="1" customWidth="1"/>
    <col min="7445" max="7445" width="11.42578125" style="8" bestFit="1" customWidth="1"/>
    <col min="7446" max="7446" width="10.7109375" style="8" bestFit="1" customWidth="1"/>
    <col min="7447" max="7448" width="11.42578125" style="8" bestFit="1" customWidth="1"/>
    <col min="7449" max="7450" width="10.7109375" style="8" bestFit="1" customWidth="1"/>
    <col min="7451" max="7451" width="11.42578125" style="8" bestFit="1" customWidth="1"/>
    <col min="7452" max="7454" width="10.7109375" style="8" bestFit="1" customWidth="1"/>
    <col min="7455" max="7457" width="11.42578125" style="8" bestFit="1" customWidth="1"/>
    <col min="7458" max="7461" width="10.7109375" style="8" bestFit="1" customWidth="1"/>
    <col min="7462" max="7463" width="11.42578125" style="8" bestFit="1" customWidth="1"/>
    <col min="7464" max="7464" width="10.7109375" style="8" bestFit="1" customWidth="1"/>
    <col min="7465" max="7467" width="11.42578125" style="8" bestFit="1" customWidth="1"/>
    <col min="7468" max="7468" width="10.7109375" style="8" bestFit="1" customWidth="1"/>
    <col min="7469" max="7473" width="11.42578125" style="8" bestFit="1" customWidth="1"/>
    <col min="7474" max="7474" width="10.7109375" style="8" bestFit="1" customWidth="1"/>
    <col min="7475" max="7477" width="11.42578125" style="8" bestFit="1" customWidth="1"/>
    <col min="7478" max="7478" width="10.7109375" style="8" bestFit="1" customWidth="1"/>
    <col min="7479" max="7479" width="11.42578125" style="8" bestFit="1" customWidth="1"/>
    <col min="7480" max="7481" width="10.7109375" style="8" bestFit="1" customWidth="1"/>
    <col min="7482" max="7482" width="11.42578125" style="8" bestFit="1" customWidth="1"/>
    <col min="7483" max="7483" width="10.7109375" style="8" bestFit="1" customWidth="1"/>
    <col min="7484" max="7484" width="11.42578125" style="8" bestFit="1" customWidth="1"/>
    <col min="7485" max="7485" width="10.7109375" style="8" bestFit="1" customWidth="1"/>
    <col min="7486" max="7486" width="11.42578125" style="8" bestFit="1" customWidth="1"/>
    <col min="7487" max="7487" width="10.7109375" style="8" bestFit="1" customWidth="1"/>
    <col min="7488" max="7489" width="11.42578125" style="8" bestFit="1" customWidth="1"/>
    <col min="7490" max="7680" width="9.140625" style="8"/>
    <col min="7681" max="7681" width="132.7109375" style="8" customWidth="1"/>
    <col min="7682" max="7682" width="15.140625" style="8" customWidth="1"/>
    <col min="7683" max="7684" width="10.7109375" style="8" bestFit="1" customWidth="1"/>
    <col min="7685" max="7685" width="11.42578125" style="8" bestFit="1" customWidth="1"/>
    <col min="7686" max="7686" width="10.7109375" style="8" bestFit="1" customWidth="1"/>
    <col min="7687" max="7687" width="11.42578125" style="8" bestFit="1" customWidth="1"/>
    <col min="7688" max="7696" width="10.7109375" style="8" bestFit="1" customWidth="1"/>
    <col min="7697" max="7697" width="11.42578125" style="8" bestFit="1" customWidth="1"/>
    <col min="7698" max="7700" width="10.7109375" style="8" bestFit="1" customWidth="1"/>
    <col min="7701" max="7701" width="11.42578125" style="8" bestFit="1" customWidth="1"/>
    <col min="7702" max="7702" width="10.7109375" style="8" bestFit="1" customWidth="1"/>
    <col min="7703" max="7704" width="11.42578125" style="8" bestFit="1" customWidth="1"/>
    <col min="7705" max="7706" width="10.7109375" style="8" bestFit="1" customWidth="1"/>
    <col min="7707" max="7707" width="11.42578125" style="8" bestFit="1" customWidth="1"/>
    <col min="7708" max="7710" width="10.7109375" style="8" bestFit="1" customWidth="1"/>
    <col min="7711" max="7713" width="11.42578125" style="8" bestFit="1" customWidth="1"/>
    <col min="7714" max="7717" width="10.7109375" style="8" bestFit="1" customWidth="1"/>
    <col min="7718" max="7719" width="11.42578125" style="8" bestFit="1" customWidth="1"/>
    <col min="7720" max="7720" width="10.7109375" style="8" bestFit="1" customWidth="1"/>
    <col min="7721" max="7723" width="11.42578125" style="8" bestFit="1" customWidth="1"/>
    <col min="7724" max="7724" width="10.7109375" style="8" bestFit="1" customWidth="1"/>
    <col min="7725" max="7729" width="11.42578125" style="8" bestFit="1" customWidth="1"/>
    <col min="7730" max="7730" width="10.7109375" style="8" bestFit="1" customWidth="1"/>
    <col min="7731" max="7733" width="11.42578125" style="8" bestFit="1" customWidth="1"/>
    <col min="7734" max="7734" width="10.7109375" style="8" bestFit="1" customWidth="1"/>
    <col min="7735" max="7735" width="11.42578125" style="8" bestFit="1" customWidth="1"/>
    <col min="7736" max="7737" width="10.7109375" style="8" bestFit="1" customWidth="1"/>
    <col min="7738" max="7738" width="11.42578125" style="8" bestFit="1" customWidth="1"/>
    <col min="7739" max="7739" width="10.7109375" style="8" bestFit="1" customWidth="1"/>
    <col min="7740" max="7740" width="11.42578125" style="8" bestFit="1" customWidth="1"/>
    <col min="7741" max="7741" width="10.7109375" style="8" bestFit="1" customWidth="1"/>
    <col min="7742" max="7742" width="11.42578125" style="8" bestFit="1" customWidth="1"/>
    <col min="7743" max="7743" width="10.7109375" style="8" bestFit="1" customWidth="1"/>
    <col min="7744" max="7745" width="11.42578125" style="8" bestFit="1" customWidth="1"/>
    <col min="7746" max="7936" width="9.140625" style="8"/>
    <col min="7937" max="7937" width="132.7109375" style="8" customWidth="1"/>
    <col min="7938" max="7938" width="15.140625" style="8" customWidth="1"/>
    <col min="7939" max="7940" width="10.7109375" style="8" bestFit="1" customWidth="1"/>
    <col min="7941" max="7941" width="11.42578125" style="8" bestFit="1" customWidth="1"/>
    <col min="7942" max="7942" width="10.7109375" style="8" bestFit="1" customWidth="1"/>
    <col min="7943" max="7943" width="11.42578125" style="8" bestFit="1" customWidth="1"/>
    <col min="7944" max="7952" width="10.7109375" style="8" bestFit="1" customWidth="1"/>
    <col min="7953" max="7953" width="11.42578125" style="8" bestFit="1" customWidth="1"/>
    <col min="7954" max="7956" width="10.7109375" style="8" bestFit="1" customWidth="1"/>
    <col min="7957" max="7957" width="11.42578125" style="8" bestFit="1" customWidth="1"/>
    <col min="7958" max="7958" width="10.7109375" style="8" bestFit="1" customWidth="1"/>
    <col min="7959" max="7960" width="11.42578125" style="8" bestFit="1" customWidth="1"/>
    <col min="7961" max="7962" width="10.7109375" style="8" bestFit="1" customWidth="1"/>
    <col min="7963" max="7963" width="11.42578125" style="8" bestFit="1" customWidth="1"/>
    <col min="7964" max="7966" width="10.7109375" style="8" bestFit="1" customWidth="1"/>
    <col min="7967" max="7969" width="11.42578125" style="8" bestFit="1" customWidth="1"/>
    <col min="7970" max="7973" width="10.7109375" style="8" bestFit="1" customWidth="1"/>
    <col min="7974" max="7975" width="11.42578125" style="8" bestFit="1" customWidth="1"/>
    <col min="7976" max="7976" width="10.7109375" style="8" bestFit="1" customWidth="1"/>
    <col min="7977" max="7979" width="11.42578125" style="8" bestFit="1" customWidth="1"/>
    <col min="7980" max="7980" width="10.7109375" style="8" bestFit="1" customWidth="1"/>
    <col min="7981" max="7985" width="11.42578125" style="8" bestFit="1" customWidth="1"/>
    <col min="7986" max="7986" width="10.7109375" style="8" bestFit="1" customWidth="1"/>
    <col min="7987" max="7989" width="11.42578125" style="8" bestFit="1" customWidth="1"/>
    <col min="7990" max="7990" width="10.7109375" style="8" bestFit="1" customWidth="1"/>
    <col min="7991" max="7991" width="11.42578125" style="8" bestFit="1" customWidth="1"/>
    <col min="7992" max="7993" width="10.7109375" style="8" bestFit="1" customWidth="1"/>
    <col min="7994" max="7994" width="11.42578125" style="8" bestFit="1" customWidth="1"/>
    <col min="7995" max="7995" width="10.7109375" style="8" bestFit="1" customWidth="1"/>
    <col min="7996" max="7996" width="11.42578125" style="8" bestFit="1" customWidth="1"/>
    <col min="7997" max="7997" width="10.7109375" style="8" bestFit="1" customWidth="1"/>
    <col min="7998" max="7998" width="11.42578125" style="8" bestFit="1" customWidth="1"/>
    <col min="7999" max="7999" width="10.7109375" style="8" bestFit="1" customWidth="1"/>
    <col min="8000" max="8001" width="11.42578125" style="8" bestFit="1" customWidth="1"/>
    <col min="8002" max="8192" width="9.140625" style="8"/>
    <col min="8193" max="8193" width="132.7109375" style="8" customWidth="1"/>
    <col min="8194" max="8194" width="15.140625" style="8" customWidth="1"/>
    <col min="8195" max="8196" width="10.7109375" style="8" bestFit="1" customWidth="1"/>
    <col min="8197" max="8197" width="11.42578125" style="8" bestFit="1" customWidth="1"/>
    <col min="8198" max="8198" width="10.7109375" style="8" bestFit="1" customWidth="1"/>
    <col min="8199" max="8199" width="11.42578125" style="8" bestFit="1" customWidth="1"/>
    <col min="8200" max="8208" width="10.7109375" style="8" bestFit="1" customWidth="1"/>
    <col min="8209" max="8209" width="11.42578125" style="8" bestFit="1" customWidth="1"/>
    <col min="8210" max="8212" width="10.7109375" style="8" bestFit="1" customWidth="1"/>
    <col min="8213" max="8213" width="11.42578125" style="8" bestFit="1" customWidth="1"/>
    <col min="8214" max="8214" width="10.7109375" style="8" bestFit="1" customWidth="1"/>
    <col min="8215" max="8216" width="11.42578125" style="8" bestFit="1" customWidth="1"/>
    <col min="8217" max="8218" width="10.7109375" style="8" bestFit="1" customWidth="1"/>
    <col min="8219" max="8219" width="11.42578125" style="8" bestFit="1" customWidth="1"/>
    <col min="8220" max="8222" width="10.7109375" style="8" bestFit="1" customWidth="1"/>
    <col min="8223" max="8225" width="11.42578125" style="8" bestFit="1" customWidth="1"/>
    <col min="8226" max="8229" width="10.7109375" style="8" bestFit="1" customWidth="1"/>
    <col min="8230" max="8231" width="11.42578125" style="8" bestFit="1" customWidth="1"/>
    <col min="8232" max="8232" width="10.7109375" style="8" bestFit="1" customWidth="1"/>
    <col min="8233" max="8235" width="11.42578125" style="8" bestFit="1" customWidth="1"/>
    <col min="8236" max="8236" width="10.7109375" style="8" bestFit="1" customWidth="1"/>
    <col min="8237" max="8241" width="11.42578125" style="8" bestFit="1" customWidth="1"/>
    <col min="8242" max="8242" width="10.7109375" style="8" bestFit="1" customWidth="1"/>
    <col min="8243" max="8245" width="11.42578125" style="8" bestFit="1" customWidth="1"/>
    <col min="8246" max="8246" width="10.7109375" style="8" bestFit="1" customWidth="1"/>
    <col min="8247" max="8247" width="11.42578125" style="8" bestFit="1" customWidth="1"/>
    <col min="8248" max="8249" width="10.7109375" style="8" bestFit="1" customWidth="1"/>
    <col min="8250" max="8250" width="11.42578125" style="8" bestFit="1" customWidth="1"/>
    <col min="8251" max="8251" width="10.7109375" style="8" bestFit="1" customWidth="1"/>
    <col min="8252" max="8252" width="11.42578125" style="8" bestFit="1" customWidth="1"/>
    <col min="8253" max="8253" width="10.7109375" style="8" bestFit="1" customWidth="1"/>
    <col min="8254" max="8254" width="11.42578125" style="8" bestFit="1" customWidth="1"/>
    <col min="8255" max="8255" width="10.7109375" style="8" bestFit="1" customWidth="1"/>
    <col min="8256" max="8257" width="11.42578125" style="8" bestFit="1" customWidth="1"/>
    <col min="8258" max="8448" width="9.140625" style="8"/>
    <col min="8449" max="8449" width="132.7109375" style="8" customWidth="1"/>
    <col min="8450" max="8450" width="15.140625" style="8" customWidth="1"/>
    <col min="8451" max="8452" width="10.7109375" style="8" bestFit="1" customWidth="1"/>
    <col min="8453" max="8453" width="11.42578125" style="8" bestFit="1" customWidth="1"/>
    <col min="8454" max="8454" width="10.7109375" style="8" bestFit="1" customWidth="1"/>
    <col min="8455" max="8455" width="11.42578125" style="8" bestFit="1" customWidth="1"/>
    <col min="8456" max="8464" width="10.7109375" style="8" bestFit="1" customWidth="1"/>
    <col min="8465" max="8465" width="11.42578125" style="8" bestFit="1" customWidth="1"/>
    <col min="8466" max="8468" width="10.7109375" style="8" bestFit="1" customWidth="1"/>
    <col min="8469" max="8469" width="11.42578125" style="8" bestFit="1" customWidth="1"/>
    <col min="8470" max="8470" width="10.7109375" style="8" bestFit="1" customWidth="1"/>
    <col min="8471" max="8472" width="11.42578125" style="8" bestFit="1" customWidth="1"/>
    <col min="8473" max="8474" width="10.7109375" style="8" bestFit="1" customWidth="1"/>
    <col min="8475" max="8475" width="11.42578125" style="8" bestFit="1" customWidth="1"/>
    <col min="8476" max="8478" width="10.7109375" style="8" bestFit="1" customWidth="1"/>
    <col min="8479" max="8481" width="11.42578125" style="8" bestFit="1" customWidth="1"/>
    <col min="8482" max="8485" width="10.7109375" style="8" bestFit="1" customWidth="1"/>
    <col min="8486" max="8487" width="11.42578125" style="8" bestFit="1" customWidth="1"/>
    <col min="8488" max="8488" width="10.7109375" style="8" bestFit="1" customWidth="1"/>
    <col min="8489" max="8491" width="11.42578125" style="8" bestFit="1" customWidth="1"/>
    <col min="8492" max="8492" width="10.7109375" style="8" bestFit="1" customWidth="1"/>
    <col min="8493" max="8497" width="11.42578125" style="8" bestFit="1" customWidth="1"/>
    <col min="8498" max="8498" width="10.7109375" style="8" bestFit="1" customWidth="1"/>
    <col min="8499" max="8501" width="11.42578125" style="8" bestFit="1" customWidth="1"/>
    <col min="8502" max="8502" width="10.7109375" style="8" bestFit="1" customWidth="1"/>
    <col min="8503" max="8503" width="11.42578125" style="8" bestFit="1" customWidth="1"/>
    <col min="8504" max="8505" width="10.7109375" style="8" bestFit="1" customWidth="1"/>
    <col min="8506" max="8506" width="11.42578125" style="8" bestFit="1" customWidth="1"/>
    <col min="8507" max="8507" width="10.7109375" style="8" bestFit="1" customWidth="1"/>
    <col min="8508" max="8508" width="11.42578125" style="8" bestFit="1" customWidth="1"/>
    <col min="8509" max="8509" width="10.7109375" style="8" bestFit="1" customWidth="1"/>
    <col min="8510" max="8510" width="11.42578125" style="8" bestFit="1" customWidth="1"/>
    <col min="8511" max="8511" width="10.7109375" style="8" bestFit="1" customWidth="1"/>
    <col min="8512" max="8513" width="11.42578125" style="8" bestFit="1" customWidth="1"/>
    <col min="8514" max="8704" width="9.140625" style="8"/>
    <col min="8705" max="8705" width="132.7109375" style="8" customWidth="1"/>
    <col min="8706" max="8706" width="15.140625" style="8" customWidth="1"/>
    <col min="8707" max="8708" width="10.7109375" style="8" bestFit="1" customWidth="1"/>
    <col min="8709" max="8709" width="11.42578125" style="8" bestFit="1" customWidth="1"/>
    <col min="8710" max="8710" width="10.7109375" style="8" bestFit="1" customWidth="1"/>
    <col min="8711" max="8711" width="11.42578125" style="8" bestFit="1" customWidth="1"/>
    <col min="8712" max="8720" width="10.7109375" style="8" bestFit="1" customWidth="1"/>
    <col min="8721" max="8721" width="11.42578125" style="8" bestFit="1" customWidth="1"/>
    <col min="8722" max="8724" width="10.7109375" style="8" bestFit="1" customWidth="1"/>
    <col min="8725" max="8725" width="11.42578125" style="8" bestFit="1" customWidth="1"/>
    <col min="8726" max="8726" width="10.7109375" style="8" bestFit="1" customWidth="1"/>
    <col min="8727" max="8728" width="11.42578125" style="8" bestFit="1" customWidth="1"/>
    <col min="8729" max="8730" width="10.7109375" style="8" bestFit="1" customWidth="1"/>
    <col min="8731" max="8731" width="11.42578125" style="8" bestFit="1" customWidth="1"/>
    <col min="8732" max="8734" width="10.7109375" style="8" bestFit="1" customWidth="1"/>
    <col min="8735" max="8737" width="11.42578125" style="8" bestFit="1" customWidth="1"/>
    <col min="8738" max="8741" width="10.7109375" style="8" bestFit="1" customWidth="1"/>
    <col min="8742" max="8743" width="11.42578125" style="8" bestFit="1" customWidth="1"/>
    <col min="8744" max="8744" width="10.7109375" style="8" bestFit="1" customWidth="1"/>
    <col min="8745" max="8747" width="11.42578125" style="8" bestFit="1" customWidth="1"/>
    <col min="8748" max="8748" width="10.7109375" style="8" bestFit="1" customWidth="1"/>
    <col min="8749" max="8753" width="11.42578125" style="8" bestFit="1" customWidth="1"/>
    <col min="8754" max="8754" width="10.7109375" style="8" bestFit="1" customWidth="1"/>
    <col min="8755" max="8757" width="11.42578125" style="8" bestFit="1" customWidth="1"/>
    <col min="8758" max="8758" width="10.7109375" style="8" bestFit="1" customWidth="1"/>
    <col min="8759" max="8759" width="11.42578125" style="8" bestFit="1" customWidth="1"/>
    <col min="8760" max="8761" width="10.7109375" style="8" bestFit="1" customWidth="1"/>
    <col min="8762" max="8762" width="11.42578125" style="8" bestFit="1" customWidth="1"/>
    <col min="8763" max="8763" width="10.7109375" style="8" bestFit="1" customWidth="1"/>
    <col min="8764" max="8764" width="11.42578125" style="8" bestFit="1" customWidth="1"/>
    <col min="8765" max="8765" width="10.7109375" style="8" bestFit="1" customWidth="1"/>
    <col min="8766" max="8766" width="11.42578125" style="8" bestFit="1" customWidth="1"/>
    <col min="8767" max="8767" width="10.7109375" style="8" bestFit="1" customWidth="1"/>
    <col min="8768" max="8769" width="11.42578125" style="8" bestFit="1" customWidth="1"/>
    <col min="8770" max="8960" width="9.140625" style="8"/>
    <col min="8961" max="8961" width="132.7109375" style="8" customWidth="1"/>
    <col min="8962" max="8962" width="15.140625" style="8" customWidth="1"/>
    <col min="8963" max="8964" width="10.7109375" style="8" bestFit="1" customWidth="1"/>
    <col min="8965" max="8965" width="11.42578125" style="8" bestFit="1" customWidth="1"/>
    <col min="8966" max="8966" width="10.7109375" style="8" bestFit="1" customWidth="1"/>
    <col min="8967" max="8967" width="11.42578125" style="8" bestFit="1" customWidth="1"/>
    <col min="8968" max="8976" width="10.7109375" style="8" bestFit="1" customWidth="1"/>
    <col min="8977" max="8977" width="11.42578125" style="8" bestFit="1" customWidth="1"/>
    <col min="8978" max="8980" width="10.7109375" style="8" bestFit="1" customWidth="1"/>
    <col min="8981" max="8981" width="11.42578125" style="8" bestFit="1" customWidth="1"/>
    <col min="8982" max="8982" width="10.7109375" style="8" bestFit="1" customWidth="1"/>
    <col min="8983" max="8984" width="11.42578125" style="8" bestFit="1" customWidth="1"/>
    <col min="8985" max="8986" width="10.7109375" style="8" bestFit="1" customWidth="1"/>
    <col min="8987" max="8987" width="11.42578125" style="8" bestFit="1" customWidth="1"/>
    <col min="8988" max="8990" width="10.7109375" style="8" bestFit="1" customWidth="1"/>
    <col min="8991" max="8993" width="11.42578125" style="8" bestFit="1" customWidth="1"/>
    <col min="8994" max="8997" width="10.7109375" style="8" bestFit="1" customWidth="1"/>
    <col min="8998" max="8999" width="11.42578125" style="8" bestFit="1" customWidth="1"/>
    <col min="9000" max="9000" width="10.7109375" style="8" bestFit="1" customWidth="1"/>
    <col min="9001" max="9003" width="11.42578125" style="8" bestFit="1" customWidth="1"/>
    <col min="9004" max="9004" width="10.7109375" style="8" bestFit="1" customWidth="1"/>
    <col min="9005" max="9009" width="11.42578125" style="8" bestFit="1" customWidth="1"/>
    <col min="9010" max="9010" width="10.7109375" style="8" bestFit="1" customWidth="1"/>
    <col min="9011" max="9013" width="11.42578125" style="8" bestFit="1" customWidth="1"/>
    <col min="9014" max="9014" width="10.7109375" style="8" bestFit="1" customWidth="1"/>
    <col min="9015" max="9015" width="11.42578125" style="8" bestFit="1" customWidth="1"/>
    <col min="9016" max="9017" width="10.7109375" style="8" bestFit="1" customWidth="1"/>
    <col min="9018" max="9018" width="11.42578125" style="8" bestFit="1" customWidth="1"/>
    <col min="9019" max="9019" width="10.7109375" style="8" bestFit="1" customWidth="1"/>
    <col min="9020" max="9020" width="11.42578125" style="8" bestFit="1" customWidth="1"/>
    <col min="9021" max="9021" width="10.7109375" style="8" bestFit="1" customWidth="1"/>
    <col min="9022" max="9022" width="11.42578125" style="8" bestFit="1" customWidth="1"/>
    <col min="9023" max="9023" width="10.7109375" style="8" bestFit="1" customWidth="1"/>
    <col min="9024" max="9025" width="11.42578125" style="8" bestFit="1" customWidth="1"/>
    <col min="9026" max="9216" width="9.140625" style="8"/>
    <col min="9217" max="9217" width="132.7109375" style="8" customWidth="1"/>
    <col min="9218" max="9218" width="15.140625" style="8" customWidth="1"/>
    <col min="9219" max="9220" width="10.7109375" style="8" bestFit="1" customWidth="1"/>
    <col min="9221" max="9221" width="11.42578125" style="8" bestFit="1" customWidth="1"/>
    <col min="9222" max="9222" width="10.7109375" style="8" bestFit="1" customWidth="1"/>
    <col min="9223" max="9223" width="11.42578125" style="8" bestFit="1" customWidth="1"/>
    <col min="9224" max="9232" width="10.7109375" style="8" bestFit="1" customWidth="1"/>
    <col min="9233" max="9233" width="11.42578125" style="8" bestFit="1" customWidth="1"/>
    <col min="9234" max="9236" width="10.7109375" style="8" bestFit="1" customWidth="1"/>
    <col min="9237" max="9237" width="11.42578125" style="8" bestFit="1" customWidth="1"/>
    <col min="9238" max="9238" width="10.7109375" style="8" bestFit="1" customWidth="1"/>
    <col min="9239" max="9240" width="11.42578125" style="8" bestFit="1" customWidth="1"/>
    <col min="9241" max="9242" width="10.7109375" style="8" bestFit="1" customWidth="1"/>
    <col min="9243" max="9243" width="11.42578125" style="8" bestFit="1" customWidth="1"/>
    <col min="9244" max="9246" width="10.7109375" style="8" bestFit="1" customWidth="1"/>
    <col min="9247" max="9249" width="11.42578125" style="8" bestFit="1" customWidth="1"/>
    <col min="9250" max="9253" width="10.7109375" style="8" bestFit="1" customWidth="1"/>
    <col min="9254" max="9255" width="11.42578125" style="8" bestFit="1" customWidth="1"/>
    <col min="9256" max="9256" width="10.7109375" style="8" bestFit="1" customWidth="1"/>
    <col min="9257" max="9259" width="11.42578125" style="8" bestFit="1" customWidth="1"/>
    <col min="9260" max="9260" width="10.7109375" style="8" bestFit="1" customWidth="1"/>
    <col min="9261" max="9265" width="11.42578125" style="8" bestFit="1" customWidth="1"/>
    <col min="9266" max="9266" width="10.7109375" style="8" bestFit="1" customWidth="1"/>
    <col min="9267" max="9269" width="11.42578125" style="8" bestFit="1" customWidth="1"/>
    <col min="9270" max="9270" width="10.7109375" style="8" bestFit="1" customWidth="1"/>
    <col min="9271" max="9271" width="11.42578125" style="8" bestFit="1" customWidth="1"/>
    <col min="9272" max="9273" width="10.7109375" style="8" bestFit="1" customWidth="1"/>
    <col min="9274" max="9274" width="11.42578125" style="8" bestFit="1" customWidth="1"/>
    <col min="9275" max="9275" width="10.7109375" style="8" bestFit="1" customWidth="1"/>
    <col min="9276" max="9276" width="11.42578125" style="8" bestFit="1" customWidth="1"/>
    <col min="9277" max="9277" width="10.7109375" style="8" bestFit="1" customWidth="1"/>
    <col min="9278" max="9278" width="11.42578125" style="8" bestFit="1" customWidth="1"/>
    <col min="9279" max="9279" width="10.7109375" style="8" bestFit="1" customWidth="1"/>
    <col min="9280" max="9281" width="11.42578125" style="8" bestFit="1" customWidth="1"/>
    <col min="9282" max="9472" width="9.140625" style="8"/>
    <col min="9473" max="9473" width="132.7109375" style="8" customWidth="1"/>
    <col min="9474" max="9474" width="15.140625" style="8" customWidth="1"/>
    <col min="9475" max="9476" width="10.7109375" style="8" bestFit="1" customWidth="1"/>
    <col min="9477" max="9477" width="11.42578125" style="8" bestFit="1" customWidth="1"/>
    <col min="9478" max="9478" width="10.7109375" style="8" bestFit="1" customWidth="1"/>
    <col min="9479" max="9479" width="11.42578125" style="8" bestFit="1" customWidth="1"/>
    <col min="9480" max="9488" width="10.7109375" style="8" bestFit="1" customWidth="1"/>
    <col min="9489" max="9489" width="11.42578125" style="8" bestFit="1" customWidth="1"/>
    <col min="9490" max="9492" width="10.7109375" style="8" bestFit="1" customWidth="1"/>
    <col min="9493" max="9493" width="11.42578125" style="8" bestFit="1" customWidth="1"/>
    <col min="9494" max="9494" width="10.7109375" style="8" bestFit="1" customWidth="1"/>
    <col min="9495" max="9496" width="11.42578125" style="8" bestFit="1" customWidth="1"/>
    <col min="9497" max="9498" width="10.7109375" style="8" bestFit="1" customWidth="1"/>
    <col min="9499" max="9499" width="11.42578125" style="8" bestFit="1" customWidth="1"/>
    <col min="9500" max="9502" width="10.7109375" style="8" bestFit="1" customWidth="1"/>
    <col min="9503" max="9505" width="11.42578125" style="8" bestFit="1" customWidth="1"/>
    <col min="9506" max="9509" width="10.7109375" style="8" bestFit="1" customWidth="1"/>
    <col min="9510" max="9511" width="11.42578125" style="8" bestFit="1" customWidth="1"/>
    <col min="9512" max="9512" width="10.7109375" style="8" bestFit="1" customWidth="1"/>
    <col min="9513" max="9515" width="11.42578125" style="8" bestFit="1" customWidth="1"/>
    <col min="9516" max="9516" width="10.7109375" style="8" bestFit="1" customWidth="1"/>
    <col min="9517" max="9521" width="11.42578125" style="8" bestFit="1" customWidth="1"/>
    <col min="9522" max="9522" width="10.7109375" style="8" bestFit="1" customWidth="1"/>
    <col min="9523" max="9525" width="11.42578125" style="8" bestFit="1" customWidth="1"/>
    <col min="9526" max="9526" width="10.7109375" style="8" bestFit="1" customWidth="1"/>
    <col min="9527" max="9527" width="11.42578125" style="8" bestFit="1" customWidth="1"/>
    <col min="9528" max="9529" width="10.7109375" style="8" bestFit="1" customWidth="1"/>
    <col min="9530" max="9530" width="11.42578125" style="8" bestFit="1" customWidth="1"/>
    <col min="9531" max="9531" width="10.7109375" style="8" bestFit="1" customWidth="1"/>
    <col min="9532" max="9532" width="11.42578125" style="8" bestFit="1" customWidth="1"/>
    <col min="9533" max="9533" width="10.7109375" style="8" bestFit="1" customWidth="1"/>
    <col min="9534" max="9534" width="11.42578125" style="8" bestFit="1" customWidth="1"/>
    <col min="9535" max="9535" width="10.7109375" style="8" bestFit="1" customWidth="1"/>
    <col min="9536" max="9537" width="11.42578125" style="8" bestFit="1" customWidth="1"/>
    <col min="9538" max="9728" width="9.140625" style="8"/>
    <col min="9729" max="9729" width="132.7109375" style="8" customWidth="1"/>
    <col min="9730" max="9730" width="15.140625" style="8" customWidth="1"/>
    <col min="9731" max="9732" width="10.7109375" style="8" bestFit="1" customWidth="1"/>
    <col min="9733" max="9733" width="11.42578125" style="8" bestFit="1" customWidth="1"/>
    <col min="9734" max="9734" width="10.7109375" style="8" bestFit="1" customWidth="1"/>
    <col min="9735" max="9735" width="11.42578125" style="8" bestFit="1" customWidth="1"/>
    <col min="9736" max="9744" width="10.7109375" style="8" bestFit="1" customWidth="1"/>
    <col min="9745" max="9745" width="11.42578125" style="8" bestFit="1" customWidth="1"/>
    <col min="9746" max="9748" width="10.7109375" style="8" bestFit="1" customWidth="1"/>
    <col min="9749" max="9749" width="11.42578125" style="8" bestFit="1" customWidth="1"/>
    <col min="9750" max="9750" width="10.7109375" style="8" bestFit="1" customWidth="1"/>
    <col min="9751" max="9752" width="11.42578125" style="8" bestFit="1" customWidth="1"/>
    <col min="9753" max="9754" width="10.7109375" style="8" bestFit="1" customWidth="1"/>
    <col min="9755" max="9755" width="11.42578125" style="8" bestFit="1" customWidth="1"/>
    <col min="9756" max="9758" width="10.7109375" style="8" bestFit="1" customWidth="1"/>
    <col min="9759" max="9761" width="11.42578125" style="8" bestFit="1" customWidth="1"/>
    <col min="9762" max="9765" width="10.7109375" style="8" bestFit="1" customWidth="1"/>
    <col min="9766" max="9767" width="11.42578125" style="8" bestFit="1" customWidth="1"/>
    <col min="9768" max="9768" width="10.7109375" style="8" bestFit="1" customWidth="1"/>
    <col min="9769" max="9771" width="11.42578125" style="8" bestFit="1" customWidth="1"/>
    <col min="9772" max="9772" width="10.7109375" style="8" bestFit="1" customWidth="1"/>
    <col min="9773" max="9777" width="11.42578125" style="8" bestFit="1" customWidth="1"/>
    <col min="9778" max="9778" width="10.7109375" style="8" bestFit="1" customWidth="1"/>
    <col min="9779" max="9781" width="11.42578125" style="8" bestFit="1" customWidth="1"/>
    <col min="9782" max="9782" width="10.7109375" style="8" bestFit="1" customWidth="1"/>
    <col min="9783" max="9783" width="11.42578125" style="8" bestFit="1" customWidth="1"/>
    <col min="9784" max="9785" width="10.7109375" style="8" bestFit="1" customWidth="1"/>
    <col min="9786" max="9786" width="11.42578125" style="8" bestFit="1" customWidth="1"/>
    <col min="9787" max="9787" width="10.7109375" style="8" bestFit="1" customWidth="1"/>
    <col min="9788" max="9788" width="11.42578125" style="8" bestFit="1" customWidth="1"/>
    <col min="9789" max="9789" width="10.7109375" style="8" bestFit="1" customWidth="1"/>
    <col min="9790" max="9790" width="11.42578125" style="8" bestFit="1" customWidth="1"/>
    <col min="9791" max="9791" width="10.7109375" style="8" bestFit="1" customWidth="1"/>
    <col min="9792" max="9793" width="11.42578125" style="8" bestFit="1" customWidth="1"/>
    <col min="9794" max="9984" width="9.140625" style="8"/>
    <col min="9985" max="9985" width="132.7109375" style="8" customWidth="1"/>
    <col min="9986" max="9986" width="15.140625" style="8" customWidth="1"/>
    <col min="9987" max="9988" width="10.7109375" style="8" bestFit="1" customWidth="1"/>
    <col min="9989" max="9989" width="11.42578125" style="8" bestFit="1" customWidth="1"/>
    <col min="9990" max="9990" width="10.7109375" style="8" bestFit="1" customWidth="1"/>
    <col min="9991" max="9991" width="11.42578125" style="8" bestFit="1" customWidth="1"/>
    <col min="9992" max="10000" width="10.7109375" style="8" bestFit="1" customWidth="1"/>
    <col min="10001" max="10001" width="11.42578125" style="8" bestFit="1" customWidth="1"/>
    <col min="10002" max="10004" width="10.7109375" style="8" bestFit="1" customWidth="1"/>
    <col min="10005" max="10005" width="11.42578125" style="8" bestFit="1" customWidth="1"/>
    <col min="10006" max="10006" width="10.7109375" style="8" bestFit="1" customWidth="1"/>
    <col min="10007" max="10008" width="11.42578125" style="8" bestFit="1" customWidth="1"/>
    <col min="10009" max="10010" width="10.7109375" style="8" bestFit="1" customWidth="1"/>
    <col min="10011" max="10011" width="11.42578125" style="8" bestFit="1" customWidth="1"/>
    <col min="10012" max="10014" width="10.7109375" style="8" bestFit="1" customWidth="1"/>
    <col min="10015" max="10017" width="11.42578125" style="8" bestFit="1" customWidth="1"/>
    <col min="10018" max="10021" width="10.7109375" style="8" bestFit="1" customWidth="1"/>
    <col min="10022" max="10023" width="11.42578125" style="8" bestFit="1" customWidth="1"/>
    <col min="10024" max="10024" width="10.7109375" style="8" bestFit="1" customWidth="1"/>
    <col min="10025" max="10027" width="11.42578125" style="8" bestFit="1" customWidth="1"/>
    <col min="10028" max="10028" width="10.7109375" style="8" bestFit="1" customWidth="1"/>
    <col min="10029" max="10033" width="11.42578125" style="8" bestFit="1" customWidth="1"/>
    <col min="10034" max="10034" width="10.7109375" style="8" bestFit="1" customWidth="1"/>
    <col min="10035" max="10037" width="11.42578125" style="8" bestFit="1" customWidth="1"/>
    <col min="10038" max="10038" width="10.7109375" style="8" bestFit="1" customWidth="1"/>
    <col min="10039" max="10039" width="11.42578125" style="8" bestFit="1" customWidth="1"/>
    <col min="10040" max="10041" width="10.7109375" style="8" bestFit="1" customWidth="1"/>
    <col min="10042" max="10042" width="11.42578125" style="8" bestFit="1" customWidth="1"/>
    <col min="10043" max="10043" width="10.7109375" style="8" bestFit="1" customWidth="1"/>
    <col min="10044" max="10044" width="11.42578125" style="8" bestFit="1" customWidth="1"/>
    <col min="10045" max="10045" width="10.7109375" style="8" bestFit="1" customWidth="1"/>
    <col min="10046" max="10046" width="11.42578125" style="8" bestFit="1" customWidth="1"/>
    <col min="10047" max="10047" width="10.7109375" style="8" bestFit="1" customWidth="1"/>
    <col min="10048" max="10049" width="11.42578125" style="8" bestFit="1" customWidth="1"/>
    <col min="10050" max="10240" width="9.140625" style="8"/>
    <col min="10241" max="10241" width="132.7109375" style="8" customWidth="1"/>
    <col min="10242" max="10242" width="15.140625" style="8" customWidth="1"/>
    <col min="10243" max="10244" width="10.7109375" style="8" bestFit="1" customWidth="1"/>
    <col min="10245" max="10245" width="11.42578125" style="8" bestFit="1" customWidth="1"/>
    <col min="10246" max="10246" width="10.7109375" style="8" bestFit="1" customWidth="1"/>
    <col min="10247" max="10247" width="11.42578125" style="8" bestFit="1" customWidth="1"/>
    <col min="10248" max="10256" width="10.7109375" style="8" bestFit="1" customWidth="1"/>
    <col min="10257" max="10257" width="11.42578125" style="8" bestFit="1" customWidth="1"/>
    <col min="10258" max="10260" width="10.7109375" style="8" bestFit="1" customWidth="1"/>
    <col min="10261" max="10261" width="11.42578125" style="8" bestFit="1" customWidth="1"/>
    <col min="10262" max="10262" width="10.7109375" style="8" bestFit="1" customWidth="1"/>
    <col min="10263" max="10264" width="11.42578125" style="8" bestFit="1" customWidth="1"/>
    <col min="10265" max="10266" width="10.7109375" style="8" bestFit="1" customWidth="1"/>
    <col min="10267" max="10267" width="11.42578125" style="8" bestFit="1" customWidth="1"/>
    <col min="10268" max="10270" width="10.7109375" style="8" bestFit="1" customWidth="1"/>
    <col min="10271" max="10273" width="11.42578125" style="8" bestFit="1" customWidth="1"/>
    <col min="10274" max="10277" width="10.7109375" style="8" bestFit="1" customWidth="1"/>
    <col min="10278" max="10279" width="11.42578125" style="8" bestFit="1" customWidth="1"/>
    <col min="10280" max="10280" width="10.7109375" style="8" bestFit="1" customWidth="1"/>
    <col min="10281" max="10283" width="11.42578125" style="8" bestFit="1" customWidth="1"/>
    <col min="10284" max="10284" width="10.7109375" style="8" bestFit="1" customWidth="1"/>
    <col min="10285" max="10289" width="11.42578125" style="8" bestFit="1" customWidth="1"/>
    <col min="10290" max="10290" width="10.7109375" style="8" bestFit="1" customWidth="1"/>
    <col min="10291" max="10293" width="11.42578125" style="8" bestFit="1" customWidth="1"/>
    <col min="10294" max="10294" width="10.7109375" style="8" bestFit="1" customWidth="1"/>
    <col min="10295" max="10295" width="11.42578125" style="8" bestFit="1" customWidth="1"/>
    <col min="10296" max="10297" width="10.7109375" style="8" bestFit="1" customWidth="1"/>
    <col min="10298" max="10298" width="11.42578125" style="8" bestFit="1" customWidth="1"/>
    <col min="10299" max="10299" width="10.7109375" style="8" bestFit="1" customWidth="1"/>
    <col min="10300" max="10300" width="11.42578125" style="8" bestFit="1" customWidth="1"/>
    <col min="10301" max="10301" width="10.7109375" style="8" bestFit="1" customWidth="1"/>
    <col min="10302" max="10302" width="11.42578125" style="8" bestFit="1" customWidth="1"/>
    <col min="10303" max="10303" width="10.7109375" style="8" bestFit="1" customWidth="1"/>
    <col min="10304" max="10305" width="11.42578125" style="8" bestFit="1" customWidth="1"/>
    <col min="10306" max="10496" width="9.140625" style="8"/>
    <col min="10497" max="10497" width="132.7109375" style="8" customWidth="1"/>
    <col min="10498" max="10498" width="15.140625" style="8" customWidth="1"/>
    <col min="10499" max="10500" width="10.7109375" style="8" bestFit="1" customWidth="1"/>
    <col min="10501" max="10501" width="11.42578125" style="8" bestFit="1" customWidth="1"/>
    <col min="10502" max="10502" width="10.7109375" style="8" bestFit="1" customWidth="1"/>
    <col min="10503" max="10503" width="11.42578125" style="8" bestFit="1" customWidth="1"/>
    <col min="10504" max="10512" width="10.7109375" style="8" bestFit="1" customWidth="1"/>
    <col min="10513" max="10513" width="11.42578125" style="8" bestFit="1" customWidth="1"/>
    <col min="10514" max="10516" width="10.7109375" style="8" bestFit="1" customWidth="1"/>
    <col min="10517" max="10517" width="11.42578125" style="8" bestFit="1" customWidth="1"/>
    <col min="10518" max="10518" width="10.7109375" style="8" bestFit="1" customWidth="1"/>
    <col min="10519" max="10520" width="11.42578125" style="8" bestFit="1" customWidth="1"/>
    <col min="10521" max="10522" width="10.7109375" style="8" bestFit="1" customWidth="1"/>
    <col min="10523" max="10523" width="11.42578125" style="8" bestFit="1" customWidth="1"/>
    <col min="10524" max="10526" width="10.7109375" style="8" bestFit="1" customWidth="1"/>
    <col min="10527" max="10529" width="11.42578125" style="8" bestFit="1" customWidth="1"/>
    <col min="10530" max="10533" width="10.7109375" style="8" bestFit="1" customWidth="1"/>
    <col min="10534" max="10535" width="11.42578125" style="8" bestFit="1" customWidth="1"/>
    <col min="10536" max="10536" width="10.7109375" style="8" bestFit="1" customWidth="1"/>
    <col min="10537" max="10539" width="11.42578125" style="8" bestFit="1" customWidth="1"/>
    <col min="10540" max="10540" width="10.7109375" style="8" bestFit="1" customWidth="1"/>
    <col min="10541" max="10545" width="11.42578125" style="8" bestFit="1" customWidth="1"/>
    <col min="10546" max="10546" width="10.7109375" style="8" bestFit="1" customWidth="1"/>
    <col min="10547" max="10549" width="11.42578125" style="8" bestFit="1" customWidth="1"/>
    <col min="10550" max="10550" width="10.7109375" style="8" bestFit="1" customWidth="1"/>
    <col min="10551" max="10551" width="11.42578125" style="8" bestFit="1" customWidth="1"/>
    <col min="10552" max="10553" width="10.7109375" style="8" bestFit="1" customWidth="1"/>
    <col min="10554" max="10554" width="11.42578125" style="8" bestFit="1" customWidth="1"/>
    <col min="10555" max="10555" width="10.7109375" style="8" bestFit="1" customWidth="1"/>
    <col min="10556" max="10556" width="11.42578125" style="8" bestFit="1" customWidth="1"/>
    <col min="10557" max="10557" width="10.7109375" style="8" bestFit="1" customWidth="1"/>
    <col min="10558" max="10558" width="11.42578125" style="8" bestFit="1" customWidth="1"/>
    <col min="10559" max="10559" width="10.7109375" style="8" bestFit="1" customWidth="1"/>
    <col min="10560" max="10561" width="11.42578125" style="8" bestFit="1" customWidth="1"/>
    <col min="10562" max="10752" width="9.140625" style="8"/>
    <col min="10753" max="10753" width="132.7109375" style="8" customWidth="1"/>
    <col min="10754" max="10754" width="15.140625" style="8" customWidth="1"/>
    <col min="10755" max="10756" width="10.7109375" style="8" bestFit="1" customWidth="1"/>
    <col min="10757" max="10757" width="11.42578125" style="8" bestFit="1" customWidth="1"/>
    <col min="10758" max="10758" width="10.7109375" style="8" bestFit="1" customWidth="1"/>
    <col min="10759" max="10759" width="11.42578125" style="8" bestFit="1" customWidth="1"/>
    <col min="10760" max="10768" width="10.7109375" style="8" bestFit="1" customWidth="1"/>
    <col min="10769" max="10769" width="11.42578125" style="8" bestFit="1" customWidth="1"/>
    <col min="10770" max="10772" width="10.7109375" style="8" bestFit="1" customWidth="1"/>
    <col min="10773" max="10773" width="11.42578125" style="8" bestFit="1" customWidth="1"/>
    <col min="10774" max="10774" width="10.7109375" style="8" bestFit="1" customWidth="1"/>
    <col min="10775" max="10776" width="11.42578125" style="8" bestFit="1" customWidth="1"/>
    <col min="10777" max="10778" width="10.7109375" style="8" bestFit="1" customWidth="1"/>
    <col min="10779" max="10779" width="11.42578125" style="8" bestFit="1" customWidth="1"/>
    <col min="10780" max="10782" width="10.7109375" style="8" bestFit="1" customWidth="1"/>
    <col min="10783" max="10785" width="11.42578125" style="8" bestFit="1" customWidth="1"/>
    <col min="10786" max="10789" width="10.7109375" style="8" bestFit="1" customWidth="1"/>
    <col min="10790" max="10791" width="11.42578125" style="8" bestFit="1" customWidth="1"/>
    <col min="10792" max="10792" width="10.7109375" style="8" bestFit="1" customWidth="1"/>
    <col min="10793" max="10795" width="11.42578125" style="8" bestFit="1" customWidth="1"/>
    <col min="10796" max="10796" width="10.7109375" style="8" bestFit="1" customWidth="1"/>
    <col min="10797" max="10801" width="11.42578125" style="8" bestFit="1" customWidth="1"/>
    <col min="10802" max="10802" width="10.7109375" style="8" bestFit="1" customWidth="1"/>
    <col min="10803" max="10805" width="11.42578125" style="8" bestFit="1" customWidth="1"/>
    <col min="10806" max="10806" width="10.7109375" style="8" bestFit="1" customWidth="1"/>
    <col min="10807" max="10807" width="11.42578125" style="8" bestFit="1" customWidth="1"/>
    <col min="10808" max="10809" width="10.7109375" style="8" bestFit="1" customWidth="1"/>
    <col min="10810" max="10810" width="11.42578125" style="8" bestFit="1" customWidth="1"/>
    <col min="10811" max="10811" width="10.7109375" style="8" bestFit="1" customWidth="1"/>
    <col min="10812" max="10812" width="11.42578125" style="8" bestFit="1" customWidth="1"/>
    <col min="10813" max="10813" width="10.7109375" style="8" bestFit="1" customWidth="1"/>
    <col min="10814" max="10814" width="11.42578125" style="8" bestFit="1" customWidth="1"/>
    <col min="10815" max="10815" width="10.7109375" style="8" bestFit="1" customWidth="1"/>
    <col min="10816" max="10817" width="11.42578125" style="8" bestFit="1" customWidth="1"/>
    <col min="10818" max="11008" width="9.140625" style="8"/>
    <col min="11009" max="11009" width="132.7109375" style="8" customWidth="1"/>
    <col min="11010" max="11010" width="15.140625" style="8" customWidth="1"/>
    <col min="11011" max="11012" width="10.7109375" style="8" bestFit="1" customWidth="1"/>
    <col min="11013" max="11013" width="11.42578125" style="8" bestFit="1" customWidth="1"/>
    <col min="11014" max="11014" width="10.7109375" style="8" bestFit="1" customWidth="1"/>
    <col min="11015" max="11015" width="11.42578125" style="8" bestFit="1" customWidth="1"/>
    <col min="11016" max="11024" width="10.7109375" style="8" bestFit="1" customWidth="1"/>
    <col min="11025" max="11025" width="11.42578125" style="8" bestFit="1" customWidth="1"/>
    <col min="11026" max="11028" width="10.7109375" style="8" bestFit="1" customWidth="1"/>
    <col min="11029" max="11029" width="11.42578125" style="8" bestFit="1" customWidth="1"/>
    <col min="11030" max="11030" width="10.7109375" style="8" bestFit="1" customWidth="1"/>
    <col min="11031" max="11032" width="11.42578125" style="8" bestFit="1" customWidth="1"/>
    <col min="11033" max="11034" width="10.7109375" style="8" bestFit="1" customWidth="1"/>
    <col min="11035" max="11035" width="11.42578125" style="8" bestFit="1" customWidth="1"/>
    <col min="11036" max="11038" width="10.7109375" style="8" bestFit="1" customWidth="1"/>
    <col min="11039" max="11041" width="11.42578125" style="8" bestFit="1" customWidth="1"/>
    <col min="11042" max="11045" width="10.7109375" style="8" bestFit="1" customWidth="1"/>
    <col min="11046" max="11047" width="11.42578125" style="8" bestFit="1" customWidth="1"/>
    <col min="11048" max="11048" width="10.7109375" style="8" bestFit="1" customWidth="1"/>
    <col min="11049" max="11051" width="11.42578125" style="8" bestFit="1" customWidth="1"/>
    <col min="11052" max="11052" width="10.7109375" style="8" bestFit="1" customWidth="1"/>
    <col min="11053" max="11057" width="11.42578125" style="8" bestFit="1" customWidth="1"/>
    <col min="11058" max="11058" width="10.7109375" style="8" bestFit="1" customWidth="1"/>
    <col min="11059" max="11061" width="11.42578125" style="8" bestFit="1" customWidth="1"/>
    <col min="11062" max="11062" width="10.7109375" style="8" bestFit="1" customWidth="1"/>
    <col min="11063" max="11063" width="11.42578125" style="8" bestFit="1" customWidth="1"/>
    <col min="11064" max="11065" width="10.7109375" style="8" bestFit="1" customWidth="1"/>
    <col min="11066" max="11066" width="11.42578125" style="8" bestFit="1" customWidth="1"/>
    <col min="11067" max="11067" width="10.7109375" style="8" bestFit="1" customWidth="1"/>
    <col min="11068" max="11068" width="11.42578125" style="8" bestFit="1" customWidth="1"/>
    <col min="11069" max="11069" width="10.7109375" style="8" bestFit="1" customWidth="1"/>
    <col min="11070" max="11070" width="11.42578125" style="8" bestFit="1" customWidth="1"/>
    <col min="11071" max="11071" width="10.7109375" style="8" bestFit="1" customWidth="1"/>
    <col min="11072" max="11073" width="11.42578125" style="8" bestFit="1" customWidth="1"/>
    <col min="11074" max="11264" width="9.140625" style="8"/>
    <col min="11265" max="11265" width="132.7109375" style="8" customWidth="1"/>
    <col min="11266" max="11266" width="15.140625" style="8" customWidth="1"/>
    <col min="11267" max="11268" width="10.7109375" style="8" bestFit="1" customWidth="1"/>
    <col min="11269" max="11269" width="11.42578125" style="8" bestFit="1" customWidth="1"/>
    <col min="11270" max="11270" width="10.7109375" style="8" bestFit="1" customWidth="1"/>
    <col min="11271" max="11271" width="11.42578125" style="8" bestFit="1" customWidth="1"/>
    <col min="11272" max="11280" width="10.7109375" style="8" bestFit="1" customWidth="1"/>
    <col min="11281" max="11281" width="11.42578125" style="8" bestFit="1" customWidth="1"/>
    <col min="11282" max="11284" width="10.7109375" style="8" bestFit="1" customWidth="1"/>
    <col min="11285" max="11285" width="11.42578125" style="8" bestFit="1" customWidth="1"/>
    <col min="11286" max="11286" width="10.7109375" style="8" bestFit="1" customWidth="1"/>
    <col min="11287" max="11288" width="11.42578125" style="8" bestFit="1" customWidth="1"/>
    <col min="11289" max="11290" width="10.7109375" style="8" bestFit="1" customWidth="1"/>
    <col min="11291" max="11291" width="11.42578125" style="8" bestFit="1" customWidth="1"/>
    <col min="11292" max="11294" width="10.7109375" style="8" bestFit="1" customWidth="1"/>
    <col min="11295" max="11297" width="11.42578125" style="8" bestFit="1" customWidth="1"/>
    <col min="11298" max="11301" width="10.7109375" style="8" bestFit="1" customWidth="1"/>
    <col min="11302" max="11303" width="11.42578125" style="8" bestFit="1" customWidth="1"/>
    <col min="11304" max="11304" width="10.7109375" style="8" bestFit="1" customWidth="1"/>
    <col min="11305" max="11307" width="11.42578125" style="8" bestFit="1" customWidth="1"/>
    <col min="11308" max="11308" width="10.7109375" style="8" bestFit="1" customWidth="1"/>
    <col min="11309" max="11313" width="11.42578125" style="8" bestFit="1" customWidth="1"/>
    <col min="11314" max="11314" width="10.7109375" style="8" bestFit="1" customWidth="1"/>
    <col min="11315" max="11317" width="11.42578125" style="8" bestFit="1" customWidth="1"/>
    <col min="11318" max="11318" width="10.7109375" style="8" bestFit="1" customWidth="1"/>
    <col min="11319" max="11319" width="11.42578125" style="8" bestFit="1" customWidth="1"/>
    <col min="11320" max="11321" width="10.7109375" style="8" bestFit="1" customWidth="1"/>
    <col min="11322" max="11322" width="11.42578125" style="8" bestFit="1" customWidth="1"/>
    <col min="11323" max="11323" width="10.7109375" style="8" bestFit="1" customWidth="1"/>
    <col min="11324" max="11324" width="11.42578125" style="8" bestFit="1" customWidth="1"/>
    <col min="11325" max="11325" width="10.7109375" style="8" bestFit="1" customWidth="1"/>
    <col min="11326" max="11326" width="11.42578125" style="8" bestFit="1" customWidth="1"/>
    <col min="11327" max="11327" width="10.7109375" style="8" bestFit="1" customWidth="1"/>
    <col min="11328" max="11329" width="11.42578125" style="8" bestFit="1" customWidth="1"/>
    <col min="11330" max="11520" width="9.140625" style="8"/>
    <col min="11521" max="11521" width="132.7109375" style="8" customWidth="1"/>
    <col min="11522" max="11522" width="15.140625" style="8" customWidth="1"/>
    <col min="11523" max="11524" width="10.7109375" style="8" bestFit="1" customWidth="1"/>
    <col min="11525" max="11525" width="11.42578125" style="8" bestFit="1" customWidth="1"/>
    <col min="11526" max="11526" width="10.7109375" style="8" bestFit="1" customWidth="1"/>
    <col min="11527" max="11527" width="11.42578125" style="8" bestFit="1" customWidth="1"/>
    <col min="11528" max="11536" width="10.7109375" style="8" bestFit="1" customWidth="1"/>
    <col min="11537" max="11537" width="11.42578125" style="8" bestFit="1" customWidth="1"/>
    <col min="11538" max="11540" width="10.7109375" style="8" bestFit="1" customWidth="1"/>
    <col min="11541" max="11541" width="11.42578125" style="8" bestFit="1" customWidth="1"/>
    <col min="11542" max="11542" width="10.7109375" style="8" bestFit="1" customWidth="1"/>
    <col min="11543" max="11544" width="11.42578125" style="8" bestFit="1" customWidth="1"/>
    <col min="11545" max="11546" width="10.7109375" style="8" bestFit="1" customWidth="1"/>
    <col min="11547" max="11547" width="11.42578125" style="8" bestFit="1" customWidth="1"/>
    <col min="11548" max="11550" width="10.7109375" style="8" bestFit="1" customWidth="1"/>
    <col min="11551" max="11553" width="11.42578125" style="8" bestFit="1" customWidth="1"/>
    <col min="11554" max="11557" width="10.7109375" style="8" bestFit="1" customWidth="1"/>
    <col min="11558" max="11559" width="11.42578125" style="8" bestFit="1" customWidth="1"/>
    <col min="11560" max="11560" width="10.7109375" style="8" bestFit="1" customWidth="1"/>
    <col min="11561" max="11563" width="11.42578125" style="8" bestFit="1" customWidth="1"/>
    <col min="11564" max="11564" width="10.7109375" style="8" bestFit="1" customWidth="1"/>
    <col min="11565" max="11569" width="11.42578125" style="8" bestFit="1" customWidth="1"/>
    <col min="11570" max="11570" width="10.7109375" style="8" bestFit="1" customWidth="1"/>
    <col min="11571" max="11573" width="11.42578125" style="8" bestFit="1" customWidth="1"/>
    <col min="11574" max="11574" width="10.7109375" style="8" bestFit="1" customWidth="1"/>
    <col min="11575" max="11575" width="11.42578125" style="8" bestFit="1" customWidth="1"/>
    <col min="11576" max="11577" width="10.7109375" style="8" bestFit="1" customWidth="1"/>
    <col min="11578" max="11578" width="11.42578125" style="8" bestFit="1" customWidth="1"/>
    <col min="11579" max="11579" width="10.7109375" style="8" bestFit="1" customWidth="1"/>
    <col min="11580" max="11580" width="11.42578125" style="8" bestFit="1" customWidth="1"/>
    <col min="11581" max="11581" width="10.7109375" style="8" bestFit="1" customWidth="1"/>
    <col min="11582" max="11582" width="11.42578125" style="8" bestFit="1" customWidth="1"/>
    <col min="11583" max="11583" width="10.7109375" style="8" bestFit="1" customWidth="1"/>
    <col min="11584" max="11585" width="11.42578125" style="8" bestFit="1" customWidth="1"/>
    <col min="11586" max="11776" width="9.140625" style="8"/>
    <col min="11777" max="11777" width="132.7109375" style="8" customWidth="1"/>
    <col min="11778" max="11778" width="15.140625" style="8" customWidth="1"/>
    <col min="11779" max="11780" width="10.7109375" style="8" bestFit="1" customWidth="1"/>
    <col min="11781" max="11781" width="11.42578125" style="8" bestFit="1" customWidth="1"/>
    <col min="11782" max="11782" width="10.7109375" style="8" bestFit="1" customWidth="1"/>
    <col min="11783" max="11783" width="11.42578125" style="8" bestFit="1" customWidth="1"/>
    <col min="11784" max="11792" width="10.7109375" style="8" bestFit="1" customWidth="1"/>
    <col min="11793" max="11793" width="11.42578125" style="8" bestFit="1" customWidth="1"/>
    <col min="11794" max="11796" width="10.7109375" style="8" bestFit="1" customWidth="1"/>
    <col min="11797" max="11797" width="11.42578125" style="8" bestFit="1" customWidth="1"/>
    <col min="11798" max="11798" width="10.7109375" style="8" bestFit="1" customWidth="1"/>
    <col min="11799" max="11800" width="11.42578125" style="8" bestFit="1" customWidth="1"/>
    <col min="11801" max="11802" width="10.7109375" style="8" bestFit="1" customWidth="1"/>
    <col min="11803" max="11803" width="11.42578125" style="8" bestFit="1" customWidth="1"/>
    <col min="11804" max="11806" width="10.7109375" style="8" bestFit="1" customWidth="1"/>
    <col min="11807" max="11809" width="11.42578125" style="8" bestFit="1" customWidth="1"/>
    <col min="11810" max="11813" width="10.7109375" style="8" bestFit="1" customWidth="1"/>
    <col min="11814" max="11815" width="11.42578125" style="8" bestFit="1" customWidth="1"/>
    <col min="11816" max="11816" width="10.7109375" style="8" bestFit="1" customWidth="1"/>
    <col min="11817" max="11819" width="11.42578125" style="8" bestFit="1" customWidth="1"/>
    <col min="11820" max="11820" width="10.7109375" style="8" bestFit="1" customWidth="1"/>
    <col min="11821" max="11825" width="11.42578125" style="8" bestFit="1" customWidth="1"/>
    <col min="11826" max="11826" width="10.7109375" style="8" bestFit="1" customWidth="1"/>
    <col min="11827" max="11829" width="11.42578125" style="8" bestFit="1" customWidth="1"/>
    <col min="11830" max="11830" width="10.7109375" style="8" bestFit="1" customWidth="1"/>
    <col min="11831" max="11831" width="11.42578125" style="8" bestFit="1" customWidth="1"/>
    <col min="11832" max="11833" width="10.7109375" style="8" bestFit="1" customWidth="1"/>
    <col min="11834" max="11834" width="11.42578125" style="8" bestFit="1" customWidth="1"/>
    <col min="11835" max="11835" width="10.7109375" style="8" bestFit="1" customWidth="1"/>
    <col min="11836" max="11836" width="11.42578125" style="8" bestFit="1" customWidth="1"/>
    <col min="11837" max="11837" width="10.7109375" style="8" bestFit="1" customWidth="1"/>
    <col min="11838" max="11838" width="11.42578125" style="8" bestFit="1" customWidth="1"/>
    <col min="11839" max="11839" width="10.7109375" style="8" bestFit="1" customWidth="1"/>
    <col min="11840" max="11841" width="11.42578125" style="8" bestFit="1" customWidth="1"/>
    <col min="11842" max="12032" width="9.140625" style="8"/>
    <col min="12033" max="12033" width="132.7109375" style="8" customWidth="1"/>
    <col min="12034" max="12034" width="15.140625" style="8" customWidth="1"/>
    <col min="12035" max="12036" width="10.7109375" style="8" bestFit="1" customWidth="1"/>
    <col min="12037" max="12037" width="11.42578125" style="8" bestFit="1" customWidth="1"/>
    <col min="12038" max="12038" width="10.7109375" style="8" bestFit="1" customWidth="1"/>
    <col min="12039" max="12039" width="11.42578125" style="8" bestFit="1" customWidth="1"/>
    <col min="12040" max="12048" width="10.7109375" style="8" bestFit="1" customWidth="1"/>
    <col min="12049" max="12049" width="11.42578125" style="8" bestFit="1" customWidth="1"/>
    <col min="12050" max="12052" width="10.7109375" style="8" bestFit="1" customWidth="1"/>
    <col min="12053" max="12053" width="11.42578125" style="8" bestFit="1" customWidth="1"/>
    <col min="12054" max="12054" width="10.7109375" style="8" bestFit="1" customWidth="1"/>
    <col min="12055" max="12056" width="11.42578125" style="8" bestFit="1" customWidth="1"/>
    <col min="12057" max="12058" width="10.7109375" style="8" bestFit="1" customWidth="1"/>
    <col min="12059" max="12059" width="11.42578125" style="8" bestFit="1" customWidth="1"/>
    <col min="12060" max="12062" width="10.7109375" style="8" bestFit="1" customWidth="1"/>
    <col min="12063" max="12065" width="11.42578125" style="8" bestFit="1" customWidth="1"/>
    <col min="12066" max="12069" width="10.7109375" style="8" bestFit="1" customWidth="1"/>
    <col min="12070" max="12071" width="11.42578125" style="8" bestFit="1" customWidth="1"/>
    <col min="12072" max="12072" width="10.7109375" style="8" bestFit="1" customWidth="1"/>
    <col min="12073" max="12075" width="11.42578125" style="8" bestFit="1" customWidth="1"/>
    <col min="12076" max="12076" width="10.7109375" style="8" bestFit="1" customWidth="1"/>
    <col min="12077" max="12081" width="11.42578125" style="8" bestFit="1" customWidth="1"/>
    <col min="12082" max="12082" width="10.7109375" style="8" bestFit="1" customWidth="1"/>
    <col min="12083" max="12085" width="11.42578125" style="8" bestFit="1" customWidth="1"/>
    <col min="12086" max="12086" width="10.7109375" style="8" bestFit="1" customWidth="1"/>
    <col min="12087" max="12087" width="11.42578125" style="8" bestFit="1" customWidth="1"/>
    <col min="12088" max="12089" width="10.7109375" style="8" bestFit="1" customWidth="1"/>
    <col min="12090" max="12090" width="11.42578125" style="8" bestFit="1" customWidth="1"/>
    <col min="12091" max="12091" width="10.7109375" style="8" bestFit="1" customWidth="1"/>
    <col min="12092" max="12092" width="11.42578125" style="8" bestFit="1" customWidth="1"/>
    <col min="12093" max="12093" width="10.7109375" style="8" bestFit="1" customWidth="1"/>
    <col min="12094" max="12094" width="11.42578125" style="8" bestFit="1" customWidth="1"/>
    <col min="12095" max="12095" width="10.7109375" style="8" bestFit="1" customWidth="1"/>
    <col min="12096" max="12097" width="11.42578125" style="8" bestFit="1" customWidth="1"/>
    <col min="12098" max="12288" width="9.140625" style="8"/>
    <col min="12289" max="12289" width="132.7109375" style="8" customWidth="1"/>
    <col min="12290" max="12290" width="15.140625" style="8" customWidth="1"/>
    <col min="12291" max="12292" width="10.7109375" style="8" bestFit="1" customWidth="1"/>
    <col min="12293" max="12293" width="11.42578125" style="8" bestFit="1" customWidth="1"/>
    <col min="12294" max="12294" width="10.7109375" style="8" bestFit="1" customWidth="1"/>
    <col min="12295" max="12295" width="11.42578125" style="8" bestFit="1" customWidth="1"/>
    <col min="12296" max="12304" width="10.7109375" style="8" bestFit="1" customWidth="1"/>
    <col min="12305" max="12305" width="11.42578125" style="8" bestFit="1" customWidth="1"/>
    <col min="12306" max="12308" width="10.7109375" style="8" bestFit="1" customWidth="1"/>
    <col min="12309" max="12309" width="11.42578125" style="8" bestFit="1" customWidth="1"/>
    <col min="12310" max="12310" width="10.7109375" style="8" bestFit="1" customWidth="1"/>
    <col min="12311" max="12312" width="11.42578125" style="8" bestFit="1" customWidth="1"/>
    <col min="12313" max="12314" width="10.7109375" style="8" bestFit="1" customWidth="1"/>
    <col min="12315" max="12315" width="11.42578125" style="8" bestFit="1" customWidth="1"/>
    <col min="12316" max="12318" width="10.7109375" style="8" bestFit="1" customWidth="1"/>
    <col min="12319" max="12321" width="11.42578125" style="8" bestFit="1" customWidth="1"/>
    <col min="12322" max="12325" width="10.7109375" style="8" bestFit="1" customWidth="1"/>
    <col min="12326" max="12327" width="11.42578125" style="8" bestFit="1" customWidth="1"/>
    <col min="12328" max="12328" width="10.7109375" style="8" bestFit="1" customWidth="1"/>
    <col min="12329" max="12331" width="11.42578125" style="8" bestFit="1" customWidth="1"/>
    <col min="12332" max="12332" width="10.7109375" style="8" bestFit="1" customWidth="1"/>
    <col min="12333" max="12337" width="11.42578125" style="8" bestFit="1" customWidth="1"/>
    <col min="12338" max="12338" width="10.7109375" style="8" bestFit="1" customWidth="1"/>
    <col min="12339" max="12341" width="11.42578125" style="8" bestFit="1" customWidth="1"/>
    <col min="12342" max="12342" width="10.7109375" style="8" bestFit="1" customWidth="1"/>
    <col min="12343" max="12343" width="11.42578125" style="8" bestFit="1" customWidth="1"/>
    <col min="12344" max="12345" width="10.7109375" style="8" bestFit="1" customWidth="1"/>
    <col min="12346" max="12346" width="11.42578125" style="8" bestFit="1" customWidth="1"/>
    <col min="12347" max="12347" width="10.7109375" style="8" bestFit="1" customWidth="1"/>
    <col min="12348" max="12348" width="11.42578125" style="8" bestFit="1" customWidth="1"/>
    <col min="12349" max="12349" width="10.7109375" style="8" bestFit="1" customWidth="1"/>
    <col min="12350" max="12350" width="11.42578125" style="8" bestFit="1" customWidth="1"/>
    <col min="12351" max="12351" width="10.7109375" style="8" bestFit="1" customWidth="1"/>
    <col min="12352" max="12353" width="11.42578125" style="8" bestFit="1" customWidth="1"/>
    <col min="12354" max="12544" width="9.140625" style="8"/>
    <col min="12545" max="12545" width="132.7109375" style="8" customWidth="1"/>
    <col min="12546" max="12546" width="15.140625" style="8" customWidth="1"/>
    <col min="12547" max="12548" width="10.7109375" style="8" bestFit="1" customWidth="1"/>
    <col min="12549" max="12549" width="11.42578125" style="8" bestFit="1" customWidth="1"/>
    <col min="12550" max="12550" width="10.7109375" style="8" bestFit="1" customWidth="1"/>
    <col min="12551" max="12551" width="11.42578125" style="8" bestFit="1" customWidth="1"/>
    <col min="12552" max="12560" width="10.7109375" style="8" bestFit="1" customWidth="1"/>
    <col min="12561" max="12561" width="11.42578125" style="8" bestFit="1" customWidth="1"/>
    <col min="12562" max="12564" width="10.7109375" style="8" bestFit="1" customWidth="1"/>
    <col min="12565" max="12565" width="11.42578125" style="8" bestFit="1" customWidth="1"/>
    <col min="12566" max="12566" width="10.7109375" style="8" bestFit="1" customWidth="1"/>
    <col min="12567" max="12568" width="11.42578125" style="8" bestFit="1" customWidth="1"/>
    <col min="12569" max="12570" width="10.7109375" style="8" bestFit="1" customWidth="1"/>
    <col min="12571" max="12571" width="11.42578125" style="8" bestFit="1" customWidth="1"/>
    <col min="12572" max="12574" width="10.7109375" style="8" bestFit="1" customWidth="1"/>
    <col min="12575" max="12577" width="11.42578125" style="8" bestFit="1" customWidth="1"/>
    <col min="12578" max="12581" width="10.7109375" style="8" bestFit="1" customWidth="1"/>
    <col min="12582" max="12583" width="11.42578125" style="8" bestFit="1" customWidth="1"/>
    <col min="12584" max="12584" width="10.7109375" style="8" bestFit="1" customWidth="1"/>
    <col min="12585" max="12587" width="11.42578125" style="8" bestFit="1" customWidth="1"/>
    <col min="12588" max="12588" width="10.7109375" style="8" bestFit="1" customWidth="1"/>
    <col min="12589" max="12593" width="11.42578125" style="8" bestFit="1" customWidth="1"/>
    <col min="12594" max="12594" width="10.7109375" style="8" bestFit="1" customWidth="1"/>
    <col min="12595" max="12597" width="11.42578125" style="8" bestFit="1" customWidth="1"/>
    <col min="12598" max="12598" width="10.7109375" style="8" bestFit="1" customWidth="1"/>
    <col min="12599" max="12599" width="11.42578125" style="8" bestFit="1" customWidth="1"/>
    <col min="12600" max="12601" width="10.7109375" style="8" bestFit="1" customWidth="1"/>
    <col min="12602" max="12602" width="11.42578125" style="8" bestFit="1" customWidth="1"/>
    <col min="12603" max="12603" width="10.7109375" style="8" bestFit="1" customWidth="1"/>
    <col min="12604" max="12604" width="11.42578125" style="8" bestFit="1" customWidth="1"/>
    <col min="12605" max="12605" width="10.7109375" style="8" bestFit="1" customWidth="1"/>
    <col min="12606" max="12606" width="11.42578125" style="8" bestFit="1" customWidth="1"/>
    <col min="12607" max="12607" width="10.7109375" style="8" bestFit="1" customWidth="1"/>
    <col min="12608" max="12609" width="11.42578125" style="8" bestFit="1" customWidth="1"/>
    <col min="12610" max="12800" width="9.140625" style="8"/>
    <col min="12801" max="12801" width="132.7109375" style="8" customWidth="1"/>
    <col min="12802" max="12802" width="15.140625" style="8" customWidth="1"/>
    <col min="12803" max="12804" width="10.7109375" style="8" bestFit="1" customWidth="1"/>
    <col min="12805" max="12805" width="11.42578125" style="8" bestFit="1" customWidth="1"/>
    <col min="12806" max="12806" width="10.7109375" style="8" bestFit="1" customWidth="1"/>
    <col min="12807" max="12807" width="11.42578125" style="8" bestFit="1" customWidth="1"/>
    <col min="12808" max="12816" width="10.7109375" style="8" bestFit="1" customWidth="1"/>
    <col min="12817" max="12817" width="11.42578125" style="8" bestFit="1" customWidth="1"/>
    <col min="12818" max="12820" width="10.7109375" style="8" bestFit="1" customWidth="1"/>
    <col min="12821" max="12821" width="11.42578125" style="8" bestFit="1" customWidth="1"/>
    <col min="12822" max="12822" width="10.7109375" style="8" bestFit="1" customWidth="1"/>
    <col min="12823" max="12824" width="11.42578125" style="8" bestFit="1" customWidth="1"/>
    <col min="12825" max="12826" width="10.7109375" style="8" bestFit="1" customWidth="1"/>
    <col min="12827" max="12827" width="11.42578125" style="8" bestFit="1" customWidth="1"/>
    <col min="12828" max="12830" width="10.7109375" style="8" bestFit="1" customWidth="1"/>
    <col min="12831" max="12833" width="11.42578125" style="8" bestFit="1" customWidth="1"/>
    <col min="12834" max="12837" width="10.7109375" style="8" bestFit="1" customWidth="1"/>
    <col min="12838" max="12839" width="11.42578125" style="8" bestFit="1" customWidth="1"/>
    <col min="12840" max="12840" width="10.7109375" style="8" bestFit="1" customWidth="1"/>
    <col min="12841" max="12843" width="11.42578125" style="8" bestFit="1" customWidth="1"/>
    <col min="12844" max="12844" width="10.7109375" style="8" bestFit="1" customWidth="1"/>
    <col min="12845" max="12849" width="11.42578125" style="8" bestFit="1" customWidth="1"/>
    <col min="12850" max="12850" width="10.7109375" style="8" bestFit="1" customWidth="1"/>
    <col min="12851" max="12853" width="11.42578125" style="8" bestFit="1" customWidth="1"/>
    <col min="12854" max="12854" width="10.7109375" style="8" bestFit="1" customWidth="1"/>
    <col min="12855" max="12855" width="11.42578125" style="8" bestFit="1" customWidth="1"/>
    <col min="12856" max="12857" width="10.7109375" style="8" bestFit="1" customWidth="1"/>
    <col min="12858" max="12858" width="11.42578125" style="8" bestFit="1" customWidth="1"/>
    <col min="12859" max="12859" width="10.7109375" style="8" bestFit="1" customWidth="1"/>
    <col min="12860" max="12860" width="11.42578125" style="8" bestFit="1" customWidth="1"/>
    <col min="12861" max="12861" width="10.7109375" style="8" bestFit="1" customWidth="1"/>
    <col min="12862" max="12862" width="11.42578125" style="8" bestFit="1" customWidth="1"/>
    <col min="12863" max="12863" width="10.7109375" style="8" bestFit="1" customWidth="1"/>
    <col min="12864" max="12865" width="11.42578125" style="8" bestFit="1" customWidth="1"/>
    <col min="12866" max="13056" width="9.140625" style="8"/>
    <col min="13057" max="13057" width="132.7109375" style="8" customWidth="1"/>
    <col min="13058" max="13058" width="15.140625" style="8" customWidth="1"/>
    <col min="13059" max="13060" width="10.7109375" style="8" bestFit="1" customWidth="1"/>
    <col min="13061" max="13061" width="11.42578125" style="8" bestFit="1" customWidth="1"/>
    <col min="13062" max="13062" width="10.7109375" style="8" bestFit="1" customWidth="1"/>
    <col min="13063" max="13063" width="11.42578125" style="8" bestFit="1" customWidth="1"/>
    <col min="13064" max="13072" width="10.7109375" style="8" bestFit="1" customWidth="1"/>
    <col min="13073" max="13073" width="11.42578125" style="8" bestFit="1" customWidth="1"/>
    <col min="13074" max="13076" width="10.7109375" style="8" bestFit="1" customWidth="1"/>
    <col min="13077" max="13077" width="11.42578125" style="8" bestFit="1" customWidth="1"/>
    <col min="13078" max="13078" width="10.7109375" style="8" bestFit="1" customWidth="1"/>
    <col min="13079" max="13080" width="11.42578125" style="8" bestFit="1" customWidth="1"/>
    <col min="13081" max="13082" width="10.7109375" style="8" bestFit="1" customWidth="1"/>
    <col min="13083" max="13083" width="11.42578125" style="8" bestFit="1" customWidth="1"/>
    <col min="13084" max="13086" width="10.7109375" style="8" bestFit="1" customWidth="1"/>
    <col min="13087" max="13089" width="11.42578125" style="8" bestFit="1" customWidth="1"/>
    <col min="13090" max="13093" width="10.7109375" style="8" bestFit="1" customWidth="1"/>
    <col min="13094" max="13095" width="11.42578125" style="8" bestFit="1" customWidth="1"/>
    <col min="13096" max="13096" width="10.7109375" style="8" bestFit="1" customWidth="1"/>
    <col min="13097" max="13099" width="11.42578125" style="8" bestFit="1" customWidth="1"/>
    <col min="13100" max="13100" width="10.7109375" style="8" bestFit="1" customWidth="1"/>
    <col min="13101" max="13105" width="11.42578125" style="8" bestFit="1" customWidth="1"/>
    <col min="13106" max="13106" width="10.7109375" style="8" bestFit="1" customWidth="1"/>
    <col min="13107" max="13109" width="11.42578125" style="8" bestFit="1" customWidth="1"/>
    <col min="13110" max="13110" width="10.7109375" style="8" bestFit="1" customWidth="1"/>
    <col min="13111" max="13111" width="11.42578125" style="8" bestFit="1" customWidth="1"/>
    <col min="13112" max="13113" width="10.7109375" style="8" bestFit="1" customWidth="1"/>
    <col min="13114" max="13114" width="11.42578125" style="8" bestFit="1" customWidth="1"/>
    <col min="13115" max="13115" width="10.7109375" style="8" bestFit="1" customWidth="1"/>
    <col min="13116" max="13116" width="11.42578125" style="8" bestFit="1" customWidth="1"/>
    <col min="13117" max="13117" width="10.7109375" style="8" bestFit="1" customWidth="1"/>
    <col min="13118" max="13118" width="11.42578125" style="8" bestFit="1" customWidth="1"/>
    <col min="13119" max="13119" width="10.7109375" style="8" bestFit="1" customWidth="1"/>
    <col min="13120" max="13121" width="11.42578125" style="8" bestFit="1" customWidth="1"/>
    <col min="13122" max="13312" width="9.140625" style="8"/>
    <col min="13313" max="13313" width="132.7109375" style="8" customWidth="1"/>
    <col min="13314" max="13314" width="15.140625" style="8" customWidth="1"/>
    <col min="13315" max="13316" width="10.7109375" style="8" bestFit="1" customWidth="1"/>
    <col min="13317" max="13317" width="11.42578125" style="8" bestFit="1" customWidth="1"/>
    <col min="13318" max="13318" width="10.7109375" style="8" bestFit="1" customWidth="1"/>
    <col min="13319" max="13319" width="11.42578125" style="8" bestFit="1" customWidth="1"/>
    <col min="13320" max="13328" width="10.7109375" style="8" bestFit="1" customWidth="1"/>
    <col min="13329" max="13329" width="11.42578125" style="8" bestFit="1" customWidth="1"/>
    <col min="13330" max="13332" width="10.7109375" style="8" bestFit="1" customWidth="1"/>
    <col min="13333" max="13333" width="11.42578125" style="8" bestFit="1" customWidth="1"/>
    <col min="13334" max="13334" width="10.7109375" style="8" bestFit="1" customWidth="1"/>
    <col min="13335" max="13336" width="11.42578125" style="8" bestFit="1" customWidth="1"/>
    <col min="13337" max="13338" width="10.7109375" style="8" bestFit="1" customWidth="1"/>
    <col min="13339" max="13339" width="11.42578125" style="8" bestFit="1" customWidth="1"/>
    <col min="13340" max="13342" width="10.7109375" style="8" bestFit="1" customWidth="1"/>
    <col min="13343" max="13345" width="11.42578125" style="8" bestFit="1" customWidth="1"/>
    <col min="13346" max="13349" width="10.7109375" style="8" bestFit="1" customWidth="1"/>
    <col min="13350" max="13351" width="11.42578125" style="8" bestFit="1" customWidth="1"/>
    <col min="13352" max="13352" width="10.7109375" style="8" bestFit="1" customWidth="1"/>
    <col min="13353" max="13355" width="11.42578125" style="8" bestFit="1" customWidth="1"/>
    <col min="13356" max="13356" width="10.7109375" style="8" bestFit="1" customWidth="1"/>
    <col min="13357" max="13361" width="11.42578125" style="8" bestFit="1" customWidth="1"/>
    <col min="13362" max="13362" width="10.7109375" style="8" bestFit="1" customWidth="1"/>
    <col min="13363" max="13365" width="11.42578125" style="8" bestFit="1" customWidth="1"/>
    <col min="13366" max="13366" width="10.7109375" style="8" bestFit="1" customWidth="1"/>
    <col min="13367" max="13367" width="11.42578125" style="8" bestFit="1" customWidth="1"/>
    <col min="13368" max="13369" width="10.7109375" style="8" bestFit="1" customWidth="1"/>
    <col min="13370" max="13370" width="11.42578125" style="8" bestFit="1" customWidth="1"/>
    <col min="13371" max="13371" width="10.7109375" style="8" bestFit="1" customWidth="1"/>
    <col min="13372" max="13372" width="11.42578125" style="8" bestFit="1" customWidth="1"/>
    <col min="13373" max="13373" width="10.7109375" style="8" bestFit="1" customWidth="1"/>
    <col min="13374" max="13374" width="11.42578125" style="8" bestFit="1" customWidth="1"/>
    <col min="13375" max="13375" width="10.7109375" style="8" bestFit="1" customWidth="1"/>
    <col min="13376" max="13377" width="11.42578125" style="8" bestFit="1" customWidth="1"/>
    <col min="13378" max="13568" width="9.140625" style="8"/>
    <col min="13569" max="13569" width="132.7109375" style="8" customWidth="1"/>
    <col min="13570" max="13570" width="15.140625" style="8" customWidth="1"/>
    <col min="13571" max="13572" width="10.7109375" style="8" bestFit="1" customWidth="1"/>
    <col min="13573" max="13573" width="11.42578125" style="8" bestFit="1" customWidth="1"/>
    <col min="13574" max="13574" width="10.7109375" style="8" bestFit="1" customWidth="1"/>
    <col min="13575" max="13575" width="11.42578125" style="8" bestFit="1" customWidth="1"/>
    <col min="13576" max="13584" width="10.7109375" style="8" bestFit="1" customWidth="1"/>
    <col min="13585" max="13585" width="11.42578125" style="8" bestFit="1" customWidth="1"/>
    <col min="13586" max="13588" width="10.7109375" style="8" bestFit="1" customWidth="1"/>
    <col min="13589" max="13589" width="11.42578125" style="8" bestFit="1" customWidth="1"/>
    <col min="13590" max="13590" width="10.7109375" style="8" bestFit="1" customWidth="1"/>
    <col min="13591" max="13592" width="11.42578125" style="8" bestFit="1" customWidth="1"/>
    <col min="13593" max="13594" width="10.7109375" style="8" bestFit="1" customWidth="1"/>
    <col min="13595" max="13595" width="11.42578125" style="8" bestFit="1" customWidth="1"/>
    <col min="13596" max="13598" width="10.7109375" style="8" bestFit="1" customWidth="1"/>
    <col min="13599" max="13601" width="11.42578125" style="8" bestFit="1" customWidth="1"/>
    <col min="13602" max="13605" width="10.7109375" style="8" bestFit="1" customWidth="1"/>
    <col min="13606" max="13607" width="11.42578125" style="8" bestFit="1" customWidth="1"/>
    <col min="13608" max="13608" width="10.7109375" style="8" bestFit="1" customWidth="1"/>
    <col min="13609" max="13611" width="11.42578125" style="8" bestFit="1" customWidth="1"/>
    <col min="13612" max="13612" width="10.7109375" style="8" bestFit="1" customWidth="1"/>
    <col min="13613" max="13617" width="11.42578125" style="8" bestFit="1" customWidth="1"/>
    <col min="13618" max="13618" width="10.7109375" style="8" bestFit="1" customWidth="1"/>
    <col min="13619" max="13621" width="11.42578125" style="8" bestFit="1" customWidth="1"/>
    <col min="13622" max="13622" width="10.7109375" style="8" bestFit="1" customWidth="1"/>
    <col min="13623" max="13623" width="11.42578125" style="8" bestFit="1" customWidth="1"/>
    <col min="13624" max="13625" width="10.7109375" style="8" bestFit="1" customWidth="1"/>
    <col min="13626" max="13626" width="11.42578125" style="8" bestFit="1" customWidth="1"/>
    <col min="13627" max="13627" width="10.7109375" style="8" bestFit="1" customWidth="1"/>
    <col min="13628" max="13628" width="11.42578125" style="8" bestFit="1" customWidth="1"/>
    <col min="13629" max="13629" width="10.7109375" style="8" bestFit="1" customWidth="1"/>
    <col min="13630" max="13630" width="11.42578125" style="8" bestFit="1" customWidth="1"/>
    <col min="13631" max="13631" width="10.7109375" style="8" bestFit="1" customWidth="1"/>
    <col min="13632" max="13633" width="11.42578125" style="8" bestFit="1" customWidth="1"/>
    <col min="13634" max="13824" width="9.140625" style="8"/>
    <col min="13825" max="13825" width="132.7109375" style="8" customWidth="1"/>
    <col min="13826" max="13826" width="15.140625" style="8" customWidth="1"/>
    <col min="13827" max="13828" width="10.7109375" style="8" bestFit="1" customWidth="1"/>
    <col min="13829" max="13829" width="11.42578125" style="8" bestFit="1" customWidth="1"/>
    <col min="13830" max="13830" width="10.7109375" style="8" bestFit="1" customWidth="1"/>
    <col min="13831" max="13831" width="11.42578125" style="8" bestFit="1" customWidth="1"/>
    <col min="13832" max="13840" width="10.7109375" style="8" bestFit="1" customWidth="1"/>
    <col min="13841" max="13841" width="11.42578125" style="8" bestFit="1" customWidth="1"/>
    <col min="13842" max="13844" width="10.7109375" style="8" bestFit="1" customWidth="1"/>
    <col min="13845" max="13845" width="11.42578125" style="8" bestFit="1" customWidth="1"/>
    <col min="13846" max="13846" width="10.7109375" style="8" bestFit="1" customWidth="1"/>
    <col min="13847" max="13848" width="11.42578125" style="8" bestFit="1" customWidth="1"/>
    <col min="13849" max="13850" width="10.7109375" style="8" bestFit="1" customWidth="1"/>
    <col min="13851" max="13851" width="11.42578125" style="8" bestFit="1" customWidth="1"/>
    <col min="13852" max="13854" width="10.7109375" style="8" bestFit="1" customWidth="1"/>
    <col min="13855" max="13857" width="11.42578125" style="8" bestFit="1" customWidth="1"/>
    <col min="13858" max="13861" width="10.7109375" style="8" bestFit="1" customWidth="1"/>
    <col min="13862" max="13863" width="11.42578125" style="8" bestFit="1" customWidth="1"/>
    <col min="13864" max="13864" width="10.7109375" style="8" bestFit="1" customWidth="1"/>
    <col min="13865" max="13867" width="11.42578125" style="8" bestFit="1" customWidth="1"/>
    <col min="13868" max="13868" width="10.7109375" style="8" bestFit="1" customWidth="1"/>
    <col min="13869" max="13873" width="11.42578125" style="8" bestFit="1" customWidth="1"/>
    <col min="13874" max="13874" width="10.7109375" style="8" bestFit="1" customWidth="1"/>
    <col min="13875" max="13877" width="11.42578125" style="8" bestFit="1" customWidth="1"/>
    <col min="13878" max="13878" width="10.7109375" style="8" bestFit="1" customWidth="1"/>
    <col min="13879" max="13879" width="11.42578125" style="8" bestFit="1" customWidth="1"/>
    <col min="13880" max="13881" width="10.7109375" style="8" bestFit="1" customWidth="1"/>
    <col min="13882" max="13882" width="11.42578125" style="8" bestFit="1" customWidth="1"/>
    <col min="13883" max="13883" width="10.7109375" style="8" bestFit="1" customWidth="1"/>
    <col min="13884" max="13884" width="11.42578125" style="8" bestFit="1" customWidth="1"/>
    <col min="13885" max="13885" width="10.7109375" style="8" bestFit="1" customWidth="1"/>
    <col min="13886" max="13886" width="11.42578125" style="8" bestFit="1" customWidth="1"/>
    <col min="13887" max="13887" width="10.7109375" style="8" bestFit="1" customWidth="1"/>
    <col min="13888" max="13889" width="11.42578125" style="8" bestFit="1" customWidth="1"/>
    <col min="13890" max="14080" width="9.140625" style="8"/>
    <col min="14081" max="14081" width="132.7109375" style="8" customWidth="1"/>
    <col min="14082" max="14082" width="15.140625" style="8" customWidth="1"/>
    <col min="14083" max="14084" width="10.7109375" style="8" bestFit="1" customWidth="1"/>
    <col min="14085" max="14085" width="11.42578125" style="8" bestFit="1" customWidth="1"/>
    <col min="14086" max="14086" width="10.7109375" style="8" bestFit="1" customWidth="1"/>
    <col min="14087" max="14087" width="11.42578125" style="8" bestFit="1" customWidth="1"/>
    <col min="14088" max="14096" width="10.7109375" style="8" bestFit="1" customWidth="1"/>
    <col min="14097" max="14097" width="11.42578125" style="8" bestFit="1" customWidth="1"/>
    <col min="14098" max="14100" width="10.7109375" style="8" bestFit="1" customWidth="1"/>
    <col min="14101" max="14101" width="11.42578125" style="8" bestFit="1" customWidth="1"/>
    <col min="14102" max="14102" width="10.7109375" style="8" bestFit="1" customWidth="1"/>
    <col min="14103" max="14104" width="11.42578125" style="8" bestFit="1" customWidth="1"/>
    <col min="14105" max="14106" width="10.7109375" style="8" bestFit="1" customWidth="1"/>
    <col min="14107" max="14107" width="11.42578125" style="8" bestFit="1" customWidth="1"/>
    <col min="14108" max="14110" width="10.7109375" style="8" bestFit="1" customWidth="1"/>
    <col min="14111" max="14113" width="11.42578125" style="8" bestFit="1" customWidth="1"/>
    <col min="14114" max="14117" width="10.7109375" style="8" bestFit="1" customWidth="1"/>
    <col min="14118" max="14119" width="11.42578125" style="8" bestFit="1" customWidth="1"/>
    <col min="14120" max="14120" width="10.7109375" style="8" bestFit="1" customWidth="1"/>
    <col min="14121" max="14123" width="11.42578125" style="8" bestFit="1" customWidth="1"/>
    <col min="14124" max="14124" width="10.7109375" style="8" bestFit="1" customWidth="1"/>
    <col min="14125" max="14129" width="11.42578125" style="8" bestFit="1" customWidth="1"/>
    <col min="14130" max="14130" width="10.7109375" style="8" bestFit="1" customWidth="1"/>
    <col min="14131" max="14133" width="11.42578125" style="8" bestFit="1" customWidth="1"/>
    <col min="14134" max="14134" width="10.7109375" style="8" bestFit="1" customWidth="1"/>
    <col min="14135" max="14135" width="11.42578125" style="8" bestFit="1" customWidth="1"/>
    <col min="14136" max="14137" width="10.7109375" style="8" bestFit="1" customWidth="1"/>
    <col min="14138" max="14138" width="11.42578125" style="8" bestFit="1" customWidth="1"/>
    <col min="14139" max="14139" width="10.7109375" style="8" bestFit="1" customWidth="1"/>
    <col min="14140" max="14140" width="11.42578125" style="8" bestFit="1" customWidth="1"/>
    <col min="14141" max="14141" width="10.7109375" style="8" bestFit="1" customWidth="1"/>
    <col min="14142" max="14142" width="11.42578125" style="8" bestFit="1" customWidth="1"/>
    <col min="14143" max="14143" width="10.7109375" style="8" bestFit="1" customWidth="1"/>
    <col min="14144" max="14145" width="11.42578125" style="8" bestFit="1" customWidth="1"/>
    <col min="14146" max="14336" width="9.140625" style="8"/>
    <col min="14337" max="14337" width="132.7109375" style="8" customWidth="1"/>
    <col min="14338" max="14338" width="15.140625" style="8" customWidth="1"/>
    <col min="14339" max="14340" width="10.7109375" style="8" bestFit="1" customWidth="1"/>
    <col min="14341" max="14341" width="11.42578125" style="8" bestFit="1" customWidth="1"/>
    <col min="14342" max="14342" width="10.7109375" style="8" bestFit="1" customWidth="1"/>
    <col min="14343" max="14343" width="11.42578125" style="8" bestFit="1" customWidth="1"/>
    <col min="14344" max="14352" width="10.7109375" style="8" bestFit="1" customWidth="1"/>
    <col min="14353" max="14353" width="11.42578125" style="8" bestFit="1" customWidth="1"/>
    <col min="14354" max="14356" width="10.7109375" style="8" bestFit="1" customWidth="1"/>
    <col min="14357" max="14357" width="11.42578125" style="8" bestFit="1" customWidth="1"/>
    <col min="14358" max="14358" width="10.7109375" style="8" bestFit="1" customWidth="1"/>
    <col min="14359" max="14360" width="11.42578125" style="8" bestFit="1" customWidth="1"/>
    <col min="14361" max="14362" width="10.7109375" style="8" bestFit="1" customWidth="1"/>
    <col min="14363" max="14363" width="11.42578125" style="8" bestFit="1" customWidth="1"/>
    <col min="14364" max="14366" width="10.7109375" style="8" bestFit="1" customWidth="1"/>
    <col min="14367" max="14369" width="11.42578125" style="8" bestFit="1" customWidth="1"/>
    <col min="14370" max="14373" width="10.7109375" style="8" bestFit="1" customWidth="1"/>
    <col min="14374" max="14375" width="11.42578125" style="8" bestFit="1" customWidth="1"/>
    <col min="14376" max="14376" width="10.7109375" style="8" bestFit="1" customWidth="1"/>
    <col min="14377" max="14379" width="11.42578125" style="8" bestFit="1" customWidth="1"/>
    <col min="14380" max="14380" width="10.7109375" style="8" bestFit="1" customWidth="1"/>
    <col min="14381" max="14385" width="11.42578125" style="8" bestFit="1" customWidth="1"/>
    <col min="14386" max="14386" width="10.7109375" style="8" bestFit="1" customWidth="1"/>
    <col min="14387" max="14389" width="11.42578125" style="8" bestFit="1" customWidth="1"/>
    <col min="14390" max="14390" width="10.7109375" style="8" bestFit="1" customWidth="1"/>
    <col min="14391" max="14391" width="11.42578125" style="8" bestFit="1" customWidth="1"/>
    <col min="14392" max="14393" width="10.7109375" style="8" bestFit="1" customWidth="1"/>
    <col min="14394" max="14394" width="11.42578125" style="8" bestFit="1" customWidth="1"/>
    <col min="14395" max="14395" width="10.7109375" style="8" bestFit="1" customWidth="1"/>
    <col min="14396" max="14396" width="11.42578125" style="8" bestFit="1" customWidth="1"/>
    <col min="14397" max="14397" width="10.7109375" style="8" bestFit="1" customWidth="1"/>
    <col min="14398" max="14398" width="11.42578125" style="8" bestFit="1" customWidth="1"/>
    <col min="14399" max="14399" width="10.7109375" style="8" bestFit="1" customWidth="1"/>
    <col min="14400" max="14401" width="11.42578125" style="8" bestFit="1" customWidth="1"/>
    <col min="14402" max="14592" width="9.140625" style="8"/>
    <col min="14593" max="14593" width="132.7109375" style="8" customWidth="1"/>
    <col min="14594" max="14594" width="15.140625" style="8" customWidth="1"/>
    <col min="14595" max="14596" width="10.7109375" style="8" bestFit="1" customWidth="1"/>
    <col min="14597" max="14597" width="11.42578125" style="8" bestFit="1" customWidth="1"/>
    <col min="14598" max="14598" width="10.7109375" style="8" bestFit="1" customWidth="1"/>
    <col min="14599" max="14599" width="11.42578125" style="8" bestFit="1" customWidth="1"/>
    <col min="14600" max="14608" width="10.7109375" style="8" bestFit="1" customWidth="1"/>
    <col min="14609" max="14609" width="11.42578125" style="8" bestFit="1" customWidth="1"/>
    <col min="14610" max="14612" width="10.7109375" style="8" bestFit="1" customWidth="1"/>
    <col min="14613" max="14613" width="11.42578125" style="8" bestFit="1" customWidth="1"/>
    <col min="14614" max="14614" width="10.7109375" style="8" bestFit="1" customWidth="1"/>
    <col min="14615" max="14616" width="11.42578125" style="8" bestFit="1" customWidth="1"/>
    <col min="14617" max="14618" width="10.7109375" style="8" bestFit="1" customWidth="1"/>
    <col min="14619" max="14619" width="11.42578125" style="8" bestFit="1" customWidth="1"/>
    <col min="14620" max="14622" width="10.7109375" style="8" bestFit="1" customWidth="1"/>
    <col min="14623" max="14625" width="11.42578125" style="8" bestFit="1" customWidth="1"/>
    <col min="14626" max="14629" width="10.7109375" style="8" bestFit="1" customWidth="1"/>
    <col min="14630" max="14631" width="11.42578125" style="8" bestFit="1" customWidth="1"/>
    <col min="14632" max="14632" width="10.7109375" style="8" bestFit="1" customWidth="1"/>
    <col min="14633" max="14635" width="11.42578125" style="8" bestFit="1" customWidth="1"/>
    <col min="14636" max="14636" width="10.7109375" style="8" bestFit="1" customWidth="1"/>
    <col min="14637" max="14641" width="11.42578125" style="8" bestFit="1" customWidth="1"/>
    <col min="14642" max="14642" width="10.7109375" style="8" bestFit="1" customWidth="1"/>
    <col min="14643" max="14645" width="11.42578125" style="8" bestFit="1" customWidth="1"/>
    <col min="14646" max="14646" width="10.7109375" style="8" bestFit="1" customWidth="1"/>
    <col min="14647" max="14647" width="11.42578125" style="8" bestFit="1" customWidth="1"/>
    <col min="14648" max="14649" width="10.7109375" style="8" bestFit="1" customWidth="1"/>
    <col min="14650" max="14650" width="11.42578125" style="8" bestFit="1" customWidth="1"/>
    <col min="14651" max="14651" width="10.7109375" style="8" bestFit="1" customWidth="1"/>
    <col min="14652" max="14652" width="11.42578125" style="8" bestFit="1" customWidth="1"/>
    <col min="14653" max="14653" width="10.7109375" style="8" bestFit="1" customWidth="1"/>
    <col min="14654" max="14654" width="11.42578125" style="8" bestFit="1" customWidth="1"/>
    <col min="14655" max="14655" width="10.7109375" style="8" bestFit="1" customWidth="1"/>
    <col min="14656" max="14657" width="11.42578125" style="8" bestFit="1" customWidth="1"/>
    <col min="14658" max="14848" width="9.140625" style="8"/>
    <col min="14849" max="14849" width="132.7109375" style="8" customWidth="1"/>
    <col min="14850" max="14850" width="15.140625" style="8" customWidth="1"/>
    <col min="14851" max="14852" width="10.7109375" style="8" bestFit="1" customWidth="1"/>
    <col min="14853" max="14853" width="11.42578125" style="8" bestFit="1" customWidth="1"/>
    <col min="14854" max="14854" width="10.7109375" style="8" bestFit="1" customWidth="1"/>
    <col min="14855" max="14855" width="11.42578125" style="8" bestFit="1" customWidth="1"/>
    <col min="14856" max="14864" width="10.7109375" style="8" bestFit="1" customWidth="1"/>
    <col min="14865" max="14865" width="11.42578125" style="8" bestFit="1" customWidth="1"/>
    <col min="14866" max="14868" width="10.7109375" style="8" bestFit="1" customWidth="1"/>
    <col min="14869" max="14869" width="11.42578125" style="8" bestFit="1" customWidth="1"/>
    <col min="14870" max="14870" width="10.7109375" style="8" bestFit="1" customWidth="1"/>
    <col min="14871" max="14872" width="11.42578125" style="8" bestFit="1" customWidth="1"/>
    <col min="14873" max="14874" width="10.7109375" style="8" bestFit="1" customWidth="1"/>
    <col min="14875" max="14875" width="11.42578125" style="8" bestFit="1" customWidth="1"/>
    <col min="14876" max="14878" width="10.7109375" style="8" bestFit="1" customWidth="1"/>
    <col min="14879" max="14881" width="11.42578125" style="8" bestFit="1" customWidth="1"/>
    <col min="14882" max="14885" width="10.7109375" style="8" bestFit="1" customWidth="1"/>
    <col min="14886" max="14887" width="11.42578125" style="8" bestFit="1" customWidth="1"/>
    <col min="14888" max="14888" width="10.7109375" style="8" bestFit="1" customWidth="1"/>
    <col min="14889" max="14891" width="11.42578125" style="8" bestFit="1" customWidth="1"/>
    <col min="14892" max="14892" width="10.7109375" style="8" bestFit="1" customWidth="1"/>
    <col min="14893" max="14897" width="11.42578125" style="8" bestFit="1" customWidth="1"/>
    <col min="14898" max="14898" width="10.7109375" style="8" bestFit="1" customWidth="1"/>
    <col min="14899" max="14901" width="11.42578125" style="8" bestFit="1" customWidth="1"/>
    <col min="14902" max="14902" width="10.7109375" style="8" bestFit="1" customWidth="1"/>
    <col min="14903" max="14903" width="11.42578125" style="8" bestFit="1" customWidth="1"/>
    <col min="14904" max="14905" width="10.7109375" style="8" bestFit="1" customWidth="1"/>
    <col min="14906" max="14906" width="11.42578125" style="8" bestFit="1" customWidth="1"/>
    <col min="14907" max="14907" width="10.7109375" style="8" bestFit="1" customWidth="1"/>
    <col min="14908" max="14908" width="11.42578125" style="8" bestFit="1" customWidth="1"/>
    <col min="14909" max="14909" width="10.7109375" style="8" bestFit="1" customWidth="1"/>
    <col min="14910" max="14910" width="11.42578125" style="8" bestFit="1" customWidth="1"/>
    <col min="14911" max="14911" width="10.7109375" style="8" bestFit="1" customWidth="1"/>
    <col min="14912" max="14913" width="11.42578125" style="8" bestFit="1" customWidth="1"/>
    <col min="14914" max="15104" width="9.140625" style="8"/>
    <col min="15105" max="15105" width="132.7109375" style="8" customWidth="1"/>
    <col min="15106" max="15106" width="15.140625" style="8" customWidth="1"/>
    <col min="15107" max="15108" width="10.7109375" style="8" bestFit="1" customWidth="1"/>
    <col min="15109" max="15109" width="11.42578125" style="8" bestFit="1" customWidth="1"/>
    <col min="15110" max="15110" width="10.7109375" style="8" bestFit="1" customWidth="1"/>
    <col min="15111" max="15111" width="11.42578125" style="8" bestFit="1" customWidth="1"/>
    <col min="15112" max="15120" width="10.7109375" style="8" bestFit="1" customWidth="1"/>
    <col min="15121" max="15121" width="11.42578125" style="8" bestFit="1" customWidth="1"/>
    <col min="15122" max="15124" width="10.7109375" style="8" bestFit="1" customWidth="1"/>
    <col min="15125" max="15125" width="11.42578125" style="8" bestFit="1" customWidth="1"/>
    <col min="15126" max="15126" width="10.7109375" style="8" bestFit="1" customWidth="1"/>
    <col min="15127" max="15128" width="11.42578125" style="8" bestFit="1" customWidth="1"/>
    <col min="15129" max="15130" width="10.7109375" style="8" bestFit="1" customWidth="1"/>
    <col min="15131" max="15131" width="11.42578125" style="8" bestFit="1" customWidth="1"/>
    <col min="15132" max="15134" width="10.7109375" style="8" bestFit="1" customWidth="1"/>
    <col min="15135" max="15137" width="11.42578125" style="8" bestFit="1" customWidth="1"/>
    <col min="15138" max="15141" width="10.7109375" style="8" bestFit="1" customWidth="1"/>
    <col min="15142" max="15143" width="11.42578125" style="8" bestFit="1" customWidth="1"/>
    <col min="15144" max="15144" width="10.7109375" style="8" bestFit="1" customWidth="1"/>
    <col min="15145" max="15147" width="11.42578125" style="8" bestFit="1" customWidth="1"/>
    <col min="15148" max="15148" width="10.7109375" style="8" bestFit="1" customWidth="1"/>
    <col min="15149" max="15153" width="11.42578125" style="8" bestFit="1" customWidth="1"/>
    <col min="15154" max="15154" width="10.7109375" style="8" bestFit="1" customWidth="1"/>
    <col min="15155" max="15157" width="11.42578125" style="8" bestFit="1" customWidth="1"/>
    <col min="15158" max="15158" width="10.7109375" style="8" bestFit="1" customWidth="1"/>
    <col min="15159" max="15159" width="11.42578125" style="8" bestFit="1" customWidth="1"/>
    <col min="15160" max="15161" width="10.7109375" style="8" bestFit="1" customWidth="1"/>
    <col min="15162" max="15162" width="11.42578125" style="8" bestFit="1" customWidth="1"/>
    <col min="15163" max="15163" width="10.7109375" style="8" bestFit="1" customWidth="1"/>
    <col min="15164" max="15164" width="11.42578125" style="8" bestFit="1" customWidth="1"/>
    <col min="15165" max="15165" width="10.7109375" style="8" bestFit="1" customWidth="1"/>
    <col min="15166" max="15166" width="11.42578125" style="8" bestFit="1" customWidth="1"/>
    <col min="15167" max="15167" width="10.7109375" style="8" bestFit="1" customWidth="1"/>
    <col min="15168" max="15169" width="11.42578125" style="8" bestFit="1" customWidth="1"/>
    <col min="15170" max="15360" width="9.140625" style="8"/>
    <col min="15361" max="15361" width="132.7109375" style="8" customWidth="1"/>
    <col min="15362" max="15362" width="15.140625" style="8" customWidth="1"/>
    <col min="15363" max="15364" width="10.7109375" style="8" bestFit="1" customWidth="1"/>
    <col min="15365" max="15365" width="11.42578125" style="8" bestFit="1" customWidth="1"/>
    <col min="15366" max="15366" width="10.7109375" style="8" bestFit="1" customWidth="1"/>
    <col min="15367" max="15367" width="11.42578125" style="8" bestFit="1" customWidth="1"/>
    <col min="15368" max="15376" width="10.7109375" style="8" bestFit="1" customWidth="1"/>
    <col min="15377" max="15377" width="11.42578125" style="8" bestFit="1" customWidth="1"/>
    <col min="15378" max="15380" width="10.7109375" style="8" bestFit="1" customWidth="1"/>
    <col min="15381" max="15381" width="11.42578125" style="8" bestFit="1" customWidth="1"/>
    <col min="15382" max="15382" width="10.7109375" style="8" bestFit="1" customWidth="1"/>
    <col min="15383" max="15384" width="11.42578125" style="8" bestFit="1" customWidth="1"/>
    <col min="15385" max="15386" width="10.7109375" style="8" bestFit="1" customWidth="1"/>
    <col min="15387" max="15387" width="11.42578125" style="8" bestFit="1" customWidth="1"/>
    <col min="15388" max="15390" width="10.7109375" style="8" bestFit="1" customWidth="1"/>
    <col min="15391" max="15393" width="11.42578125" style="8" bestFit="1" customWidth="1"/>
    <col min="15394" max="15397" width="10.7109375" style="8" bestFit="1" customWidth="1"/>
    <col min="15398" max="15399" width="11.42578125" style="8" bestFit="1" customWidth="1"/>
    <col min="15400" max="15400" width="10.7109375" style="8" bestFit="1" customWidth="1"/>
    <col min="15401" max="15403" width="11.42578125" style="8" bestFit="1" customWidth="1"/>
    <col min="15404" max="15404" width="10.7109375" style="8" bestFit="1" customWidth="1"/>
    <col min="15405" max="15409" width="11.42578125" style="8" bestFit="1" customWidth="1"/>
    <col min="15410" max="15410" width="10.7109375" style="8" bestFit="1" customWidth="1"/>
    <col min="15411" max="15413" width="11.42578125" style="8" bestFit="1" customWidth="1"/>
    <col min="15414" max="15414" width="10.7109375" style="8" bestFit="1" customWidth="1"/>
    <col min="15415" max="15415" width="11.42578125" style="8" bestFit="1" customWidth="1"/>
    <col min="15416" max="15417" width="10.7109375" style="8" bestFit="1" customWidth="1"/>
    <col min="15418" max="15418" width="11.42578125" style="8" bestFit="1" customWidth="1"/>
    <col min="15419" max="15419" width="10.7109375" style="8" bestFit="1" customWidth="1"/>
    <col min="15420" max="15420" width="11.42578125" style="8" bestFit="1" customWidth="1"/>
    <col min="15421" max="15421" width="10.7109375" style="8" bestFit="1" customWidth="1"/>
    <col min="15422" max="15422" width="11.42578125" style="8" bestFit="1" customWidth="1"/>
    <col min="15423" max="15423" width="10.7109375" style="8" bestFit="1" customWidth="1"/>
    <col min="15424" max="15425" width="11.42578125" style="8" bestFit="1" customWidth="1"/>
    <col min="15426" max="15616" width="9.140625" style="8"/>
    <col min="15617" max="15617" width="132.7109375" style="8" customWidth="1"/>
    <col min="15618" max="15618" width="15.140625" style="8" customWidth="1"/>
    <col min="15619" max="15620" width="10.7109375" style="8" bestFit="1" customWidth="1"/>
    <col min="15621" max="15621" width="11.42578125" style="8" bestFit="1" customWidth="1"/>
    <col min="15622" max="15622" width="10.7109375" style="8" bestFit="1" customWidth="1"/>
    <col min="15623" max="15623" width="11.42578125" style="8" bestFit="1" customWidth="1"/>
    <col min="15624" max="15632" width="10.7109375" style="8" bestFit="1" customWidth="1"/>
    <col min="15633" max="15633" width="11.42578125" style="8" bestFit="1" customWidth="1"/>
    <col min="15634" max="15636" width="10.7109375" style="8" bestFit="1" customWidth="1"/>
    <col min="15637" max="15637" width="11.42578125" style="8" bestFit="1" customWidth="1"/>
    <col min="15638" max="15638" width="10.7109375" style="8" bestFit="1" customWidth="1"/>
    <col min="15639" max="15640" width="11.42578125" style="8" bestFit="1" customWidth="1"/>
    <col min="15641" max="15642" width="10.7109375" style="8" bestFit="1" customWidth="1"/>
    <col min="15643" max="15643" width="11.42578125" style="8" bestFit="1" customWidth="1"/>
    <col min="15644" max="15646" width="10.7109375" style="8" bestFit="1" customWidth="1"/>
    <col min="15647" max="15649" width="11.42578125" style="8" bestFit="1" customWidth="1"/>
    <col min="15650" max="15653" width="10.7109375" style="8" bestFit="1" customWidth="1"/>
    <col min="15654" max="15655" width="11.42578125" style="8" bestFit="1" customWidth="1"/>
    <col min="15656" max="15656" width="10.7109375" style="8" bestFit="1" customWidth="1"/>
    <col min="15657" max="15659" width="11.42578125" style="8" bestFit="1" customWidth="1"/>
    <col min="15660" max="15660" width="10.7109375" style="8" bestFit="1" customWidth="1"/>
    <col min="15661" max="15665" width="11.42578125" style="8" bestFit="1" customWidth="1"/>
    <col min="15666" max="15666" width="10.7109375" style="8" bestFit="1" customWidth="1"/>
    <col min="15667" max="15669" width="11.42578125" style="8" bestFit="1" customWidth="1"/>
    <col min="15670" max="15670" width="10.7109375" style="8" bestFit="1" customWidth="1"/>
    <col min="15671" max="15671" width="11.42578125" style="8" bestFit="1" customWidth="1"/>
    <col min="15672" max="15673" width="10.7109375" style="8" bestFit="1" customWidth="1"/>
    <col min="15674" max="15674" width="11.42578125" style="8" bestFit="1" customWidth="1"/>
    <col min="15675" max="15675" width="10.7109375" style="8" bestFit="1" customWidth="1"/>
    <col min="15676" max="15676" width="11.42578125" style="8" bestFit="1" customWidth="1"/>
    <col min="15677" max="15677" width="10.7109375" style="8" bestFit="1" customWidth="1"/>
    <col min="15678" max="15678" width="11.42578125" style="8" bestFit="1" customWidth="1"/>
    <col min="15679" max="15679" width="10.7109375" style="8" bestFit="1" customWidth="1"/>
    <col min="15680" max="15681" width="11.42578125" style="8" bestFit="1" customWidth="1"/>
    <col min="15682" max="15872" width="9.140625" style="8"/>
    <col min="15873" max="15873" width="132.7109375" style="8" customWidth="1"/>
    <col min="15874" max="15874" width="15.140625" style="8" customWidth="1"/>
    <col min="15875" max="15876" width="10.7109375" style="8" bestFit="1" customWidth="1"/>
    <col min="15877" max="15877" width="11.42578125" style="8" bestFit="1" customWidth="1"/>
    <col min="15878" max="15878" width="10.7109375" style="8" bestFit="1" customWidth="1"/>
    <col min="15879" max="15879" width="11.42578125" style="8" bestFit="1" customWidth="1"/>
    <col min="15880" max="15888" width="10.7109375" style="8" bestFit="1" customWidth="1"/>
    <col min="15889" max="15889" width="11.42578125" style="8" bestFit="1" customWidth="1"/>
    <col min="15890" max="15892" width="10.7109375" style="8" bestFit="1" customWidth="1"/>
    <col min="15893" max="15893" width="11.42578125" style="8" bestFit="1" customWidth="1"/>
    <col min="15894" max="15894" width="10.7109375" style="8" bestFit="1" customWidth="1"/>
    <col min="15895" max="15896" width="11.42578125" style="8" bestFit="1" customWidth="1"/>
    <col min="15897" max="15898" width="10.7109375" style="8" bestFit="1" customWidth="1"/>
    <col min="15899" max="15899" width="11.42578125" style="8" bestFit="1" customWidth="1"/>
    <col min="15900" max="15902" width="10.7109375" style="8" bestFit="1" customWidth="1"/>
    <col min="15903" max="15905" width="11.42578125" style="8" bestFit="1" customWidth="1"/>
    <col min="15906" max="15909" width="10.7109375" style="8" bestFit="1" customWidth="1"/>
    <col min="15910" max="15911" width="11.42578125" style="8" bestFit="1" customWidth="1"/>
    <col min="15912" max="15912" width="10.7109375" style="8" bestFit="1" customWidth="1"/>
    <col min="15913" max="15915" width="11.42578125" style="8" bestFit="1" customWidth="1"/>
    <col min="15916" max="15916" width="10.7109375" style="8" bestFit="1" customWidth="1"/>
    <col min="15917" max="15921" width="11.42578125" style="8" bestFit="1" customWidth="1"/>
    <col min="15922" max="15922" width="10.7109375" style="8" bestFit="1" customWidth="1"/>
    <col min="15923" max="15925" width="11.42578125" style="8" bestFit="1" customWidth="1"/>
    <col min="15926" max="15926" width="10.7109375" style="8" bestFit="1" customWidth="1"/>
    <col min="15927" max="15927" width="11.42578125" style="8" bestFit="1" customWidth="1"/>
    <col min="15928" max="15929" width="10.7109375" style="8" bestFit="1" customWidth="1"/>
    <col min="15930" max="15930" width="11.42578125" style="8" bestFit="1" customWidth="1"/>
    <col min="15931" max="15931" width="10.7109375" style="8" bestFit="1" customWidth="1"/>
    <col min="15932" max="15932" width="11.42578125" style="8" bestFit="1" customWidth="1"/>
    <col min="15933" max="15933" width="10.7109375" style="8" bestFit="1" customWidth="1"/>
    <col min="15934" max="15934" width="11.42578125" style="8" bestFit="1" customWidth="1"/>
    <col min="15935" max="15935" width="10.7109375" style="8" bestFit="1" customWidth="1"/>
    <col min="15936" max="15937" width="11.42578125" style="8" bestFit="1" customWidth="1"/>
    <col min="15938" max="16128" width="9.140625" style="8"/>
    <col min="16129" max="16129" width="132.7109375" style="8" customWidth="1"/>
    <col min="16130" max="16130" width="15.140625" style="8" customWidth="1"/>
    <col min="16131" max="16132" width="10.7109375" style="8" bestFit="1" customWidth="1"/>
    <col min="16133" max="16133" width="11.42578125" style="8" bestFit="1" customWidth="1"/>
    <col min="16134" max="16134" width="10.7109375" style="8" bestFit="1" customWidth="1"/>
    <col min="16135" max="16135" width="11.42578125" style="8" bestFit="1" customWidth="1"/>
    <col min="16136" max="16144" width="10.7109375" style="8" bestFit="1" customWidth="1"/>
    <col min="16145" max="16145" width="11.42578125" style="8" bestFit="1" customWidth="1"/>
    <col min="16146" max="16148" width="10.7109375" style="8" bestFit="1" customWidth="1"/>
    <col min="16149" max="16149" width="11.42578125" style="8" bestFit="1" customWidth="1"/>
    <col min="16150" max="16150" width="10.7109375" style="8" bestFit="1" customWidth="1"/>
    <col min="16151" max="16152" width="11.42578125" style="8" bestFit="1" customWidth="1"/>
    <col min="16153" max="16154" width="10.7109375" style="8" bestFit="1" customWidth="1"/>
    <col min="16155" max="16155" width="11.42578125" style="8" bestFit="1" customWidth="1"/>
    <col min="16156" max="16158" width="10.7109375" style="8" bestFit="1" customWidth="1"/>
    <col min="16159" max="16161" width="11.42578125" style="8" bestFit="1" customWidth="1"/>
    <col min="16162" max="16165" width="10.7109375" style="8" bestFit="1" customWidth="1"/>
    <col min="16166" max="16167" width="11.42578125" style="8" bestFit="1" customWidth="1"/>
    <col min="16168" max="16168" width="10.7109375" style="8" bestFit="1" customWidth="1"/>
    <col min="16169" max="16171" width="11.42578125" style="8" bestFit="1" customWidth="1"/>
    <col min="16172" max="16172" width="10.7109375" style="8" bestFit="1" customWidth="1"/>
    <col min="16173" max="16177" width="11.42578125" style="8" bestFit="1" customWidth="1"/>
    <col min="16178" max="16178" width="10.7109375" style="8" bestFit="1" customWidth="1"/>
    <col min="16179" max="16181" width="11.42578125" style="8" bestFit="1" customWidth="1"/>
    <col min="16182" max="16182" width="10.7109375" style="8" bestFit="1" customWidth="1"/>
    <col min="16183" max="16183" width="11.42578125" style="8" bestFit="1" customWidth="1"/>
    <col min="16184" max="16185" width="10.7109375" style="8" bestFit="1" customWidth="1"/>
    <col min="16186" max="16186" width="11.42578125" style="8" bestFit="1" customWidth="1"/>
    <col min="16187" max="16187" width="10.7109375" style="8" bestFit="1" customWidth="1"/>
    <col min="16188" max="16188" width="11.42578125" style="8" bestFit="1" customWidth="1"/>
    <col min="16189" max="16189" width="10.7109375" style="8" bestFit="1" customWidth="1"/>
    <col min="16190" max="16190" width="11.42578125" style="8" bestFit="1" customWidth="1"/>
    <col min="16191" max="16191" width="10.7109375" style="8" bestFit="1" customWidth="1"/>
    <col min="16192" max="16193" width="11.42578125" style="8" bestFit="1" customWidth="1"/>
    <col min="16194" max="16384" width="9.140625" style="8"/>
  </cols>
  <sheetData>
    <row r="1" spans="1:65" x14ac:dyDescent="0.2">
      <c r="A1" s="8" t="s">
        <v>0</v>
      </c>
      <c r="B1" s="2" t="s">
        <v>1</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2">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2">
      <c r="A3" s="4" t="s">
        <v>67</v>
      </c>
      <c r="B3" s="5" t="s">
        <v>68</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2">
      <c r="A4" s="8" t="s">
        <v>70</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2">
      <c r="A5" s="8" t="s">
        <v>72</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2">
      <c r="A6" s="8" t="s">
        <v>74</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2">
      <c r="A7" s="45" t="s">
        <v>76</v>
      </c>
      <c r="B7" s="46" t="s">
        <v>68</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2">
      <c r="A8" s="8" t="s">
        <v>78</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2">
      <c r="A9" s="8" t="s">
        <v>80</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2">
      <c r="A10" s="8" t="s">
        <v>82</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2">
      <c r="A11" s="48" t="s">
        <v>84</v>
      </c>
      <c r="B11" s="49" t="s">
        <v>85</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2">
      <c r="A12" s="18" t="s">
        <v>87</v>
      </c>
      <c r="B12" s="19" t="s">
        <v>88</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2">
      <c r="A13" s="21" t="s">
        <v>89</v>
      </c>
      <c r="B13" s="22" t="s">
        <v>90</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2">
      <c r="A14" s="21" t="s">
        <v>92</v>
      </c>
      <c r="B14" s="22" t="s">
        <v>90</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2">
      <c r="A15" s="18" t="s">
        <v>94</v>
      </c>
      <c r="B15" s="19" t="s">
        <v>88</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2">
      <c r="A16" s="21" t="s">
        <v>96</v>
      </c>
      <c r="B16" s="22" t="s">
        <v>90</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2">
      <c r="A17" s="21" t="s">
        <v>98</v>
      </c>
      <c r="B17" s="22" t="s">
        <v>90</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2">
      <c r="A18" s="21" t="s">
        <v>100</v>
      </c>
      <c r="B18" s="22" t="s">
        <v>90</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2">
      <c r="A19" s="21" t="s">
        <v>102</v>
      </c>
      <c r="B19" s="22" t="s">
        <v>90</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2">
      <c r="A20" s="21" t="s">
        <v>104</v>
      </c>
      <c r="B20" s="22" t="s">
        <v>90</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2">
      <c r="A21" s="21" t="s">
        <v>106</v>
      </c>
      <c r="B21" s="22" t="s">
        <v>90</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2">
      <c r="A22" s="18" t="s">
        <v>108</v>
      </c>
      <c r="B22" s="19" t="s">
        <v>88</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2">
      <c r="A23" s="21" t="s">
        <v>110</v>
      </c>
      <c r="B23" s="22" t="s">
        <v>90</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2">
      <c r="A24" s="21" t="s">
        <v>112</v>
      </c>
      <c r="B24" s="22" t="s">
        <v>90</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2">
      <c r="A25" s="21" t="s">
        <v>114</v>
      </c>
      <c r="B25" s="22" t="s">
        <v>90</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2">
      <c r="A26" s="21" t="s">
        <v>116</v>
      </c>
      <c r="B26" s="22" t="s">
        <v>90</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2">
      <c r="A27" s="21" t="s">
        <v>118</v>
      </c>
      <c r="B27" s="22" t="s">
        <v>90</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2">
      <c r="A28" s="21" t="s">
        <v>120</v>
      </c>
      <c r="B28" s="22" t="s">
        <v>90</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2">
      <c r="A29" s="18" t="s">
        <v>122</v>
      </c>
      <c r="B29" s="19" t="s">
        <v>88</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2">
      <c r="A30" s="21" t="s">
        <v>124</v>
      </c>
      <c r="B30" s="22" t="s">
        <v>90</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2">
      <c r="A31" s="21" t="s">
        <v>126</v>
      </c>
      <c r="B31" s="22" t="s">
        <v>90</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2">
      <c r="A32" s="21" t="s">
        <v>128</v>
      </c>
      <c r="B32" s="22" t="s">
        <v>90</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2">
      <c r="A33" s="21" t="s">
        <v>130</v>
      </c>
      <c r="B33" s="22" t="s">
        <v>90</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2">
      <c r="A34" s="21" t="s">
        <v>132</v>
      </c>
      <c r="B34" s="22" t="s">
        <v>90</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2">
      <c r="A35" s="48" t="s">
        <v>134</v>
      </c>
      <c r="B35" s="49" t="s">
        <v>85</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2">
      <c r="A36" s="18" t="s">
        <v>136</v>
      </c>
      <c r="B36" s="19" t="s">
        <v>88</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2">
      <c r="A37" s="21" t="s">
        <v>138</v>
      </c>
      <c r="B37" s="22" t="s">
        <v>90</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2">
      <c r="A38" s="21" t="s">
        <v>140</v>
      </c>
      <c r="B38" s="22" t="s">
        <v>90</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2">
      <c r="A39" s="21" t="s">
        <v>142</v>
      </c>
      <c r="B39" s="22" t="s">
        <v>90</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2">
      <c r="A40" s="21" t="s">
        <v>144</v>
      </c>
      <c r="B40" s="22" t="s">
        <v>90</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2">
      <c r="A41" s="21" t="s">
        <v>146</v>
      </c>
      <c r="B41" s="22" t="s">
        <v>90</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2">
      <c r="A42" s="21" t="s">
        <v>148</v>
      </c>
      <c r="B42" s="22" t="s">
        <v>90</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2">
      <c r="A43" s="18" t="s">
        <v>150</v>
      </c>
      <c r="B43" s="19" t="s">
        <v>88</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2">
      <c r="A44" s="21" t="s">
        <v>152</v>
      </c>
      <c r="B44" s="22" t="s">
        <v>90</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2">
      <c r="A45" s="21" t="s">
        <v>154</v>
      </c>
      <c r="B45" s="22" t="s">
        <v>90</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2">
      <c r="A46" s="21" t="s">
        <v>156</v>
      </c>
      <c r="B46" s="22" t="s">
        <v>90</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2">
      <c r="A47" s="18" t="s">
        <v>158</v>
      </c>
      <c r="B47" s="19" t="s">
        <v>88</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2">
      <c r="A48" s="21" t="s">
        <v>160</v>
      </c>
      <c r="B48" s="22" t="s">
        <v>90</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2">
      <c r="A49" s="21" t="s">
        <v>162</v>
      </c>
      <c r="B49" s="22" t="s">
        <v>90</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2">
      <c r="A50" s="21" t="s">
        <v>164</v>
      </c>
      <c r="B50" s="22" t="s">
        <v>90</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2">
      <c r="A51" s="18" t="s">
        <v>166</v>
      </c>
      <c r="B51" s="19" t="s">
        <v>88</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2">
      <c r="A52" s="21" t="s">
        <v>168</v>
      </c>
      <c r="B52" s="22" t="s">
        <v>90</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2">
      <c r="A53" s="21" t="s">
        <v>170</v>
      </c>
      <c r="B53" s="22" t="s">
        <v>90</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2">
      <c r="A54" s="21" t="s">
        <v>172</v>
      </c>
      <c r="B54" s="22" t="s">
        <v>90</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2">
      <c r="A55" s="21" t="s">
        <v>174</v>
      </c>
      <c r="B55" s="22" t="s">
        <v>175</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2">
      <c r="A56" s="21" t="s">
        <v>177</v>
      </c>
      <c r="B56" s="22" t="s">
        <v>90</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2">
      <c r="A57" s="21" t="s">
        <v>179</v>
      </c>
      <c r="B57" s="22" t="s">
        <v>90</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2">
      <c r="A58" s="21" t="s">
        <v>181</v>
      </c>
      <c r="B58" s="22" t="s">
        <v>90</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2">
      <c r="A59" s="21" t="s">
        <v>183</v>
      </c>
      <c r="B59" s="22" t="s">
        <v>90</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2">
      <c r="A60" s="21" t="s">
        <v>185</v>
      </c>
      <c r="B60" s="22" t="s">
        <v>90</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2">
      <c r="A61" s="48" t="s">
        <v>187</v>
      </c>
      <c r="B61" s="49" t="s">
        <v>85</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2">
      <c r="A62" s="18" t="s">
        <v>189</v>
      </c>
      <c r="B62" s="19" t="s">
        <v>190</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2">
      <c r="A63" s="21" t="s">
        <v>192</v>
      </c>
      <c r="B63" s="22" t="s">
        <v>90</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2">
      <c r="A64" s="21" t="s">
        <v>194</v>
      </c>
      <c r="B64" s="22" t="s">
        <v>90</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2">
      <c r="A65" s="21" t="s">
        <v>196</v>
      </c>
      <c r="B65" s="22" t="s">
        <v>90</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2">
      <c r="A66" s="21" t="s">
        <v>198</v>
      </c>
      <c r="B66" s="22" t="s">
        <v>90</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2">
      <c r="A67" s="21" t="s">
        <v>200</v>
      </c>
      <c r="B67" s="22" t="s">
        <v>90</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2">
      <c r="A68" s="21" t="s">
        <v>202</v>
      </c>
      <c r="B68" s="22" t="s">
        <v>90</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2">
      <c r="A69" s="21" t="s">
        <v>204</v>
      </c>
      <c r="B69" s="22" t="s">
        <v>90</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2">
      <c r="A70" s="21" t="s">
        <v>206</v>
      </c>
      <c r="B70" s="22" t="s">
        <v>90</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2">
      <c r="A71" s="18" t="s">
        <v>208</v>
      </c>
      <c r="B71" s="19" t="s">
        <v>190</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2">
      <c r="A72" s="21" t="s">
        <v>210</v>
      </c>
      <c r="B72" s="22" t="s">
        <v>90</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2">
      <c r="A73" s="21" t="s">
        <v>212</v>
      </c>
      <c r="B73" s="22" t="s">
        <v>90</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2">
      <c r="A74" s="18" t="s">
        <v>214</v>
      </c>
      <c r="B74" s="19" t="s">
        <v>190</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2">
      <c r="A75" s="21" t="s">
        <v>216</v>
      </c>
      <c r="B75" s="22" t="s">
        <v>90</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2">
      <c r="A76" s="21" t="s">
        <v>218</v>
      </c>
      <c r="B76" s="22" t="s">
        <v>90</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2">
      <c r="A77" s="21" t="s">
        <v>220</v>
      </c>
      <c r="B77" s="22" t="s">
        <v>90</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2">
      <c r="A78" s="48" t="s">
        <v>222</v>
      </c>
      <c r="B78" s="49" t="s">
        <v>85</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2">
      <c r="A79" s="18" t="s">
        <v>224</v>
      </c>
      <c r="B79" s="19" t="s">
        <v>88</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2">
      <c r="A80" s="21" t="s">
        <v>226</v>
      </c>
      <c r="B80" s="22" t="s">
        <v>90</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2">
      <c r="A81" s="21" t="s">
        <v>228</v>
      </c>
      <c r="B81" s="22" t="s">
        <v>90</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2">
      <c r="A82" s="21" t="s">
        <v>237</v>
      </c>
      <c r="B82" s="22" t="s">
        <v>90</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2">
      <c r="A83" s="21" t="s">
        <v>232</v>
      </c>
      <c r="B83" s="22" t="s">
        <v>90</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2">
      <c r="A84" s="21" t="s">
        <v>230</v>
      </c>
      <c r="B84" s="22" t="s">
        <v>90</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2">
      <c r="A85" s="18" t="s">
        <v>235</v>
      </c>
      <c r="B85" s="19" t="s">
        <v>88</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2">
      <c r="A86" s="21" t="s">
        <v>423</v>
      </c>
      <c r="B86" s="22" t="s">
        <v>90</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2">
      <c r="A87" s="21" t="s">
        <v>424</v>
      </c>
      <c r="B87" s="22" t="s">
        <v>90</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2">
      <c r="A88" s="18" t="s">
        <v>240</v>
      </c>
      <c r="B88" s="19" t="s">
        <v>88</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2">
      <c r="A89" s="21" t="s">
        <v>242</v>
      </c>
      <c r="B89" s="22" t="s">
        <v>90</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2">
      <c r="A90" s="21" t="s">
        <v>244</v>
      </c>
      <c r="B90" s="22" t="s">
        <v>245</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2">
      <c r="A91" s="18" t="s">
        <v>247</v>
      </c>
      <c r="B91" s="19" t="s">
        <v>88</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2">
      <c r="A92" s="21" t="s">
        <v>249</v>
      </c>
      <c r="B92" s="22" t="s">
        <v>90</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2">
      <c r="A93" s="21" t="s">
        <v>251</v>
      </c>
      <c r="B93" s="22" t="s">
        <v>90</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2">
      <c r="A94" s="21" t="s">
        <v>253</v>
      </c>
      <c r="B94" s="22" t="s">
        <v>254</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2">
      <c r="A95" s="21" t="s">
        <v>256</v>
      </c>
      <c r="B95" s="22" t="s">
        <v>90</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2">
      <c r="A96" s="29" t="s">
        <v>258</v>
      </c>
      <c r="B96" s="30" t="s">
        <v>90</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2">
      <c r="A97" s="29" t="s">
        <v>260</v>
      </c>
      <c r="B97" s="30" t="s">
        <v>90</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2">
      <c r="A98" s="48" t="s">
        <v>262</v>
      </c>
      <c r="B98" s="49" t="s">
        <v>85</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2">
      <c r="A99" s="18" t="s">
        <v>264</v>
      </c>
      <c r="B99" s="19" t="s">
        <v>88</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2">
      <c r="A100" s="8" t="s">
        <v>266</v>
      </c>
      <c r="B100" s="22" t="s">
        <v>90</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2">
      <c r="A101" s="21" t="s">
        <v>268</v>
      </c>
      <c r="B101" s="22" t="s">
        <v>269</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2">
      <c r="A102" s="21" t="s">
        <v>271</v>
      </c>
      <c r="B102" s="22" t="s">
        <v>272</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2">
      <c r="A103" s="18" t="s">
        <v>274</v>
      </c>
      <c r="B103" s="19" t="s">
        <v>88</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2">
      <c r="A104" s="8" t="s">
        <v>276</v>
      </c>
      <c r="B104" s="22" t="s">
        <v>90</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2">
      <c r="A105" s="8" t="s">
        <v>278</v>
      </c>
      <c r="B105" s="22" t="s">
        <v>90</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2">
      <c r="A106" s="21" t="s">
        <v>280</v>
      </c>
      <c r="B106" s="22" t="s">
        <v>90</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2">
      <c r="A107" s="21" t="s">
        <v>282</v>
      </c>
      <c r="B107" s="22" t="s">
        <v>90</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2">
      <c r="A108" s="21" t="s">
        <v>284</v>
      </c>
      <c r="B108" s="22" t="s">
        <v>269</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2">
      <c r="A109" s="21" t="s">
        <v>271</v>
      </c>
      <c r="B109" s="22" t="s">
        <v>272</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2">
      <c r="A110" s="18" t="s">
        <v>287</v>
      </c>
      <c r="B110" s="19" t="s">
        <v>88</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2">
      <c r="A111" s="35" t="s">
        <v>291</v>
      </c>
      <c r="B111" s="36" t="s">
        <v>90</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2">
      <c r="A112" s="35" t="s">
        <v>293</v>
      </c>
      <c r="B112" s="36" t="s">
        <v>90</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2">
      <c r="A113" s="35" t="s">
        <v>295</v>
      </c>
      <c r="B113" s="36" t="s">
        <v>269</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2">
      <c r="A114" s="35" t="s">
        <v>271</v>
      </c>
      <c r="B114" s="36" t="s">
        <v>272</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2">
      <c r="A115" s="18" t="s">
        <v>298</v>
      </c>
      <c r="B115" s="19" t="s">
        <v>88</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2">
      <c r="A116" s="35" t="s">
        <v>425</v>
      </c>
      <c r="B116" s="36" t="s">
        <v>90</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2">
      <c r="A117" s="35" t="s">
        <v>304</v>
      </c>
      <c r="B117" s="36" t="s">
        <v>269</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2">
      <c r="A118" s="35" t="s">
        <v>271</v>
      </c>
      <c r="B118" s="36" t="s">
        <v>272</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2">
      <c r="A119" s="48" t="s">
        <v>307</v>
      </c>
      <c r="B119" s="49" t="s">
        <v>85</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2">
      <c r="A120" s="37" t="s">
        <v>309</v>
      </c>
      <c r="B120" s="38" t="s">
        <v>88</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2">
      <c r="A121" s="35" t="s">
        <v>311</v>
      </c>
      <c r="B121" s="36" t="s">
        <v>90</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2">
      <c r="A122" s="35" t="s">
        <v>313</v>
      </c>
      <c r="B122" s="36" t="s">
        <v>269</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2">
      <c r="A123" s="35" t="s">
        <v>315</v>
      </c>
      <c r="B123" s="36" t="s">
        <v>245</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2">
      <c r="A124" s="35" t="s">
        <v>317</v>
      </c>
      <c r="B124" s="36" t="s">
        <v>90</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2">
      <c r="A125" s="35" t="s">
        <v>319</v>
      </c>
      <c r="B125" s="36" t="s">
        <v>90</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2">
      <c r="A126" s="35" t="s">
        <v>321</v>
      </c>
      <c r="B126" s="36" t="s">
        <v>85</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2">
      <c r="A127" s="37" t="s">
        <v>426</v>
      </c>
      <c r="B127" s="38" t="s">
        <v>88</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2">
      <c r="A128" s="35" t="s">
        <v>325</v>
      </c>
      <c r="B128" s="36" t="s">
        <v>326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2">
      <c r="A129" s="35" t="s">
        <v>328</v>
      </c>
      <c r="B129" s="36" t="s">
        <v>326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2">
      <c r="A130" s="35" t="s">
        <v>330</v>
      </c>
      <c r="B130" s="36" t="s">
        <v>245</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2">
      <c r="A131" s="35" t="s">
        <v>427</v>
      </c>
      <c r="B131" s="36" t="s">
        <v>333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2">
      <c r="A132" s="37" t="s">
        <v>428</v>
      </c>
      <c r="B132" s="38" t="s">
        <v>88</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2">
      <c r="A133" s="35" t="s">
        <v>337</v>
      </c>
      <c r="B133" s="36" t="s">
        <v>90</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2">
      <c r="A134" s="35" t="s">
        <v>339</v>
      </c>
      <c r="B134" s="36" t="s">
        <v>90</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2">
      <c r="A135" s="35" t="s">
        <v>341</v>
      </c>
      <c r="B135" s="36" t="s">
        <v>342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2">
      <c r="A136" s="35" t="s">
        <v>344</v>
      </c>
      <c r="B136" s="36" t="s">
        <v>269</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2">
      <c r="A137" s="35" t="s">
        <v>346</v>
      </c>
      <c r="B137" s="36" t="s">
        <v>90</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2">
      <c r="A138" s="35" t="s">
        <v>348</v>
      </c>
      <c r="B138" s="36" t="s">
        <v>90</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2">
      <c r="A139" s="37" t="s">
        <v>429</v>
      </c>
      <c r="B139" s="38" t="s">
        <v>88</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2">
      <c r="A140" s="35" t="s">
        <v>352</v>
      </c>
      <c r="B140" s="36" t="s">
        <v>175</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2">
      <c r="A141" s="35" t="s">
        <v>354</v>
      </c>
      <c r="B141" s="36" t="s">
        <v>90</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2">
      <c r="A142" s="35" t="s">
        <v>356</v>
      </c>
      <c r="B142" s="36" t="s">
        <v>90</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2">
      <c r="A143" s="35" t="s">
        <v>358</v>
      </c>
      <c r="B143" s="36" t="s">
        <v>175</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2">
      <c r="A144" s="35" t="s">
        <v>360</v>
      </c>
      <c r="B144" s="36" t="s">
        <v>175</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2">
      <c r="A145" s="48" t="s">
        <v>362</v>
      </c>
      <c r="B145" s="49" t="s">
        <v>85</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2">
      <c r="A146" s="37" t="s">
        <v>364</v>
      </c>
      <c r="B146" s="38" t="s">
        <v>190</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2">
      <c r="A147" s="35" t="s">
        <v>366</v>
      </c>
      <c r="B147" s="36" t="s">
        <v>90</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2">
      <c r="A148" s="35" t="s">
        <v>368</v>
      </c>
      <c r="B148" s="36" t="s">
        <v>90</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2">
      <c r="A149" s="35" t="s">
        <v>370</v>
      </c>
      <c r="B149" s="36" t="s">
        <v>90</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2">
      <c r="A150" s="35" t="s">
        <v>372</v>
      </c>
      <c r="B150" s="36" t="s">
        <v>90</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2">
      <c r="A151" s="37" t="s">
        <v>374</v>
      </c>
      <c r="B151" s="38" t="s">
        <v>190</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2">
      <c r="A152" s="35" t="s">
        <v>376</v>
      </c>
      <c r="B152" s="36" t="s">
        <v>90</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2">
      <c r="A153" s="35" t="s">
        <v>378</v>
      </c>
      <c r="B153" s="36" t="s">
        <v>90</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2">
      <c r="A154" s="35" t="s">
        <v>380</v>
      </c>
      <c r="B154" s="36" t="s">
        <v>90</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2">
      <c r="A155" s="37" t="s">
        <v>382</v>
      </c>
      <c r="B155" s="38" t="s">
        <v>190</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2">
      <c r="A156" s="35" t="s">
        <v>384</v>
      </c>
      <c r="B156" s="36" t="s">
        <v>90</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2">
      <c r="A157" s="35" t="s">
        <v>386</v>
      </c>
      <c r="B157" s="36" t="s">
        <v>90</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2">
      <c r="A158" s="35" t="s">
        <v>388</v>
      </c>
      <c r="B158" s="36" t="s">
        <v>90</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2">
      <c r="A159" s="48" t="s">
        <v>390</v>
      </c>
      <c r="B159" s="49" t="s">
        <v>85</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2">
      <c r="A160" s="37" t="s">
        <v>392</v>
      </c>
      <c r="B160" s="38" t="s">
        <v>190</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2">
      <c r="A161" s="35" t="s">
        <v>394</v>
      </c>
      <c r="B161" s="36" t="s">
        <v>90</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2">
      <c r="A162" s="35" t="s">
        <v>396</v>
      </c>
      <c r="B162" s="36" t="s">
        <v>90</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5.5" x14ac:dyDescent="0.2">
      <c r="A163" s="35" t="s">
        <v>398</v>
      </c>
      <c r="B163" s="36" t="s">
        <v>90</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2">
      <c r="A164" s="37" t="s">
        <v>400</v>
      </c>
      <c r="B164" s="38" t="s">
        <v>190</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2">
      <c r="A165" s="39" t="s">
        <v>402</v>
      </c>
      <c r="B165" s="40" t="s">
        <v>90</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2">
      <c r="A166" s="21" t="s">
        <v>404</v>
      </c>
      <c r="B166" s="22" t="s">
        <v>90</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2">
      <c r="A167" s="41" t="s">
        <v>430</v>
      </c>
      <c r="B167" s="42" t="s">
        <v>190</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2">
      <c r="A168" s="8" t="s">
        <v>431</v>
      </c>
      <c r="B168" s="40" t="s">
        <v>90</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2">
      <c r="A169" s="56" t="s">
        <v>432</v>
      </c>
      <c r="B169" s="57" t="s">
        <v>90</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2">
      <c r="A173" s="7" t="s">
        <v>437</v>
      </c>
      <c r="B173" s="7" t="s">
        <v>435</v>
      </c>
    </row>
    <row r="174" spans="1:65" s="7" customFormat="1" x14ac:dyDescent="0.2">
      <c r="A174" s="7" t="s">
        <v>415</v>
      </c>
      <c r="B174" s="7" t="s">
        <v>416</v>
      </c>
    </row>
    <row r="175" spans="1:65" s="7" customFormat="1" x14ac:dyDescent="0.2">
      <c r="A175" s="7" t="s">
        <v>438</v>
      </c>
      <c r="B175" s="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2022_VIE_ENG</vt:lpstr>
      <vt:lpstr>2022_PAPI_Indicators</vt:lpstr>
      <vt:lpstr>2021_VIE_ENG</vt:lpstr>
      <vt:lpstr>2020_VIE_ENG</vt:lpstr>
      <vt:lpstr>2019_VIE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Thanh Huyen</dc:creator>
  <cp:lastModifiedBy>Do Thi Thanh Huyen</cp:lastModifiedBy>
  <dcterms:created xsi:type="dcterms:W3CDTF">2021-06-21T06:48:02Z</dcterms:created>
  <dcterms:modified xsi:type="dcterms:W3CDTF">2023-04-13T08:44:02Z</dcterms:modified>
</cp:coreProperties>
</file>